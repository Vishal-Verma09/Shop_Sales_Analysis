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Shop_Sales_Analysis\"/>
    </mc:Choice>
  </mc:AlternateContent>
  <xr:revisionPtr revIDLastSave="0" documentId="13_ncr:1_{64274F58-CCB1-4987-814D-6DA7E1191618}" xr6:coauthVersionLast="47" xr6:coauthVersionMax="47" xr10:uidLastSave="{00000000-0000-0000-0000-000000000000}"/>
  <bookViews>
    <workbookView xWindow="-108" yWindow="-108" windowWidth="23256" windowHeight="12456" firstSheet="5" activeTab="6" xr2:uid="{00000000-000D-0000-FFFF-FFFF00000000}"/>
  </bookViews>
  <sheets>
    <sheet name="Month and revenue" sheetId="6" r:id="rId1"/>
    <sheet name="category shares" sheetId="8" r:id="rId2"/>
    <sheet name="Product wise revenue" sheetId="7" r:id="rId3"/>
    <sheet name="States wise order" sheetId="9" r:id="rId4"/>
    <sheet name="pamentmethod" sheetId="11" r:id="rId5"/>
    <sheet name="category return" sheetId="12" r:id="rId6"/>
    <sheet name="Sales By region" sheetId="13" r:id="rId7"/>
    <sheet name="Raw_Data" sheetId="1" r:id="rId8"/>
    <sheet name="dashboard" sheetId="4" r:id="rId9"/>
    <sheet name="Blank columns" sheetId="3" r:id="rId10"/>
  </sheets>
  <definedNames>
    <definedName name="_xlnm._FilterDatabase" localSheetId="7" hidden="1">Raw_Data!$A$1:$R$2001</definedName>
    <definedName name="Slicer_Category">#N/A</definedName>
    <definedName name="Slicer_Month">#N/A</definedName>
    <definedName name="Slicer_Payment_Method">#N/A</definedName>
    <definedName name="Slicer_Product_Name">#N/A</definedName>
    <definedName name="Slicer_Region">#N/A</definedName>
    <definedName name="Slicer_State">#N/A</definedName>
  </definedNames>
  <calcPr calcId="191029"/>
  <pivotCaches>
    <pivotCache cacheId="13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a="1"/>
  <c r="G2" i="1"/>
  <c r="G3" i="1" a="1"/>
  <c r="G3" i="1"/>
  <c r="G4" i="1" a="1"/>
  <c r="G4" i="1"/>
  <c r="G5" i="1" a="1"/>
  <c r="G5" i="1"/>
  <c r="G6" i="1" a="1"/>
  <c r="G6" i="1"/>
  <c r="G7" i="1" a="1"/>
  <c r="G7" i="1"/>
  <c r="G8" i="1" a="1"/>
  <c r="G8" i="1"/>
  <c r="G9" i="1" a="1"/>
  <c r="G9" i="1"/>
  <c r="G10" i="1" a="1"/>
  <c r="G10" i="1"/>
  <c r="G11" i="1" a="1"/>
  <c r="G11" i="1"/>
  <c r="G12" i="1" a="1"/>
  <c r="G12" i="1"/>
  <c r="G13" i="1" a="1"/>
  <c r="G13" i="1"/>
  <c r="G14" i="1" a="1"/>
  <c r="G14" i="1"/>
  <c r="G15" i="1" a="1"/>
  <c r="G15" i="1"/>
  <c r="G16" i="1" a="1"/>
  <c r="G16" i="1"/>
  <c r="G17" i="1" a="1"/>
  <c r="G17" i="1"/>
  <c r="G18" i="1" a="1"/>
  <c r="G18" i="1"/>
  <c r="G19" i="1" a="1"/>
  <c r="G19" i="1"/>
  <c r="G20" i="1" a="1"/>
  <c r="G20" i="1"/>
  <c r="G21" i="1" a="1"/>
  <c r="G21" i="1"/>
  <c r="G22" i="1" a="1"/>
  <c r="G22" i="1"/>
  <c r="G23" i="1" a="1"/>
  <c r="G23" i="1"/>
  <c r="G24" i="1" a="1"/>
  <c r="G24" i="1"/>
  <c r="G25" i="1" a="1"/>
  <c r="G25" i="1"/>
  <c r="G26" i="1" a="1"/>
  <c r="G26" i="1"/>
  <c r="G27" i="1" a="1"/>
  <c r="G27" i="1"/>
  <c r="G28" i="1" a="1"/>
  <c r="G28" i="1"/>
  <c r="G29" i="1" a="1"/>
  <c r="G29" i="1"/>
  <c r="G30" i="1" a="1"/>
  <c r="G30" i="1"/>
  <c r="G31" i="1" a="1"/>
  <c r="G31" i="1"/>
  <c r="G32" i="1" a="1"/>
  <c r="G32" i="1"/>
  <c r="G33" i="1" a="1"/>
  <c r="G33" i="1"/>
  <c r="G34" i="1" a="1"/>
  <c r="G34" i="1"/>
  <c r="G35" i="1" a="1"/>
  <c r="G35" i="1"/>
  <c r="G36" i="1" a="1"/>
  <c r="G36" i="1"/>
  <c r="G37" i="1" a="1"/>
  <c r="G37" i="1"/>
  <c r="G38" i="1" a="1"/>
  <c r="G38" i="1"/>
  <c r="G39" i="1" a="1"/>
  <c r="G39" i="1"/>
  <c r="G40" i="1" a="1"/>
  <c r="G40" i="1"/>
  <c r="G41" i="1" a="1"/>
  <c r="G41" i="1"/>
  <c r="G42" i="1" a="1"/>
  <c r="G42" i="1"/>
  <c r="G43" i="1" a="1"/>
  <c r="G43" i="1"/>
  <c r="G44" i="1" a="1"/>
  <c r="G44" i="1"/>
  <c r="G45" i="1" a="1"/>
  <c r="G45" i="1"/>
  <c r="G46" i="1" a="1"/>
  <c r="G46" i="1"/>
  <c r="G47" i="1" a="1"/>
  <c r="G47" i="1"/>
  <c r="G48" i="1" a="1"/>
  <c r="G48" i="1"/>
  <c r="G49" i="1" a="1"/>
  <c r="G49" i="1"/>
  <c r="G50" i="1" a="1"/>
  <c r="G50" i="1"/>
  <c r="G51" i="1" a="1"/>
  <c r="G51" i="1"/>
  <c r="G52" i="1" a="1"/>
  <c r="G52" i="1"/>
  <c r="G53" i="1" a="1"/>
  <c r="G53" i="1"/>
  <c r="G54" i="1" a="1"/>
  <c r="G54" i="1"/>
  <c r="G55" i="1" a="1"/>
  <c r="G55" i="1"/>
  <c r="G56" i="1" a="1"/>
  <c r="G56" i="1"/>
  <c r="G57" i="1" a="1"/>
  <c r="G57" i="1"/>
  <c r="G58" i="1" a="1"/>
  <c r="G58" i="1"/>
  <c r="G59" i="1" a="1"/>
  <c r="G59" i="1"/>
  <c r="G60" i="1" a="1"/>
  <c r="G60" i="1"/>
  <c r="G61" i="1" a="1"/>
  <c r="G61" i="1"/>
  <c r="G62" i="1" a="1"/>
  <c r="G62" i="1"/>
  <c r="G63" i="1" a="1"/>
  <c r="G63" i="1"/>
  <c r="G64" i="1" a="1"/>
  <c r="G64" i="1"/>
  <c r="G65" i="1" a="1"/>
  <c r="G65" i="1"/>
  <c r="G66" i="1" a="1"/>
  <c r="G66" i="1"/>
  <c r="G67" i="1" a="1"/>
  <c r="G67" i="1"/>
  <c r="G68" i="1" a="1"/>
  <c r="G68" i="1"/>
  <c r="G69" i="1" a="1"/>
  <c r="G69" i="1"/>
  <c r="G70" i="1" a="1"/>
  <c r="G70" i="1"/>
  <c r="G71" i="1" a="1"/>
  <c r="G71" i="1"/>
  <c r="G72" i="1" a="1"/>
  <c r="G72" i="1"/>
  <c r="G73" i="1" a="1"/>
  <c r="G73" i="1"/>
  <c r="G74" i="1" a="1"/>
  <c r="G74" i="1"/>
  <c r="G75" i="1" a="1"/>
  <c r="G75" i="1"/>
  <c r="G76" i="1" a="1"/>
  <c r="G76" i="1"/>
  <c r="G77" i="1" a="1"/>
  <c r="G77" i="1"/>
  <c r="G78" i="1" a="1"/>
  <c r="G78" i="1"/>
  <c r="G79" i="1" a="1"/>
  <c r="G79" i="1"/>
  <c r="G80" i="1" a="1"/>
  <c r="G80" i="1"/>
  <c r="G81" i="1" a="1"/>
  <c r="G81" i="1"/>
  <c r="G82" i="1" a="1"/>
  <c r="G82" i="1" s="1"/>
  <c r="G83" i="1" a="1"/>
  <c r="G83" i="1"/>
  <c r="G84" i="1" a="1"/>
  <c r="G84" i="1" s="1"/>
  <c r="G85" i="1" a="1"/>
  <c r="G85" i="1"/>
  <c r="G86" i="1" a="1"/>
  <c r="G86" i="1" s="1"/>
  <c r="G87" i="1" a="1"/>
  <c r="G87" i="1"/>
  <c r="G88" i="1" a="1"/>
  <c r="G88" i="1"/>
  <c r="G89" i="1" a="1"/>
  <c r="G89" i="1"/>
  <c r="G90" i="1" a="1"/>
  <c r="G90" i="1" s="1"/>
  <c r="G91" i="1" a="1"/>
  <c r="G91" i="1"/>
  <c r="G92" i="1" a="1"/>
  <c r="G92" i="1"/>
  <c r="G93" i="1" a="1"/>
  <c r="G93" i="1" s="1"/>
  <c r="G94" i="1" a="1"/>
  <c r="G94" i="1" s="1"/>
  <c r="G95" i="1" a="1"/>
  <c r="G95" i="1"/>
  <c r="G96" i="1" a="1"/>
  <c r="G96" i="1"/>
  <c r="G97" i="1" a="1"/>
  <c r="G97" i="1"/>
  <c r="G98" i="1" a="1"/>
  <c r="G98" i="1" s="1"/>
  <c r="G99" i="1" a="1"/>
  <c r="G99" i="1"/>
  <c r="G100" i="1" a="1"/>
  <c r="G100" i="1" s="1"/>
  <c r="G101" i="1" a="1"/>
  <c r="G101" i="1"/>
  <c r="G102" i="1" a="1"/>
  <c r="G102" i="1" s="1"/>
  <c r="G103" i="1" a="1"/>
  <c r="G103" i="1"/>
  <c r="G104" i="1" a="1"/>
  <c r="G104" i="1" s="1"/>
  <c r="G105" i="1" a="1"/>
  <c r="G105" i="1"/>
  <c r="G106" i="1" a="1"/>
  <c r="G106" i="1" s="1"/>
  <c r="G107" i="1" a="1"/>
  <c r="G107" i="1"/>
  <c r="G108" i="1" a="1"/>
  <c r="G108" i="1"/>
  <c r="G109" i="1" a="1"/>
  <c r="G109" i="1" s="1"/>
  <c r="G110" i="1" a="1"/>
  <c r="G110" i="1" s="1"/>
  <c r="G111" i="1" a="1"/>
  <c r="G111" i="1"/>
  <c r="G112" i="1" a="1"/>
  <c r="G112" i="1"/>
  <c r="G113" i="1" a="1"/>
  <c r="G113" i="1"/>
  <c r="G114" i="1" a="1"/>
  <c r="G114" i="1" s="1"/>
  <c r="G115" i="1" a="1"/>
  <c r="G115" i="1"/>
  <c r="G116" i="1" a="1"/>
  <c r="G116" i="1"/>
  <c r="G117" i="1" a="1"/>
  <c r="G117" i="1" s="1"/>
  <c r="G118" i="1" a="1"/>
  <c r="G118" i="1" s="1"/>
  <c r="G119" i="1" a="1"/>
  <c r="G119" i="1"/>
  <c r="G120" i="1" a="1"/>
  <c r="G120" i="1"/>
  <c r="G121" i="1" a="1"/>
  <c r="G121" i="1" s="1"/>
  <c r="G122" i="1" a="1"/>
  <c r="G122" i="1" s="1"/>
  <c r="G123" i="1" a="1"/>
  <c r="G123" i="1"/>
  <c r="G124" i="1" a="1"/>
  <c r="G124" i="1"/>
  <c r="G125" i="1" a="1"/>
  <c r="G125" i="1"/>
  <c r="G126" i="1" a="1"/>
  <c r="G126" i="1" s="1"/>
  <c r="G127" i="1" a="1"/>
  <c r="G127" i="1"/>
  <c r="G128" i="1" a="1"/>
  <c r="G128" i="1"/>
  <c r="G129" i="1" a="1"/>
  <c r="G129" i="1"/>
  <c r="G130" i="1" a="1"/>
  <c r="G130" i="1" s="1"/>
  <c r="G131" i="1" a="1"/>
  <c r="G131" i="1"/>
  <c r="G132" i="1" a="1"/>
  <c r="G132" i="1" s="1"/>
  <c r="G133" i="1" a="1"/>
  <c r="G133" i="1"/>
  <c r="G134" i="1" a="1"/>
  <c r="G134" i="1" s="1"/>
  <c r="G135" i="1" a="1"/>
  <c r="G135" i="1"/>
  <c r="G136" i="1" a="1"/>
  <c r="G136" i="1" s="1"/>
  <c r="G137" i="1" a="1"/>
  <c r="G137" i="1"/>
  <c r="G138" i="1" a="1"/>
  <c r="G138" i="1" s="1"/>
  <c r="G139" i="1" a="1"/>
  <c r="G139" i="1"/>
  <c r="G140" i="1" a="1"/>
  <c r="G140" i="1"/>
  <c r="G141" i="1" a="1"/>
  <c r="G141" i="1" s="1"/>
  <c r="G142" i="1" a="1"/>
  <c r="G142" i="1" s="1"/>
  <c r="G143" i="1" a="1"/>
  <c r="G143" i="1"/>
  <c r="G144" i="1" a="1"/>
  <c r="G144" i="1"/>
  <c r="G145" i="1" a="1"/>
  <c r="G145" i="1"/>
  <c r="G146" i="1" a="1"/>
  <c r="G146" i="1" s="1"/>
  <c r="G147" i="1" a="1"/>
  <c r="G147" i="1"/>
  <c r="G148" i="1" a="1"/>
  <c r="G148" i="1" s="1"/>
  <c r="G149" i="1" a="1"/>
  <c r="G149" i="1"/>
  <c r="G150" i="1" a="1"/>
  <c r="G150" i="1" s="1"/>
  <c r="G151" i="1" a="1"/>
  <c r="G151" i="1"/>
  <c r="G152" i="1" a="1"/>
  <c r="G152" i="1"/>
  <c r="G153" i="1" a="1"/>
  <c r="G153" i="1"/>
  <c r="G154" i="1" a="1"/>
  <c r="G154" i="1" s="1"/>
  <c r="G155" i="1" a="1"/>
  <c r="G155" i="1"/>
  <c r="G156" i="1" a="1"/>
  <c r="G156" i="1"/>
  <c r="G157" i="1" a="1"/>
  <c r="G157" i="1" s="1"/>
  <c r="G158" i="1" a="1"/>
  <c r="G158" i="1" s="1"/>
  <c r="G159" i="1" a="1"/>
  <c r="G159" i="1"/>
  <c r="G160" i="1" a="1"/>
  <c r="G160" i="1"/>
  <c r="G161" i="1" a="1"/>
  <c r="G161" i="1"/>
  <c r="G162" i="1" a="1"/>
  <c r="G162" i="1" s="1"/>
  <c r="G163" i="1" a="1"/>
  <c r="G163" i="1"/>
  <c r="G164" i="1" a="1"/>
  <c r="G164" i="1" s="1"/>
  <c r="G165" i="1" a="1"/>
  <c r="G165" i="1"/>
  <c r="G166" i="1" a="1"/>
  <c r="G166" i="1" s="1"/>
  <c r="G167" i="1" a="1"/>
  <c r="G167" i="1"/>
  <c r="G168" i="1" a="1"/>
  <c r="G168" i="1"/>
  <c r="G169" i="1" a="1"/>
  <c r="G169" i="1"/>
  <c r="G170" i="1" a="1"/>
  <c r="G170" i="1" s="1"/>
  <c r="G171" i="1" a="1"/>
  <c r="G171" i="1"/>
  <c r="G172" i="1" a="1"/>
  <c r="G172" i="1"/>
  <c r="G173" i="1" a="1"/>
  <c r="G173" i="1" s="1"/>
  <c r="G174" i="1" a="1"/>
  <c r="G174" i="1" s="1"/>
  <c r="G175" i="1" a="1"/>
  <c r="G175" i="1"/>
  <c r="G176" i="1" a="1"/>
  <c r="G176" i="1"/>
  <c r="G177" i="1" a="1"/>
  <c r="G177" i="1"/>
  <c r="G178" i="1" a="1"/>
  <c r="G178" i="1" s="1"/>
  <c r="G179" i="1" a="1"/>
  <c r="G179" i="1"/>
  <c r="G180" i="1" a="1"/>
  <c r="G180" i="1" s="1"/>
  <c r="G181" i="1" a="1"/>
  <c r="G181" i="1" s="1"/>
  <c r="G182" i="1" a="1"/>
  <c r="G182" i="1" s="1"/>
  <c r="G183" i="1" a="1"/>
  <c r="G183" i="1"/>
  <c r="G184" i="1" a="1"/>
  <c r="G184" i="1"/>
  <c r="G185" i="1" a="1"/>
  <c r="G185" i="1" s="1"/>
  <c r="G186" i="1" a="1"/>
  <c r="G186" i="1" s="1"/>
  <c r="G187" i="1" a="1"/>
  <c r="G187" i="1"/>
  <c r="G188" i="1" a="1"/>
  <c r="G188" i="1"/>
  <c r="G189" i="1" a="1"/>
  <c r="G189" i="1"/>
  <c r="G190" i="1" a="1"/>
  <c r="G190" i="1" s="1"/>
  <c r="G191" i="1" a="1"/>
  <c r="G191" i="1"/>
  <c r="G192" i="1" a="1"/>
  <c r="G192" i="1"/>
  <c r="G193" i="1" a="1"/>
  <c r="G193" i="1"/>
  <c r="G194" i="1" a="1"/>
  <c r="G194" i="1" s="1"/>
  <c r="G195" i="1" a="1"/>
  <c r="G195" i="1"/>
  <c r="G196" i="1" a="1"/>
  <c r="G196" i="1" s="1"/>
  <c r="G197" i="1" a="1"/>
  <c r="G197" i="1"/>
  <c r="G198" i="1" a="1"/>
  <c r="G198" i="1" s="1"/>
  <c r="G199" i="1" a="1"/>
  <c r="G199" i="1"/>
  <c r="G200" i="1" a="1"/>
  <c r="G200" i="1" s="1"/>
  <c r="G201" i="1" a="1"/>
  <c r="G201" i="1"/>
  <c r="G202" i="1" a="1"/>
  <c r="G202" i="1" s="1"/>
  <c r="G203" i="1" a="1"/>
  <c r="G203" i="1"/>
  <c r="G204" i="1" a="1"/>
  <c r="G204" i="1"/>
  <c r="G205" i="1" a="1"/>
  <c r="G205" i="1" s="1"/>
  <c r="G206" i="1" a="1"/>
  <c r="G206" i="1" s="1"/>
  <c r="G207" i="1" a="1"/>
  <c r="G207" i="1"/>
  <c r="G208" i="1" a="1"/>
  <c r="G208" i="1"/>
  <c r="G209" i="1" a="1"/>
  <c r="G209" i="1"/>
  <c r="G210" i="1" a="1"/>
  <c r="G210" i="1" s="1"/>
  <c r="G211" i="1" a="1"/>
  <c r="G211" i="1"/>
  <c r="G212" i="1" a="1"/>
  <c r="G212" i="1" s="1"/>
  <c r="G213" i="1" a="1"/>
  <c r="G213" i="1"/>
  <c r="G214" i="1" a="1"/>
  <c r="G214" i="1" s="1"/>
  <c r="G215" i="1" a="1"/>
  <c r="G215" i="1"/>
  <c r="G216" i="1" a="1"/>
  <c r="G216" i="1"/>
  <c r="G217" i="1" a="1"/>
  <c r="G217" i="1"/>
  <c r="G218" i="1" a="1"/>
  <c r="G218" i="1" s="1"/>
  <c r="G219" i="1" a="1"/>
  <c r="G219" i="1"/>
  <c r="G220" i="1" a="1"/>
  <c r="G220" i="1"/>
  <c r="G221" i="1" a="1"/>
  <c r="G221" i="1" s="1"/>
  <c r="G222" i="1" a="1"/>
  <c r="G222" i="1" s="1"/>
  <c r="G223" i="1" a="1"/>
  <c r="G223" i="1"/>
  <c r="G224" i="1" a="1"/>
  <c r="G224" i="1"/>
  <c r="G225" i="1" a="1"/>
  <c r="G225" i="1"/>
  <c r="G226" i="1" a="1"/>
  <c r="G226" i="1" s="1"/>
  <c r="G227" i="1" a="1"/>
  <c r="G227" i="1"/>
  <c r="G228" i="1" a="1"/>
  <c r="G228" i="1" s="1"/>
  <c r="G229" i="1" a="1"/>
  <c r="G229" i="1"/>
  <c r="G230" i="1" a="1"/>
  <c r="G230" i="1" s="1"/>
  <c r="G231" i="1" a="1"/>
  <c r="G231" i="1"/>
  <c r="G232" i="1" a="1"/>
  <c r="G232" i="1" s="1"/>
  <c r="G233" i="1" a="1"/>
  <c r="G233" i="1"/>
  <c r="G234" i="1" a="1"/>
  <c r="G234" i="1" s="1"/>
  <c r="G235" i="1" a="1"/>
  <c r="G235" i="1"/>
  <c r="G236" i="1" a="1"/>
  <c r="G236" i="1"/>
  <c r="G237" i="1" a="1"/>
  <c r="G237" i="1" s="1"/>
  <c r="G238" i="1" a="1"/>
  <c r="G238" i="1" s="1"/>
  <c r="G239" i="1" a="1"/>
  <c r="G239" i="1"/>
  <c r="G240" i="1" a="1"/>
  <c r="G240" i="1"/>
  <c r="G241" i="1" a="1"/>
  <c r="G241" i="1"/>
  <c r="G242" i="1" a="1"/>
  <c r="G242" i="1" s="1"/>
  <c r="G243" i="1" a="1"/>
  <c r="G243" i="1"/>
  <c r="G244" i="1" a="1"/>
  <c r="G244" i="1"/>
  <c r="G245" i="1" a="1"/>
  <c r="G245" i="1" s="1"/>
  <c r="G246" i="1" a="1"/>
  <c r="G246" i="1" s="1"/>
  <c r="G247" i="1" a="1"/>
  <c r="G247" i="1"/>
  <c r="G248" i="1" a="1"/>
  <c r="G248" i="1"/>
  <c r="G249" i="1" a="1"/>
  <c r="G249" i="1" s="1"/>
  <c r="G250" i="1" a="1"/>
  <c r="G250" i="1" s="1"/>
  <c r="G251" i="1" a="1"/>
  <c r="G251" i="1"/>
  <c r="G252" i="1" a="1"/>
  <c r="G252" i="1" s="1"/>
  <c r="G253" i="1" a="1"/>
  <c r="G253" i="1"/>
  <c r="G254" i="1" a="1"/>
  <c r="G254" i="1" s="1"/>
  <c r="G255" i="1" a="1"/>
  <c r="G255" i="1"/>
  <c r="G256" i="1" a="1"/>
  <c r="G256" i="1"/>
  <c r="G257" i="1" a="1"/>
  <c r="G257" i="1"/>
  <c r="G258" i="1" a="1"/>
  <c r="G258" i="1" s="1"/>
  <c r="G259" i="1" a="1"/>
  <c r="G259" i="1" s="1"/>
  <c r="G260" i="1" a="1"/>
  <c r="G260" i="1" s="1"/>
  <c r="G261" i="1" a="1"/>
  <c r="G261" i="1"/>
  <c r="G262" i="1" a="1"/>
  <c r="G262" i="1" s="1"/>
  <c r="G263" i="1" a="1"/>
  <c r="G263" i="1"/>
  <c r="G264" i="1" a="1"/>
  <c r="G264" i="1" s="1"/>
  <c r="G265" i="1" a="1"/>
  <c r="G265" i="1"/>
  <c r="G266" i="1" a="1"/>
  <c r="G266" i="1" s="1"/>
  <c r="G267" i="1" a="1"/>
  <c r="G267" i="1"/>
  <c r="G268" i="1" a="1"/>
  <c r="G268" i="1"/>
  <c r="G269" i="1" a="1"/>
  <c r="G269" i="1" s="1"/>
  <c r="G270" i="1" a="1"/>
  <c r="G270" i="1" s="1"/>
  <c r="G271" i="1" a="1"/>
  <c r="G271" i="1"/>
  <c r="G272" i="1" a="1"/>
  <c r="G272" i="1"/>
  <c r="G273" i="1" a="1"/>
  <c r="G273" i="1"/>
  <c r="G274" i="1" a="1"/>
  <c r="G274" i="1" s="1"/>
  <c r="G275" i="1" a="1"/>
  <c r="G275" i="1" s="1"/>
  <c r="G276" i="1" a="1"/>
  <c r="G276" i="1" s="1"/>
  <c r="G277" i="1" a="1"/>
  <c r="G277" i="1"/>
  <c r="G278" i="1" a="1"/>
  <c r="G278" i="1" s="1"/>
  <c r="G279" i="1" a="1"/>
  <c r="G279" i="1"/>
  <c r="G280" i="1" a="1"/>
  <c r="G280" i="1" s="1"/>
  <c r="G281" i="1" a="1"/>
  <c r="G281" i="1"/>
  <c r="G282" i="1" a="1"/>
  <c r="G282" i="1" s="1"/>
  <c r="G283" i="1" a="1"/>
  <c r="G283" i="1" s="1"/>
  <c r="G284" i="1" a="1"/>
  <c r="G284" i="1"/>
  <c r="G285" i="1" a="1"/>
  <c r="G285" i="1" s="1"/>
  <c r="G286" i="1" a="1"/>
  <c r="G286" i="1" s="1"/>
  <c r="G287" i="1" a="1"/>
  <c r="G287" i="1"/>
  <c r="G288" i="1" a="1"/>
  <c r="G288" i="1"/>
  <c r="G289" i="1" a="1"/>
  <c r="G289" i="1"/>
  <c r="G290" i="1" a="1"/>
  <c r="G290" i="1" s="1"/>
  <c r="G291" i="1" a="1"/>
  <c r="G291" i="1"/>
  <c r="G292" i="1" a="1"/>
  <c r="G292" i="1" s="1"/>
  <c r="G293" i="1" a="1"/>
  <c r="G293" i="1" s="1"/>
  <c r="G294" i="1" a="1"/>
  <c r="G294" i="1" s="1"/>
  <c r="G295" i="1" a="1"/>
  <c r="G295" i="1"/>
  <c r="G296" i="1" a="1"/>
  <c r="G296" i="1"/>
  <c r="G297" i="1" a="1"/>
  <c r="G297" i="1"/>
  <c r="G298" i="1" a="1"/>
  <c r="G298" i="1" s="1"/>
  <c r="G299" i="1" a="1"/>
  <c r="G299" i="1"/>
  <c r="G300" i="1" a="1"/>
  <c r="G300" i="1" s="1"/>
  <c r="G301" i="1" a="1"/>
  <c r="G301" i="1" s="1"/>
  <c r="G302" i="1" a="1"/>
  <c r="G302" i="1" s="1"/>
  <c r="G303" i="1" a="1"/>
  <c r="G303" i="1" s="1"/>
  <c r="G304" i="1" a="1"/>
  <c r="G304" i="1" s="1"/>
  <c r="G305" i="1" a="1"/>
  <c r="G305" i="1" s="1"/>
  <c r="G306" i="1" a="1"/>
  <c r="G306" i="1" s="1"/>
  <c r="G307" i="1" a="1"/>
  <c r="G307" i="1" s="1"/>
  <c r="G308" i="1" a="1"/>
  <c r="G308" i="1"/>
  <c r="G309" i="1" a="1"/>
  <c r="G309" i="1" s="1"/>
  <c r="G310" i="1" a="1"/>
  <c r="G310" i="1" s="1"/>
  <c r="G311" i="1" a="1"/>
  <c r="G311" i="1"/>
  <c r="G312" i="1" a="1"/>
  <c r="G312" i="1" s="1"/>
  <c r="G313" i="1" a="1"/>
  <c r="G313" i="1" s="1"/>
  <c r="G314" i="1" a="1"/>
  <c r="G314" i="1" s="1"/>
  <c r="G315" i="1" a="1"/>
  <c r="G315" i="1" s="1"/>
  <c r="G316" i="1" a="1"/>
  <c r="G316" i="1"/>
  <c r="G317" i="1" a="1"/>
  <c r="G317" i="1" s="1"/>
  <c r="G318" i="1" a="1"/>
  <c r="G318" i="1" s="1"/>
  <c r="G319" i="1" a="1"/>
  <c r="G319" i="1" s="1"/>
  <c r="G320" i="1" a="1"/>
  <c r="G320" i="1"/>
  <c r="G321" i="1" a="1"/>
  <c r="G321" i="1"/>
  <c r="G322" i="1" a="1"/>
  <c r="G322" i="1" s="1"/>
  <c r="G323" i="1" a="1"/>
  <c r="G323" i="1"/>
  <c r="G324" i="1" a="1"/>
  <c r="G324" i="1" s="1"/>
  <c r="G325" i="1" a="1"/>
  <c r="G325" i="1"/>
  <c r="G326" i="1" a="1"/>
  <c r="G326" i="1" s="1"/>
  <c r="G327" i="1" a="1"/>
  <c r="G327" i="1" s="1"/>
  <c r="G328" i="1" a="1"/>
  <c r="G328" i="1" s="1"/>
  <c r="G329" i="1" a="1"/>
  <c r="G329" i="1"/>
  <c r="G330" i="1" a="1"/>
  <c r="G330" i="1" s="1"/>
  <c r="G331" i="1" a="1"/>
  <c r="G331" i="1"/>
  <c r="G332" i="1" a="1"/>
  <c r="G332" i="1"/>
  <c r="G333" i="1" a="1"/>
  <c r="G333" i="1" s="1"/>
  <c r="G334" i="1" a="1"/>
  <c r="G334" i="1" s="1"/>
  <c r="G335" i="1" a="1"/>
  <c r="G335" i="1"/>
  <c r="G336" i="1" a="1"/>
  <c r="G336" i="1"/>
  <c r="G337" i="1" a="1"/>
  <c r="G337" i="1"/>
  <c r="G338" i="1" a="1"/>
  <c r="G338" i="1" s="1"/>
  <c r="G339" i="1" a="1"/>
  <c r="G339" i="1" s="1"/>
  <c r="G340" i="1" a="1"/>
  <c r="G340" i="1"/>
  <c r="G341" i="1" a="1"/>
  <c r="G341" i="1" s="1"/>
  <c r="G342" i="1" a="1"/>
  <c r="G342" i="1" s="1"/>
  <c r="G343" i="1" a="1"/>
  <c r="G343" i="1"/>
  <c r="G344" i="1" a="1"/>
  <c r="G344" i="1"/>
  <c r="G345" i="1" a="1"/>
  <c r="G345" i="1"/>
  <c r="G346" i="1" a="1"/>
  <c r="G346" i="1" s="1"/>
  <c r="G347" i="1" a="1"/>
  <c r="G347" i="1" s="1"/>
  <c r="G348" i="1" a="1"/>
  <c r="G348" i="1"/>
  <c r="G349" i="1" a="1"/>
  <c r="G349" i="1" s="1"/>
  <c r="G350" i="1" a="1"/>
  <c r="G350" i="1" s="1"/>
  <c r="G351" i="1" a="1"/>
  <c r="G351" i="1" s="1"/>
  <c r="G352" i="1" a="1"/>
  <c r="G352" i="1"/>
  <c r="G353" i="1" a="1"/>
  <c r="G353" i="1" s="1"/>
  <c r="G354" i="1" a="1"/>
  <c r="G354" i="1" s="1"/>
  <c r="G355" i="1" a="1"/>
  <c r="G355" i="1" s="1"/>
  <c r="G356" i="1" a="1"/>
  <c r="G356" i="1" s="1"/>
  <c r="G357" i="1" a="1"/>
  <c r="G357" i="1"/>
  <c r="G358" i="1" a="1"/>
  <c r="G358" i="1" s="1"/>
  <c r="G359" i="1" a="1"/>
  <c r="G359" i="1" s="1"/>
  <c r="G360" i="1" a="1"/>
  <c r="G360" i="1"/>
  <c r="G361" i="1" a="1"/>
  <c r="G361" i="1"/>
  <c r="G362" i="1" a="1"/>
  <c r="G362" i="1" s="1"/>
  <c r="G363" i="1" a="1"/>
  <c r="G363" i="1" s="1"/>
  <c r="G364" i="1" a="1"/>
  <c r="G364" i="1"/>
  <c r="G365" i="1" a="1"/>
  <c r="G365" i="1" s="1"/>
  <c r="G366" i="1" a="1"/>
  <c r="G366" i="1" s="1"/>
  <c r="G367" i="1" a="1"/>
  <c r="G367" i="1"/>
  <c r="G368" i="1" a="1"/>
  <c r="G368" i="1" s="1"/>
  <c r="G369" i="1" a="1"/>
  <c r="G369" i="1"/>
  <c r="G370" i="1" a="1"/>
  <c r="G370" i="1" s="1"/>
  <c r="G371" i="1" a="1"/>
  <c r="G371" i="1"/>
  <c r="G372" i="1" a="1"/>
  <c r="G372" i="1"/>
  <c r="G373" i="1" a="1"/>
  <c r="G373" i="1" s="1"/>
  <c r="G374" i="1" a="1"/>
  <c r="G374" i="1" s="1"/>
  <c r="G375" i="1" a="1"/>
  <c r="G375" i="1"/>
  <c r="G376" i="1" a="1"/>
  <c r="G376" i="1"/>
  <c r="G377" i="1" a="1"/>
  <c r="G377" i="1" s="1"/>
  <c r="G378" i="1" a="1"/>
  <c r="G378" i="1" s="1"/>
  <c r="G379" i="1" a="1"/>
  <c r="G379" i="1" s="1"/>
  <c r="G380" i="1" a="1"/>
  <c r="G380" i="1" s="1"/>
  <c r="G381" i="1" a="1"/>
  <c r="G381" i="1"/>
  <c r="G382" i="1" a="1"/>
  <c r="G382" i="1" s="1"/>
  <c r="G383" i="1" a="1"/>
  <c r="G383" i="1" s="1"/>
  <c r="G384" i="1" a="1"/>
  <c r="G384" i="1"/>
  <c r="G385" i="1" a="1"/>
  <c r="G385" i="1"/>
  <c r="G386" i="1" a="1"/>
  <c r="G386" i="1" s="1"/>
  <c r="G387" i="1" a="1"/>
  <c r="G387" i="1" s="1"/>
  <c r="G388" i="1" a="1"/>
  <c r="G388" i="1" s="1"/>
  <c r="G389" i="1" a="1"/>
  <c r="G389" i="1" s="1"/>
  <c r="G390" i="1" a="1"/>
  <c r="G390" i="1" s="1"/>
  <c r="G391" i="1" a="1"/>
  <c r="G391" i="1"/>
  <c r="G392" i="1" a="1"/>
  <c r="G392" i="1" s="1"/>
  <c r="G393" i="1" a="1"/>
  <c r="G393" i="1"/>
  <c r="G394" i="1" a="1"/>
  <c r="G394" i="1" s="1"/>
  <c r="G395" i="1" a="1"/>
  <c r="G395" i="1"/>
  <c r="G396" i="1" a="1"/>
  <c r="G396" i="1"/>
  <c r="G397" i="1" a="1"/>
  <c r="G397" i="1" s="1"/>
  <c r="G398" i="1" a="1"/>
  <c r="G398" i="1" s="1"/>
  <c r="G399" i="1" a="1"/>
  <c r="G399" i="1"/>
  <c r="G400" i="1" a="1"/>
  <c r="G400" i="1"/>
  <c r="G401" i="1" a="1"/>
  <c r="G401" i="1"/>
  <c r="G402" i="1" a="1"/>
  <c r="G402" i="1" s="1"/>
  <c r="G403" i="1" a="1"/>
  <c r="G403" i="1"/>
  <c r="G404" i="1" a="1"/>
  <c r="G404" i="1" s="1"/>
  <c r="G405" i="1" a="1"/>
  <c r="G405" i="1"/>
  <c r="G406" i="1" a="1"/>
  <c r="G406" i="1" s="1"/>
  <c r="G407" i="1" a="1"/>
  <c r="G407" i="1"/>
  <c r="G408" i="1" a="1"/>
  <c r="G408" i="1"/>
  <c r="G409" i="1" a="1"/>
  <c r="G409" i="1"/>
  <c r="G410" i="1" a="1"/>
  <c r="G410" i="1" s="1"/>
  <c r="G411" i="1" a="1"/>
  <c r="G411" i="1" s="1"/>
  <c r="G412" i="1" a="1"/>
  <c r="G412" i="1" s="1"/>
  <c r="G413" i="1" a="1"/>
  <c r="G413" i="1"/>
  <c r="G414" i="1" a="1"/>
  <c r="G414" i="1" s="1"/>
  <c r="G415" i="1" a="1"/>
  <c r="G415" i="1" s="1"/>
  <c r="G416" i="1" a="1"/>
  <c r="G416" i="1"/>
  <c r="G417" i="1" a="1"/>
  <c r="G417" i="1"/>
  <c r="G418" i="1" a="1"/>
  <c r="G418" i="1" s="1"/>
  <c r="G419" i="1" a="1"/>
  <c r="G419" i="1"/>
  <c r="G420" i="1" a="1"/>
  <c r="G420" i="1" s="1"/>
  <c r="G421" i="1" a="1"/>
  <c r="G421" i="1" s="1"/>
  <c r="G422" i="1" a="1"/>
  <c r="G422" i="1"/>
  <c r="G423" i="1" a="1"/>
  <c r="G423" i="1" s="1"/>
  <c r="G424" i="1" a="1"/>
  <c r="G424" i="1" s="1"/>
  <c r="G425" i="1" a="1"/>
  <c r="G425" i="1"/>
  <c r="G426" i="1" a="1"/>
  <c r="G426" i="1" s="1"/>
  <c r="G427" i="1" a="1"/>
  <c r="G427" i="1" s="1"/>
  <c r="G428" i="1" a="1"/>
  <c r="G428" i="1" s="1"/>
  <c r="G429" i="1" a="1"/>
  <c r="G429" i="1"/>
  <c r="G430" i="1" a="1"/>
  <c r="G430" i="1" s="1"/>
  <c r="G431" i="1" a="1"/>
  <c r="G431" i="1"/>
  <c r="G432" i="1" a="1"/>
  <c r="G432" i="1" s="1"/>
  <c r="G433" i="1" a="1"/>
  <c r="G433" i="1"/>
  <c r="G434" i="1" a="1"/>
  <c r="G434" i="1"/>
  <c r="G435" i="1" a="1"/>
  <c r="G435" i="1" s="1"/>
  <c r="G436" i="1" a="1"/>
  <c r="G436" i="1" s="1"/>
  <c r="G437" i="1" a="1"/>
  <c r="G437" i="1" s="1"/>
  <c r="G438" i="1" a="1"/>
  <c r="G438" i="1" s="1"/>
  <c r="G439" i="1" a="1"/>
  <c r="G439" i="1" s="1"/>
  <c r="G440" i="1" a="1"/>
  <c r="G440" i="1" s="1"/>
  <c r="G441" i="1" a="1"/>
  <c r="G441" i="1"/>
  <c r="G442" i="1" a="1"/>
  <c r="G442" i="1"/>
  <c r="G443" i="1" a="1"/>
  <c r="G443" i="1" s="1"/>
  <c r="G444" i="1" a="1"/>
  <c r="G444" i="1" s="1"/>
  <c r="G445" i="1" a="1"/>
  <c r="G445" i="1"/>
  <c r="G446" i="1" a="1"/>
  <c r="G446" i="1" s="1"/>
  <c r="G447" i="1" a="1"/>
  <c r="G447" i="1" s="1"/>
  <c r="G448" i="1" a="1"/>
  <c r="G448" i="1" s="1"/>
  <c r="G449" i="1" a="1"/>
  <c r="G449" i="1" s="1"/>
  <c r="G450" i="1" a="1"/>
  <c r="G450" i="1" s="1"/>
  <c r="G451" i="1" a="1"/>
  <c r="G451" i="1"/>
  <c r="G452" i="1" a="1"/>
  <c r="G452" i="1" s="1"/>
  <c r="G453" i="1" a="1"/>
  <c r="G453" i="1" s="1"/>
  <c r="G454" i="1" a="1"/>
  <c r="G454" i="1"/>
  <c r="G455" i="1" a="1"/>
  <c r="G455" i="1" s="1"/>
  <c r="G456" i="1" a="1"/>
  <c r="G456" i="1" s="1"/>
  <c r="G457" i="1" a="1"/>
  <c r="G457" i="1"/>
  <c r="G458" i="1" a="1"/>
  <c r="G458" i="1" s="1"/>
  <c r="G459" i="1" a="1"/>
  <c r="G459" i="1"/>
  <c r="G460" i="1" a="1"/>
  <c r="G460" i="1" s="1"/>
  <c r="G461" i="1" a="1"/>
  <c r="G461" i="1" s="1"/>
  <c r="G462" i="1" a="1"/>
  <c r="G462" i="1" s="1"/>
  <c r="G463" i="1" a="1"/>
  <c r="G463" i="1"/>
  <c r="G464" i="1" a="1"/>
  <c r="G464" i="1" s="1"/>
  <c r="G465" i="1" a="1"/>
  <c r="G465" i="1"/>
  <c r="G466" i="1" a="1"/>
  <c r="G466" i="1" s="1"/>
  <c r="G467" i="1" a="1"/>
  <c r="G467" i="1" s="1"/>
  <c r="G468" i="1" a="1"/>
  <c r="G468" i="1" s="1"/>
  <c r="G469" i="1" a="1"/>
  <c r="G469" i="1" s="1"/>
  <c r="G470" i="1" a="1"/>
  <c r="G470" i="1"/>
  <c r="G471" i="1" a="1"/>
  <c r="G471" i="1" s="1"/>
  <c r="G472" i="1" a="1"/>
  <c r="G472" i="1" s="1"/>
  <c r="G473" i="1" a="1"/>
  <c r="G473" i="1"/>
  <c r="G474" i="1" a="1"/>
  <c r="G474" i="1"/>
  <c r="G475" i="1" a="1"/>
  <c r="G475" i="1"/>
  <c r="G476" i="1" a="1"/>
  <c r="G476" i="1" s="1"/>
  <c r="G477" i="1" a="1"/>
  <c r="G477" i="1"/>
  <c r="G478" i="1" a="1"/>
  <c r="G478" i="1" s="1"/>
  <c r="G479" i="1" a="1"/>
  <c r="G479" i="1"/>
  <c r="G480" i="1" a="1"/>
  <c r="G480" i="1" s="1"/>
  <c r="G481" i="1" a="1"/>
  <c r="G481" i="1" s="1"/>
  <c r="G482" i="1" a="1"/>
  <c r="G482" i="1"/>
  <c r="G483" i="1" a="1"/>
  <c r="G483" i="1"/>
  <c r="G484" i="1" a="1"/>
  <c r="G484" i="1" s="1"/>
  <c r="G485" i="1" a="1"/>
  <c r="G485" i="1" s="1"/>
  <c r="G486" i="1" a="1"/>
  <c r="G486" i="1"/>
  <c r="G487" i="1" a="1"/>
  <c r="G487" i="1" s="1"/>
  <c r="G488" i="1" a="1"/>
  <c r="G488" i="1" s="1"/>
  <c r="G489" i="1" a="1"/>
  <c r="G489" i="1"/>
  <c r="G490" i="1" a="1"/>
  <c r="G490" i="1" s="1"/>
  <c r="G491" i="1" a="1"/>
  <c r="G491" i="1" s="1"/>
  <c r="G492" i="1" a="1"/>
  <c r="G492" i="1" s="1"/>
  <c r="G493" i="1" a="1"/>
  <c r="G493" i="1"/>
  <c r="G494" i="1" a="1"/>
  <c r="G494" i="1"/>
  <c r="G495" i="1" a="1"/>
  <c r="G495" i="1"/>
  <c r="G496" i="1" a="1"/>
  <c r="G496" i="1" s="1"/>
  <c r="G497" i="1" a="1"/>
  <c r="G497" i="1"/>
  <c r="G498" i="1" a="1"/>
  <c r="G498" i="1" s="1"/>
  <c r="G499" i="1" a="1"/>
  <c r="G499" i="1" s="1"/>
  <c r="G500" i="1" a="1"/>
  <c r="G500" i="1" s="1"/>
  <c r="G501" i="1" a="1"/>
  <c r="G501" i="1" s="1"/>
  <c r="G502" i="1" a="1"/>
  <c r="G502" i="1"/>
  <c r="G503" i="1" a="1"/>
  <c r="G503" i="1"/>
  <c r="G504" i="1" a="1"/>
  <c r="G504" i="1" s="1"/>
  <c r="G505" i="1" a="1"/>
  <c r="G505" i="1"/>
  <c r="G506" i="1" a="1"/>
  <c r="G506" i="1"/>
  <c r="G507" i="1" a="1"/>
  <c r="G507" i="1" s="1"/>
  <c r="G508" i="1" a="1"/>
  <c r="G508" i="1" s="1"/>
  <c r="G509" i="1" a="1"/>
  <c r="G509" i="1"/>
  <c r="G510" i="1" a="1"/>
  <c r="G510" i="1" s="1"/>
  <c r="G511" i="1" a="1"/>
  <c r="G511" i="1" s="1"/>
  <c r="G512" i="1" a="1"/>
  <c r="G512" i="1" s="1"/>
  <c r="G513" i="1" a="1"/>
  <c r="G513" i="1" s="1"/>
  <c r="G514" i="1" a="1"/>
  <c r="G514" i="1" s="1"/>
  <c r="G515" i="1" a="1"/>
  <c r="G515" i="1"/>
  <c r="G516" i="1" a="1"/>
  <c r="G516" i="1" s="1"/>
  <c r="G517" i="1" a="1"/>
  <c r="G517" i="1"/>
  <c r="G518" i="1" a="1"/>
  <c r="G518" i="1"/>
  <c r="G519" i="1" a="1"/>
  <c r="G519" i="1" s="1"/>
  <c r="G520" i="1" a="1"/>
  <c r="G520" i="1" s="1"/>
  <c r="G521" i="1" a="1"/>
  <c r="G521" i="1"/>
  <c r="G522" i="1" a="1"/>
  <c r="G522" i="1" s="1"/>
  <c r="G523" i="1" a="1"/>
  <c r="G523" i="1" s="1"/>
  <c r="G524" i="1" a="1"/>
  <c r="G524" i="1" s="1"/>
  <c r="G525" i="1" a="1"/>
  <c r="G525" i="1"/>
  <c r="G526" i="1" a="1"/>
  <c r="G526" i="1"/>
  <c r="G527" i="1" a="1"/>
  <c r="G527" i="1"/>
  <c r="G528" i="1" a="1"/>
  <c r="G528" i="1" s="1"/>
  <c r="G529" i="1" a="1"/>
  <c r="G529" i="1"/>
  <c r="G530" i="1" a="1"/>
  <c r="G530" i="1"/>
  <c r="G531" i="1" a="1"/>
  <c r="G531" i="1" s="1"/>
  <c r="G532" i="1" a="1"/>
  <c r="G532" i="1" s="1"/>
  <c r="G533" i="1" a="1"/>
  <c r="G533" i="1" s="1"/>
  <c r="G534" i="1" a="1"/>
  <c r="G534" i="1"/>
  <c r="G535" i="1" a="1"/>
  <c r="G535" i="1"/>
  <c r="G536" i="1" a="1"/>
  <c r="G536" i="1" s="1"/>
  <c r="G537" i="1" a="1"/>
  <c r="G537" i="1" s="1"/>
  <c r="G538" i="1" a="1"/>
  <c r="G538" i="1"/>
  <c r="G539" i="1" a="1"/>
  <c r="G539" i="1" s="1"/>
  <c r="G540" i="1" a="1"/>
  <c r="G540" i="1" s="1"/>
  <c r="G541" i="1" a="1"/>
  <c r="G541" i="1"/>
  <c r="G542" i="1" a="1"/>
  <c r="G542" i="1" s="1"/>
  <c r="G543" i="1" a="1"/>
  <c r="G543" i="1" s="1"/>
  <c r="G544" i="1" a="1"/>
  <c r="G544" i="1" s="1"/>
  <c r="G545" i="1" a="1"/>
  <c r="G545" i="1" s="1"/>
  <c r="G546" i="1" a="1"/>
  <c r="G546" i="1"/>
  <c r="G547" i="1" a="1"/>
  <c r="G547" i="1"/>
  <c r="G548" i="1" a="1"/>
  <c r="G548" i="1" s="1"/>
  <c r="G549" i="1" a="1"/>
  <c r="G549" i="1"/>
  <c r="G550" i="1" a="1"/>
  <c r="G550" i="1"/>
  <c r="G551" i="1" a="1"/>
  <c r="G551" i="1" s="1"/>
  <c r="G552" i="1" a="1"/>
  <c r="G552" i="1" s="1"/>
  <c r="G553" i="1" a="1"/>
  <c r="G553" i="1"/>
  <c r="G554" i="1" a="1"/>
  <c r="G554" i="1" s="1"/>
  <c r="G555" i="1" a="1"/>
  <c r="G555" i="1" s="1"/>
  <c r="G556" i="1" a="1"/>
  <c r="G556" i="1" s="1"/>
  <c r="G557" i="1" a="1"/>
  <c r="G557" i="1"/>
  <c r="G558" i="1" a="1"/>
  <c r="G558" i="1"/>
  <c r="G559" i="1" a="1"/>
  <c r="G559" i="1"/>
  <c r="G560" i="1" a="1"/>
  <c r="G560" i="1" s="1"/>
  <c r="G561" i="1" a="1"/>
  <c r="G561" i="1"/>
  <c r="G562" i="1" a="1"/>
  <c r="G562" i="1" s="1"/>
  <c r="G563" i="1" a="1"/>
  <c r="G563" i="1" s="1"/>
  <c r="G564" i="1" a="1"/>
  <c r="G564" i="1" s="1"/>
  <c r="G565" i="1" a="1"/>
  <c r="G565" i="1" s="1"/>
  <c r="G566" i="1" a="1"/>
  <c r="G566" i="1"/>
  <c r="G567" i="1" a="1"/>
  <c r="G567" i="1"/>
  <c r="G568" i="1" a="1"/>
  <c r="G568" i="1" s="1"/>
  <c r="G569" i="1" a="1"/>
  <c r="G569" i="1" s="1"/>
  <c r="G570" i="1" a="1"/>
  <c r="G570" i="1"/>
  <c r="G571" i="1" a="1"/>
  <c r="G571" i="1"/>
  <c r="G572" i="1" a="1"/>
  <c r="G572" i="1" s="1"/>
  <c r="G573" i="1" a="1"/>
  <c r="G573" i="1"/>
  <c r="G574" i="1" a="1"/>
  <c r="G574" i="1" s="1"/>
  <c r="G575" i="1" a="1"/>
  <c r="G575" i="1" s="1"/>
  <c r="G576" i="1" a="1"/>
  <c r="G576" i="1" s="1"/>
  <c r="G577" i="1" a="1"/>
  <c r="G577" i="1" s="1"/>
  <c r="G578" i="1" a="1"/>
  <c r="G578" i="1" s="1"/>
  <c r="G579" i="1" a="1"/>
  <c r="G579" i="1"/>
  <c r="G580" i="1" a="1"/>
  <c r="G580" i="1" s="1"/>
  <c r="G581" i="1" a="1"/>
  <c r="G581" i="1"/>
  <c r="G582" i="1" a="1"/>
  <c r="G582" i="1"/>
  <c r="G583" i="1" a="1"/>
  <c r="G583" i="1" s="1"/>
  <c r="G584" i="1" a="1"/>
  <c r="G584" i="1" s="1"/>
  <c r="G585" i="1" a="1"/>
  <c r="G585" i="1"/>
  <c r="G586" i="1" a="1"/>
  <c r="G586" i="1" s="1"/>
  <c r="G587" i="1" a="1"/>
  <c r="G587" i="1"/>
  <c r="G588" i="1" a="1"/>
  <c r="G588" i="1" s="1"/>
  <c r="G589" i="1" a="1"/>
  <c r="G589" i="1"/>
  <c r="G590" i="1" a="1"/>
  <c r="G590" i="1"/>
  <c r="G591" i="1" a="1"/>
  <c r="G591" i="1"/>
  <c r="G592" i="1" a="1"/>
  <c r="G592" i="1" s="1"/>
  <c r="G593" i="1" a="1"/>
  <c r="G593" i="1"/>
  <c r="G594" i="1" a="1"/>
  <c r="G594" i="1" s="1"/>
  <c r="G595" i="1" a="1"/>
  <c r="G595" i="1" s="1"/>
  <c r="G596" i="1" a="1"/>
  <c r="G596" i="1" s="1"/>
  <c r="G597" i="1" a="1"/>
  <c r="G597" i="1" s="1"/>
  <c r="G598" i="1" a="1"/>
  <c r="G598" i="1"/>
  <c r="G599" i="1" a="1"/>
  <c r="G599" i="1"/>
  <c r="G600" i="1" a="1"/>
  <c r="G600" i="1" s="1"/>
  <c r="G601" i="1" a="1"/>
  <c r="G601" i="1" s="1"/>
  <c r="G602" i="1" a="1"/>
  <c r="G602" i="1"/>
  <c r="G603" i="1" a="1"/>
  <c r="G603" i="1" s="1"/>
  <c r="G604" i="1" a="1"/>
  <c r="G604" i="1" s="1"/>
  <c r="G605" i="1" a="1"/>
  <c r="G605" i="1"/>
  <c r="G606" i="1" a="1"/>
  <c r="G606" i="1" s="1"/>
  <c r="G607" i="1" a="1"/>
  <c r="G607" i="1"/>
  <c r="G608" i="1" a="1"/>
  <c r="G608" i="1" s="1"/>
  <c r="G609" i="1" a="1"/>
  <c r="G609" i="1" s="1"/>
  <c r="G610" i="1" a="1"/>
  <c r="G610" i="1" s="1"/>
  <c r="G611" i="1" a="1"/>
  <c r="G611" i="1"/>
  <c r="G612" i="1" a="1"/>
  <c r="G612" i="1" s="1"/>
  <c r="G613" i="1" a="1"/>
  <c r="G613" i="1"/>
  <c r="G614" i="1" a="1"/>
  <c r="G614" i="1"/>
  <c r="G615" i="1" a="1"/>
  <c r="G615" i="1" s="1"/>
  <c r="G616" i="1" a="1"/>
  <c r="G616" i="1" s="1"/>
  <c r="G617" i="1" a="1"/>
  <c r="G617" i="1"/>
  <c r="G618" i="1" a="1"/>
  <c r="G618" i="1" s="1"/>
  <c r="G619" i="1" a="1"/>
  <c r="G619" i="1" s="1"/>
  <c r="G620" i="1" a="1"/>
  <c r="G620" i="1" s="1"/>
  <c r="G621" i="1" a="1"/>
  <c r="G621" i="1"/>
  <c r="G622" i="1" a="1"/>
  <c r="G622" i="1"/>
  <c r="G623" i="1" a="1"/>
  <c r="G623" i="1"/>
  <c r="G624" i="1" a="1"/>
  <c r="G624" i="1" s="1"/>
  <c r="G625" i="1" a="1"/>
  <c r="G625" i="1"/>
  <c r="G626" i="1" a="1"/>
  <c r="G626" i="1" s="1"/>
  <c r="G627" i="1" a="1"/>
  <c r="G627" i="1" s="1"/>
  <c r="G628" i="1" a="1"/>
  <c r="G628" i="1" s="1"/>
  <c r="G629" i="1" a="1"/>
  <c r="G629" i="1" s="1"/>
  <c r="G630" i="1" a="1"/>
  <c r="G630" i="1"/>
  <c r="G631" i="1" a="1"/>
  <c r="G631" i="1"/>
  <c r="G632" i="1" a="1"/>
  <c r="G632" i="1" s="1"/>
  <c r="G633" i="1" a="1"/>
  <c r="G633" i="1"/>
  <c r="G634" i="1" a="1"/>
  <c r="G634" i="1"/>
  <c r="G635" i="1" a="1"/>
  <c r="G635" i="1"/>
  <c r="G636" i="1" a="1"/>
  <c r="G636" i="1" s="1"/>
  <c r="G637" i="1" a="1"/>
  <c r="G637" i="1"/>
  <c r="G638" i="1" a="1"/>
  <c r="G638" i="1" s="1"/>
  <c r="G639" i="1" a="1"/>
  <c r="G639" i="1" s="1"/>
  <c r="G640" i="1" a="1"/>
  <c r="G640" i="1" s="1"/>
  <c r="G641" i="1" a="1"/>
  <c r="G641" i="1" s="1"/>
  <c r="G642" i="1" a="1"/>
  <c r="G642" i="1" s="1"/>
  <c r="G643" i="1" a="1"/>
  <c r="G643" i="1"/>
  <c r="G644" i="1" a="1"/>
  <c r="G644" i="1" s="1"/>
  <c r="G645" i="1" a="1"/>
  <c r="G645" i="1"/>
  <c r="G646" i="1" a="1"/>
  <c r="G646" i="1"/>
  <c r="G647" i="1" a="1"/>
  <c r="G647" i="1" s="1"/>
  <c r="G648" i="1" a="1"/>
  <c r="G648" i="1" s="1"/>
  <c r="G649" i="1" a="1"/>
  <c r="G649" i="1"/>
  <c r="G650" i="1" a="1"/>
  <c r="G650" i="1" s="1"/>
  <c r="G651" i="1" a="1"/>
  <c r="G651" i="1"/>
  <c r="G652" i="1" a="1"/>
  <c r="G652" i="1" s="1"/>
  <c r="G653" i="1" a="1"/>
  <c r="G653" i="1"/>
  <c r="G654" i="1" a="1"/>
  <c r="G654" i="1"/>
  <c r="G655" i="1" a="1"/>
  <c r="G655" i="1"/>
  <c r="G656" i="1" a="1"/>
  <c r="G656" i="1" s="1"/>
  <c r="G657" i="1" a="1"/>
  <c r="G657" i="1"/>
  <c r="G658" i="1" a="1"/>
  <c r="G658" i="1"/>
  <c r="G659" i="1" a="1"/>
  <c r="G659" i="1" s="1"/>
  <c r="G660" i="1" a="1"/>
  <c r="G660" i="1"/>
  <c r="G661" i="1" a="1"/>
  <c r="G661" i="1"/>
  <c r="G662" i="1" a="1"/>
  <c r="G662" i="1"/>
  <c r="G663" i="1" a="1"/>
  <c r="G663" i="1" s="1"/>
  <c r="G664" i="1" a="1"/>
  <c r="G664" i="1" s="1"/>
  <c r="G665" i="1" a="1"/>
  <c r="G665" i="1"/>
  <c r="G666" i="1" a="1"/>
  <c r="G666" i="1" s="1"/>
  <c r="G667" i="1" a="1"/>
  <c r="G667" i="1" s="1"/>
  <c r="G668" i="1" a="1"/>
  <c r="G668" i="1"/>
  <c r="G669" i="1" a="1"/>
  <c r="G669" i="1"/>
  <c r="G670" i="1" a="1"/>
  <c r="G670" i="1"/>
  <c r="G671" i="1" a="1"/>
  <c r="G671" i="1" s="1"/>
  <c r="G672" i="1" a="1"/>
  <c r="G672" i="1"/>
  <c r="G673" i="1" a="1"/>
  <c r="G673" i="1"/>
  <c r="G674" i="1" a="1"/>
  <c r="G674" i="1"/>
  <c r="G675" i="1" a="1"/>
  <c r="G675" i="1" s="1"/>
  <c r="G676" i="1" a="1"/>
  <c r="G676" i="1"/>
  <c r="G677" i="1" a="1"/>
  <c r="G677" i="1"/>
  <c r="G678" i="1" a="1"/>
  <c r="G678" i="1"/>
  <c r="G679" i="1" a="1"/>
  <c r="G679" i="1" s="1"/>
  <c r="G680" i="1" a="1"/>
  <c r="G680" i="1" s="1"/>
  <c r="G681" i="1" a="1"/>
  <c r="G681" i="1"/>
  <c r="G682" i="1" a="1"/>
  <c r="G682" i="1" s="1"/>
  <c r="G683" i="1" a="1"/>
  <c r="G683" i="1" s="1"/>
  <c r="G684" i="1" a="1"/>
  <c r="G684" i="1"/>
  <c r="G685" i="1" a="1"/>
  <c r="G685" i="1"/>
  <c r="G686" i="1" a="1"/>
  <c r="G686" i="1"/>
  <c r="G687" i="1" a="1"/>
  <c r="G687" i="1" s="1"/>
  <c r="G688" i="1" a="1"/>
  <c r="G688" i="1"/>
  <c r="G689" i="1" a="1"/>
  <c r="G689" i="1"/>
  <c r="G690" i="1" a="1"/>
  <c r="G690" i="1"/>
  <c r="G691" i="1" a="1"/>
  <c r="G691" i="1" s="1"/>
  <c r="G692" i="1" a="1"/>
  <c r="G692" i="1"/>
  <c r="G693" i="1" a="1"/>
  <c r="G693" i="1"/>
  <c r="G694" i="1" a="1"/>
  <c r="G694" i="1"/>
  <c r="G695" i="1" a="1"/>
  <c r="G695" i="1" s="1"/>
  <c r="G696" i="1" a="1"/>
  <c r="G696" i="1" s="1"/>
  <c r="G697" i="1" a="1"/>
  <c r="G697" i="1"/>
  <c r="G698" i="1" a="1"/>
  <c r="G698" i="1" s="1"/>
  <c r="G699" i="1" a="1"/>
  <c r="G699" i="1" s="1"/>
  <c r="G700" i="1" a="1"/>
  <c r="G700" i="1"/>
  <c r="G701" i="1" a="1"/>
  <c r="G701" i="1"/>
  <c r="G702" i="1" a="1"/>
  <c r="G702" i="1"/>
  <c r="G703" i="1" a="1"/>
  <c r="G703" i="1" s="1"/>
  <c r="G704" i="1" a="1"/>
  <c r="G704" i="1"/>
  <c r="G705" i="1" a="1"/>
  <c r="G705" i="1"/>
  <c r="G706" i="1" a="1"/>
  <c r="G706" i="1"/>
  <c r="G707" i="1" a="1"/>
  <c r="G707" i="1" s="1"/>
  <c r="G708" i="1" a="1"/>
  <c r="G708" i="1"/>
  <c r="G709" i="1" a="1"/>
  <c r="G709" i="1"/>
  <c r="G710" i="1" a="1"/>
  <c r="G710" i="1"/>
  <c r="G711" i="1" a="1"/>
  <c r="G711" i="1" s="1"/>
  <c r="G712" i="1" a="1"/>
  <c r="G712" i="1" s="1"/>
  <c r="G713" i="1" a="1"/>
  <c r="G713" i="1"/>
  <c r="G714" i="1" a="1"/>
  <c r="G714" i="1" s="1"/>
  <c r="G715" i="1" a="1"/>
  <c r="G715" i="1" s="1"/>
  <c r="G716" i="1" a="1"/>
  <c r="G716" i="1"/>
  <c r="G717" i="1" a="1"/>
  <c r="G717" i="1"/>
  <c r="G718" i="1" a="1"/>
  <c r="G718" i="1"/>
  <c r="G719" i="1" a="1"/>
  <c r="G719" i="1" s="1"/>
  <c r="G720" i="1" a="1"/>
  <c r="G720" i="1"/>
  <c r="G721" i="1" a="1"/>
  <c r="G721" i="1"/>
  <c r="G722" i="1" a="1"/>
  <c r="G722" i="1"/>
  <c r="G723" i="1" a="1"/>
  <c r="G723" i="1" s="1"/>
  <c r="G724" i="1" a="1"/>
  <c r="G724" i="1"/>
  <c r="G725" i="1" a="1"/>
  <c r="G725" i="1"/>
  <c r="G726" i="1" a="1"/>
  <c r="G726" i="1"/>
  <c r="G727" i="1" a="1"/>
  <c r="G727" i="1" s="1"/>
  <c r="G728" i="1" a="1"/>
  <c r="G728" i="1" s="1"/>
  <c r="G729" i="1" a="1"/>
  <c r="G729" i="1"/>
  <c r="G730" i="1" a="1"/>
  <c r="G730" i="1" s="1"/>
  <c r="G731" i="1" a="1"/>
  <c r="G731" i="1" s="1"/>
  <c r="G732" i="1" a="1"/>
  <c r="G732" i="1"/>
  <c r="G733" i="1" a="1"/>
  <c r="G733" i="1"/>
  <c r="G734" i="1" a="1"/>
  <c r="G734" i="1"/>
  <c r="G735" i="1" a="1"/>
  <c r="G735" i="1" s="1"/>
  <c r="G736" i="1" a="1"/>
  <c r="G736" i="1"/>
  <c r="G737" i="1" a="1"/>
  <c r="G737" i="1"/>
  <c r="G738" i="1" a="1"/>
  <c r="G738" i="1"/>
  <c r="G739" i="1" a="1"/>
  <c r="G739" i="1" s="1"/>
  <c r="G740" i="1" a="1"/>
  <c r="G740" i="1"/>
  <c r="G741" i="1" a="1"/>
  <c r="G741" i="1"/>
  <c r="G742" i="1" a="1"/>
  <c r="G742" i="1"/>
  <c r="G743" i="1" a="1"/>
  <c r="G743" i="1" s="1"/>
  <c r="G744" i="1" a="1"/>
  <c r="G744" i="1" s="1"/>
  <c r="G745" i="1" a="1"/>
  <c r="G745" i="1"/>
  <c r="G746" i="1" a="1"/>
  <c r="G746" i="1" s="1"/>
  <c r="G747" i="1" a="1"/>
  <c r="G747" i="1" s="1"/>
  <c r="G748" i="1" a="1"/>
  <c r="G748" i="1"/>
  <c r="G749" i="1" a="1"/>
  <c r="G749" i="1"/>
  <c r="G750" i="1" a="1"/>
  <c r="G750" i="1"/>
  <c r="G751" i="1" a="1"/>
  <c r="G751" i="1" s="1"/>
  <c r="G752" i="1" a="1"/>
  <c r="G752" i="1"/>
  <c r="G753" i="1" a="1"/>
  <c r="G753" i="1"/>
  <c r="G754" i="1" a="1"/>
  <c r="G754" i="1"/>
  <c r="G755" i="1" a="1"/>
  <c r="G755" i="1" s="1"/>
  <c r="G756" i="1" a="1"/>
  <c r="G756" i="1"/>
  <c r="G757" i="1" a="1"/>
  <c r="G757" i="1"/>
  <c r="G758" i="1" a="1"/>
  <c r="G758" i="1"/>
  <c r="G759" i="1" a="1"/>
  <c r="G759" i="1" s="1"/>
  <c r="G760" i="1" a="1"/>
  <c r="G760" i="1" s="1"/>
  <c r="G761" i="1" a="1"/>
  <c r="G761" i="1"/>
  <c r="G762" i="1" a="1"/>
  <c r="G762" i="1" s="1"/>
  <c r="G763" i="1" a="1"/>
  <c r="G763" i="1" s="1"/>
  <c r="G764" i="1" a="1"/>
  <c r="G764" i="1"/>
  <c r="G765" i="1" a="1"/>
  <c r="G765" i="1"/>
  <c r="G766" i="1" a="1"/>
  <c r="G766" i="1"/>
  <c r="G767" i="1" a="1"/>
  <c r="G767" i="1" s="1"/>
  <c r="G768" i="1" a="1"/>
  <c r="G768" i="1"/>
  <c r="G769" i="1" a="1"/>
  <c r="G769" i="1"/>
  <c r="G770" i="1" a="1"/>
  <c r="G770" i="1"/>
  <c r="G771" i="1" a="1"/>
  <c r="G771" i="1" s="1"/>
  <c r="G772" i="1" a="1"/>
  <c r="G772" i="1"/>
  <c r="G773" i="1" a="1"/>
  <c r="G773" i="1"/>
  <c r="G774" i="1" a="1"/>
  <c r="G774" i="1"/>
  <c r="G775" i="1" a="1"/>
  <c r="G775" i="1" s="1"/>
  <c r="G776" i="1" a="1"/>
  <c r="G776" i="1" s="1"/>
  <c r="G777" i="1" a="1"/>
  <c r="G777" i="1"/>
  <c r="G778" i="1" a="1"/>
  <c r="G778" i="1" s="1"/>
  <c r="G779" i="1" a="1"/>
  <c r="G779" i="1" s="1"/>
  <c r="G780" i="1" a="1"/>
  <c r="G780" i="1"/>
  <c r="G781" i="1" a="1"/>
  <c r="G781" i="1"/>
  <c r="G782" i="1" a="1"/>
  <c r="G782" i="1"/>
  <c r="G783" i="1" a="1"/>
  <c r="G783" i="1" s="1"/>
  <c r="G784" i="1" a="1"/>
  <c r="G784" i="1"/>
  <c r="G785" i="1" a="1"/>
  <c r="G785" i="1"/>
  <c r="G786" i="1" a="1"/>
  <c r="G786" i="1"/>
  <c r="G787" i="1" a="1"/>
  <c r="G787" i="1" s="1"/>
  <c r="G788" i="1" a="1"/>
  <c r="G788" i="1"/>
  <c r="G789" i="1" a="1"/>
  <c r="G789" i="1"/>
  <c r="G790" i="1" a="1"/>
  <c r="G790" i="1"/>
  <c r="G791" i="1" a="1"/>
  <c r="G791" i="1" s="1"/>
  <c r="G792" i="1" a="1"/>
  <c r="G792" i="1" s="1"/>
  <c r="G793" i="1" a="1"/>
  <c r="G793" i="1"/>
  <c r="G794" i="1" a="1"/>
  <c r="G794" i="1" s="1"/>
  <c r="G795" i="1" a="1"/>
  <c r="G795" i="1" s="1"/>
  <c r="G796" i="1" a="1"/>
  <c r="G796" i="1"/>
  <c r="G797" i="1" a="1"/>
  <c r="G797" i="1"/>
  <c r="G798" i="1" a="1"/>
  <c r="G798" i="1"/>
  <c r="G799" i="1" a="1"/>
  <c r="G799" i="1" s="1"/>
  <c r="G800" i="1" a="1"/>
  <c r="G800" i="1"/>
  <c r="G801" i="1" a="1"/>
  <c r="G801" i="1"/>
  <c r="G802" i="1" a="1"/>
  <c r="G802" i="1"/>
  <c r="G803" i="1" a="1"/>
  <c r="G803" i="1" s="1"/>
  <c r="G804" i="1" a="1"/>
  <c r="G804" i="1"/>
  <c r="G805" i="1" a="1"/>
  <c r="G805" i="1"/>
  <c r="G806" i="1" a="1"/>
  <c r="G806" i="1"/>
  <c r="G807" i="1" a="1"/>
  <c r="G807" i="1" s="1"/>
  <c r="G808" i="1" a="1"/>
  <c r="G808" i="1" s="1"/>
  <c r="G809" i="1" a="1"/>
  <c r="G809" i="1"/>
  <c r="G810" i="1" a="1"/>
  <c r="G810" i="1" s="1"/>
  <c r="G811" i="1" a="1"/>
  <c r="G811" i="1" s="1"/>
  <c r="G812" i="1" a="1"/>
  <c r="G812" i="1"/>
  <c r="G813" i="1" a="1"/>
  <c r="G813" i="1"/>
  <c r="G814" i="1" a="1"/>
  <c r="G814" i="1"/>
  <c r="G815" i="1" a="1"/>
  <c r="G815" i="1" s="1"/>
  <c r="G816" i="1" a="1"/>
  <c r="G816" i="1"/>
  <c r="G817" i="1" a="1"/>
  <c r="G817" i="1"/>
  <c r="G818" i="1" a="1"/>
  <c r="G818" i="1"/>
  <c r="G819" i="1" a="1"/>
  <c r="G819" i="1" s="1"/>
  <c r="G820" i="1" a="1"/>
  <c r="G820" i="1"/>
  <c r="G821" i="1" a="1"/>
  <c r="G821" i="1"/>
  <c r="G822" i="1" a="1"/>
  <c r="G822" i="1"/>
  <c r="G823" i="1" a="1"/>
  <c r="G823" i="1" s="1"/>
  <c r="G824" i="1" a="1"/>
  <c r="G824" i="1" s="1"/>
  <c r="G825" i="1" a="1"/>
  <c r="G825" i="1"/>
  <c r="G826" i="1" a="1"/>
  <c r="G826" i="1" s="1"/>
  <c r="G827" i="1" a="1"/>
  <c r="G827" i="1" s="1"/>
  <c r="G828" i="1" a="1"/>
  <c r="G828" i="1"/>
  <c r="G829" i="1" a="1"/>
  <c r="G829" i="1"/>
  <c r="G830" i="1" a="1"/>
  <c r="G830" i="1"/>
  <c r="G831" i="1" a="1"/>
  <c r="G831" i="1" s="1"/>
  <c r="G832" i="1" a="1"/>
  <c r="G832" i="1"/>
  <c r="G833" i="1" a="1"/>
  <c r="G833" i="1"/>
  <c r="G834" i="1" a="1"/>
  <c r="G834" i="1"/>
  <c r="G835" i="1" a="1"/>
  <c r="G835" i="1" s="1"/>
  <c r="G836" i="1" a="1"/>
  <c r="G836" i="1"/>
  <c r="G837" i="1" a="1"/>
  <c r="G837" i="1"/>
  <c r="G838" i="1" a="1"/>
  <c r="G838" i="1"/>
  <c r="G839" i="1" a="1"/>
  <c r="G839" i="1" s="1"/>
  <c r="G840" i="1" a="1"/>
  <c r="G840" i="1" s="1"/>
  <c r="G841" i="1" a="1"/>
  <c r="G841" i="1"/>
  <c r="G842" i="1" a="1"/>
  <c r="G842" i="1" s="1"/>
  <c r="G843" i="1" a="1"/>
  <c r="G843" i="1" s="1"/>
  <c r="G844" i="1" a="1"/>
  <c r="G844" i="1"/>
  <c r="G845" i="1" a="1"/>
  <c r="G845" i="1"/>
  <c r="G846" i="1" a="1"/>
  <c r="G846" i="1"/>
  <c r="G847" i="1" a="1"/>
  <c r="G847" i="1" s="1"/>
  <c r="G848" i="1" a="1"/>
  <c r="G848" i="1"/>
  <c r="G849" i="1" a="1"/>
  <c r="G849" i="1" s="1"/>
  <c r="G850" i="1" a="1"/>
  <c r="G850" i="1"/>
  <c r="G851" i="1" a="1"/>
  <c r="G851" i="1" s="1"/>
  <c r="G852" i="1" a="1"/>
  <c r="G852" i="1"/>
  <c r="G853" i="1" a="1"/>
  <c r="G853" i="1"/>
  <c r="G854" i="1" a="1"/>
  <c r="G854" i="1"/>
  <c r="G855" i="1" a="1"/>
  <c r="G855" i="1" s="1"/>
  <c r="G856" i="1" a="1"/>
  <c r="G856" i="1" s="1"/>
  <c r="G857" i="1" a="1"/>
  <c r="G857" i="1"/>
  <c r="G858" i="1" a="1"/>
  <c r="G858" i="1" s="1"/>
  <c r="G859" i="1" a="1"/>
  <c r="G859" i="1" s="1"/>
  <c r="G860" i="1" a="1"/>
  <c r="G860" i="1"/>
  <c r="G861" i="1" a="1"/>
  <c r="G861" i="1"/>
  <c r="G862" i="1" a="1"/>
  <c r="G862" i="1"/>
  <c r="G863" i="1" a="1"/>
  <c r="G863" i="1" s="1"/>
  <c r="G864" i="1" a="1"/>
  <c r="G864" i="1"/>
  <c r="G865" i="1" a="1"/>
  <c r="G865" i="1" s="1"/>
  <c r="G866" i="1" a="1"/>
  <c r="G866" i="1"/>
  <c r="G867" i="1" a="1"/>
  <c r="G867" i="1" s="1"/>
  <c r="G868" i="1" a="1"/>
  <c r="G868" i="1"/>
  <c r="G869" i="1" a="1"/>
  <c r="G869" i="1"/>
  <c r="G870" i="1" a="1"/>
  <c r="G870" i="1"/>
  <c r="G871" i="1" a="1"/>
  <c r="G871" i="1" s="1"/>
  <c r="G872" i="1" a="1"/>
  <c r="G872" i="1" s="1"/>
  <c r="G873" i="1" a="1"/>
  <c r="G873" i="1"/>
  <c r="G874" i="1" a="1"/>
  <c r="G874" i="1" s="1"/>
  <c r="G875" i="1" a="1"/>
  <c r="G875" i="1" s="1"/>
  <c r="G876" i="1" a="1"/>
  <c r="G876" i="1"/>
  <c r="G877" i="1" a="1"/>
  <c r="G877" i="1"/>
  <c r="G878" i="1" a="1"/>
  <c r="G878" i="1"/>
  <c r="G879" i="1" a="1"/>
  <c r="G879" i="1" s="1"/>
  <c r="G880" i="1" a="1"/>
  <c r="G880" i="1"/>
  <c r="G881" i="1" a="1"/>
  <c r="G881" i="1" s="1"/>
  <c r="G882" i="1" a="1"/>
  <c r="G882" i="1"/>
  <c r="G883" i="1" a="1"/>
  <c r="G883" i="1" s="1"/>
  <c r="G884" i="1" a="1"/>
  <c r="G884" i="1"/>
  <c r="G885" i="1" a="1"/>
  <c r="G885" i="1"/>
  <c r="G886" i="1" a="1"/>
  <c r="G886" i="1"/>
  <c r="G887" i="1" a="1"/>
  <c r="G887" i="1" s="1"/>
  <c r="G888" i="1" a="1"/>
  <c r="G888" i="1" s="1"/>
  <c r="G889" i="1" a="1"/>
  <c r="G889" i="1"/>
  <c r="G890" i="1" a="1"/>
  <c r="G890" i="1" s="1"/>
  <c r="G891" i="1" a="1"/>
  <c r="G891" i="1" s="1"/>
  <c r="G892" i="1" a="1"/>
  <c r="G892" i="1"/>
  <c r="G893" i="1" a="1"/>
  <c r="G893" i="1"/>
  <c r="G894" i="1" a="1"/>
  <c r="G894" i="1"/>
  <c r="G895" i="1" a="1"/>
  <c r="G895" i="1" s="1"/>
  <c r="G896" i="1" a="1"/>
  <c r="G896" i="1"/>
  <c r="G897" i="1" a="1"/>
  <c r="G897" i="1" s="1"/>
  <c r="G898" i="1" a="1"/>
  <c r="G898" i="1"/>
  <c r="G899" i="1" a="1"/>
  <c r="G899" i="1" s="1"/>
  <c r="G900" i="1" a="1"/>
  <c r="G900" i="1"/>
  <c r="G901" i="1" a="1"/>
  <c r="G901" i="1"/>
  <c r="G902" i="1" a="1"/>
  <c r="G902" i="1"/>
  <c r="G903" i="1" a="1"/>
  <c r="G903" i="1" s="1"/>
  <c r="G904" i="1" a="1"/>
  <c r="G904" i="1" s="1"/>
  <c r="G905" i="1" a="1"/>
  <c r="G905" i="1"/>
  <c r="G906" i="1" a="1"/>
  <c r="G906" i="1" s="1"/>
  <c r="G907" i="1" a="1"/>
  <c r="G907" i="1" s="1"/>
  <c r="G908" i="1" a="1"/>
  <c r="G908" i="1"/>
  <c r="G909" i="1" a="1"/>
  <c r="G909" i="1"/>
  <c r="G910" i="1" a="1"/>
  <c r="G910" i="1"/>
  <c r="G911" i="1" a="1"/>
  <c r="G911" i="1" s="1"/>
  <c r="G912" i="1" a="1"/>
  <c r="G912" i="1"/>
  <c r="G913" i="1" a="1"/>
  <c r="G913" i="1" s="1"/>
  <c r="G914" i="1" a="1"/>
  <c r="G914" i="1"/>
  <c r="G915" i="1" a="1"/>
  <c r="G915" i="1" s="1"/>
  <c r="G916" i="1" a="1"/>
  <c r="G916" i="1"/>
  <c r="G917" i="1" a="1"/>
  <c r="G917" i="1"/>
  <c r="G918" i="1" a="1"/>
  <c r="G918" i="1"/>
  <c r="G919" i="1" a="1"/>
  <c r="G919" i="1" s="1"/>
  <c r="G920" i="1" a="1"/>
  <c r="G920" i="1" s="1"/>
  <c r="G921" i="1" a="1"/>
  <c r="G921" i="1"/>
  <c r="G922" i="1" a="1"/>
  <c r="G922" i="1" s="1"/>
  <c r="G923" i="1" a="1"/>
  <c r="G923" i="1" s="1"/>
  <c r="G924" i="1" a="1"/>
  <c r="G924" i="1"/>
  <c r="G925" i="1" a="1"/>
  <c r="G925" i="1"/>
  <c r="G926" i="1" a="1"/>
  <c r="G926" i="1"/>
  <c r="G927" i="1" a="1"/>
  <c r="G927" i="1" s="1"/>
  <c r="G928" i="1" a="1"/>
  <c r="G928" i="1"/>
  <c r="G929" i="1" a="1"/>
  <c r="G929" i="1" s="1"/>
  <c r="G930" i="1" a="1"/>
  <c r="G930" i="1"/>
  <c r="G931" i="1" a="1"/>
  <c r="G931" i="1" s="1"/>
  <c r="G932" i="1" a="1"/>
  <c r="G932" i="1"/>
  <c r="G933" i="1" a="1"/>
  <c r="G933" i="1"/>
  <c r="G934" i="1" a="1"/>
  <c r="G934" i="1"/>
  <c r="G935" i="1" a="1"/>
  <c r="G935" i="1" s="1"/>
  <c r="G936" i="1" a="1"/>
  <c r="G936" i="1" s="1"/>
  <c r="G937" i="1" a="1"/>
  <c r="G937" i="1"/>
  <c r="G938" i="1" a="1"/>
  <c r="G938" i="1" s="1"/>
  <c r="G939" i="1" a="1"/>
  <c r="G939" i="1" s="1"/>
  <c r="G940" i="1" a="1"/>
  <c r="G940" i="1"/>
  <c r="G941" i="1" a="1"/>
  <c r="G941" i="1"/>
  <c r="G942" i="1" a="1"/>
  <c r="G942" i="1"/>
  <c r="G943" i="1" a="1"/>
  <c r="G943" i="1" s="1"/>
  <c r="G944" i="1" a="1"/>
  <c r="G944" i="1"/>
  <c r="G945" i="1" a="1"/>
  <c r="G945" i="1" s="1"/>
  <c r="G946" i="1" a="1"/>
  <c r="G946" i="1"/>
  <c r="G947" i="1" a="1"/>
  <c r="G947" i="1" s="1"/>
  <c r="G948" i="1" a="1"/>
  <c r="G948" i="1"/>
  <c r="G949" i="1" a="1"/>
  <c r="G949" i="1"/>
  <c r="G950" i="1" a="1"/>
  <c r="G950" i="1"/>
  <c r="G951" i="1" a="1"/>
  <c r="G951" i="1" s="1"/>
  <c r="G952" i="1" a="1"/>
  <c r="G952" i="1" s="1"/>
  <c r="G953" i="1" a="1"/>
  <c r="G953" i="1"/>
  <c r="G954" i="1" a="1"/>
  <c r="G954" i="1" s="1"/>
  <c r="G955" i="1" a="1"/>
  <c r="G955" i="1" s="1"/>
  <c r="G956" i="1" a="1"/>
  <c r="G956" i="1"/>
  <c r="G957" i="1" a="1"/>
  <c r="G957" i="1"/>
  <c r="G958" i="1" a="1"/>
  <c r="G958" i="1"/>
  <c r="G959" i="1" a="1"/>
  <c r="G959" i="1" s="1"/>
  <c r="G960" i="1" a="1"/>
  <c r="G960" i="1"/>
  <c r="G961" i="1" a="1"/>
  <c r="G961" i="1" s="1"/>
  <c r="G962" i="1" a="1"/>
  <c r="G962" i="1"/>
  <c r="G963" i="1" a="1"/>
  <c r="G963" i="1" s="1"/>
  <c r="G964" i="1" a="1"/>
  <c r="G964" i="1"/>
  <c r="G965" i="1" a="1"/>
  <c r="G965" i="1"/>
  <c r="G966" i="1" a="1"/>
  <c r="G966" i="1"/>
  <c r="G967" i="1" a="1"/>
  <c r="G967" i="1" s="1"/>
  <c r="G968" i="1" a="1"/>
  <c r="G968" i="1" s="1"/>
  <c r="G969" i="1" a="1"/>
  <c r="G969" i="1"/>
  <c r="G970" i="1" a="1"/>
  <c r="G970" i="1" s="1"/>
  <c r="G971" i="1" a="1"/>
  <c r="G971" i="1" s="1"/>
  <c r="G972" i="1" a="1"/>
  <c r="G972" i="1"/>
  <c r="G973" i="1" a="1"/>
  <c r="G973" i="1"/>
  <c r="G974" i="1" a="1"/>
  <c r="G974" i="1"/>
  <c r="G975" i="1" a="1"/>
  <c r="G975" i="1" s="1"/>
  <c r="G976" i="1" a="1"/>
  <c r="G976" i="1"/>
  <c r="G977" i="1" a="1"/>
  <c r="G977" i="1" s="1"/>
  <c r="G978" i="1" a="1"/>
  <c r="G978" i="1"/>
  <c r="G979" i="1" a="1"/>
  <c r="G979" i="1" s="1"/>
  <c r="G980" i="1" a="1"/>
  <c r="G980" i="1"/>
  <c r="G981" i="1" a="1"/>
  <c r="G981" i="1"/>
  <c r="G982" i="1" a="1"/>
  <c r="G982" i="1"/>
  <c r="G983" i="1" a="1"/>
  <c r="G983" i="1" s="1"/>
  <c r="G984" i="1" a="1"/>
  <c r="G984" i="1" s="1"/>
  <c r="G985" i="1" a="1"/>
  <c r="G985" i="1"/>
  <c r="G986" i="1" a="1"/>
  <c r="G986" i="1" s="1"/>
  <c r="G987" i="1" a="1"/>
  <c r="G987" i="1" s="1"/>
  <c r="G988" i="1" a="1"/>
  <c r="G988" i="1"/>
  <c r="G989" i="1" a="1"/>
  <c r="G989" i="1"/>
  <c r="G990" i="1" a="1"/>
  <c r="G990" i="1"/>
  <c r="G991" i="1" a="1"/>
  <c r="G991" i="1" s="1"/>
  <c r="G992" i="1" a="1"/>
  <c r="G992" i="1"/>
  <c r="G993" i="1" a="1"/>
  <c r="G993" i="1" s="1"/>
  <c r="G994" i="1" a="1"/>
  <c r="G994" i="1"/>
  <c r="G995" i="1" a="1"/>
  <c r="G995" i="1" s="1"/>
  <c r="G996" i="1" a="1"/>
  <c r="G996" i="1"/>
  <c r="G997" i="1" a="1"/>
  <c r="G997" i="1"/>
  <c r="G998" i="1" a="1"/>
  <c r="G998" i="1"/>
  <c r="G999" i="1" a="1"/>
  <c r="G999" i="1" s="1"/>
  <c r="G1000" i="1" a="1"/>
  <c r="G1000" i="1" s="1"/>
  <c r="G1001" i="1" a="1"/>
  <c r="G1001" i="1"/>
  <c r="G1002" i="1" a="1"/>
  <c r="G1002" i="1" s="1"/>
  <c r="G1003" i="1" a="1"/>
  <c r="G1003" i="1" s="1"/>
  <c r="G1004" i="1" a="1"/>
  <c r="G1004" i="1"/>
  <c r="G1005" i="1" a="1"/>
  <c r="G1005" i="1"/>
  <c r="G1006" i="1" a="1"/>
  <c r="G1006" i="1"/>
  <c r="G1007" i="1" a="1"/>
  <c r="G1007" i="1" s="1"/>
  <c r="G1008" i="1" a="1"/>
  <c r="G1008" i="1"/>
  <c r="G1009" i="1" a="1"/>
  <c r="G1009" i="1" s="1"/>
  <c r="G1010" i="1" a="1"/>
  <c r="G1010" i="1"/>
  <c r="G1011" i="1" a="1"/>
  <c r="G1011" i="1" s="1"/>
  <c r="G1012" i="1" a="1"/>
  <c r="G1012" i="1"/>
  <c r="G1013" i="1" a="1"/>
  <c r="G1013" i="1"/>
  <c r="G1014" i="1" a="1"/>
  <c r="G1014" i="1"/>
  <c r="G1015" i="1" a="1"/>
  <c r="G1015" i="1" s="1"/>
  <c r="G1016" i="1" a="1"/>
  <c r="G1016" i="1" s="1"/>
  <c r="G1017" i="1" a="1"/>
  <c r="G1017" i="1"/>
  <c r="G1018" i="1" a="1"/>
  <c r="G1018" i="1" s="1"/>
  <c r="G1019" i="1" a="1"/>
  <c r="G1019" i="1" s="1"/>
  <c r="G1020" i="1" a="1"/>
  <c r="G1020" i="1"/>
  <c r="G1021" i="1" a="1"/>
  <c r="G1021" i="1"/>
  <c r="G1022" i="1" a="1"/>
  <c r="G1022" i="1"/>
  <c r="G1023" i="1" a="1"/>
  <c r="G1023" i="1" s="1"/>
  <c r="G1024" i="1" a="1"/>
  <c r="G1024" i="1"/>
  <c r="G1025" i="1" a="1"/>
  <c r="G1025" i="1" s="1"/>
  <c r="G1026" i="1" a="1"/>
  <c r="G1026" i="1"/>
  <c r="G1027" i="1" a="1"/>
  <c r="G1027" i="1" s="1"/>
  <c r="G1028" i="1" a="1"/>
  <c r="G1028" i="1"/>
  <c r="G1029" i="1" a="1"/>
  <c r="G1029" i="1"/>
  <c r="G1030" i="1" a="1"/>
  <c r="G1030" i="1"/>
  <c r="G1031" i="1" a="1"/>
  <c r="G1031" i="1" s="1"/>
  <c r="G1032" i="1" a="1"/>
  <c r="G1032" i="1" s="1"/>
  <c r="G1033" i="1" a="1"/>
  <c r="G1033" i="1"/>
  <c r="G1034" i="1" a="1"/>
  <c r="G1034" i="1" s="1"/>
  <c r="G1035" i="1" a="1"/>
  <c r="G1035" i="1" s="1"/>
  <c r="G1036" i="1" a="1"/>
  <c r="G1036" i="1"/>
  <c r="G1037" i="1" a="1"/>
  <c r="G1037" i="1"/>
  <c r="G1038" i="1" a="1"/>
  <c r="G1038" i="1"/>
  <c r="G1039" i="1" a="1"/>
  <c r="G1039" i="1" s="1"/>
  <c r="G1040" i="1" a="1"/>
  <c r="G1040" i="1"/>
  <c r="G1041" i="1" a="1"/>
  <c r="G1041" i="1" s="1"/>
  <c r="G1042" i="1" a="1"/>
  <c r="G1042" i="1"/>
  <c r="G1043" i="1" a="1"/>
  <c r="G1043" i="1" s="1"/>
  <c r="G1044" i="1" a="1"/>
  <c r="G1044" i="1"/>
  <c r="G1045" i="1" a="1"/>
  <c r="G1045" i="1"/>
  <c r="G1046" i="1" a="1"/>
  <c r="G1046" i="1"/>
  <c r="G1047" i="1" a="1"/>
  <c r="G1047" i="1" s="1"/>
  <c r="G1048" i="1" a="1"/>
  <c r="G1048" i="1" s="1"/>
  <c r="G1049" i="1" a="1"/>
  <c r="G1049" i="1"/>
  <c r="G1050" i="1" a="1"/>
  <c r="G1050" i="1" s="1"/>
  <c r="G1051" i="1" a="1"/>
  <c r="G1051" i="1" s="1"/>
  <c r="G1052" i="1" a="1"/>
  <c r="G1052" i="1"/>
  <c r="G1053" i="1" a="1"/>
  <c r="G1053" i="1"/>
  <c r="G1054" i="1" a="1"/>
  <c r="G1054" i="1"/>
  <c r="G1055" i="1" a="1"/>
  <c r="G1055" i="1" s="1"/>
  <c r="G1056" i="1" a="1"/>
  <c r="G1056" i="1"/>
  <c r="G1057" i="1" a="1"/>
  <c r="G1057" i="1" s="1"/>
  <c r="G1058" i="1" a="1"/>
  <c r="G1058" i="1"/>
  <c r="G1059" i="1" a="1"/>
  <c r="G1059" i="1" s="1"/>
  <c r="G1060" i="1" a="1"/>
  <c r="G1060" i="1"/>
  <c r="G1061" i="1" a="1"/>
  <c r="G1061" i="1"/>
  <c r="G1062" i="1" a="1"/>
  <c r="G1062" i="1"/>
  <c r="G1063" i="1" a="1"/>
  <c r="G1063" i="1" s="1"/>
  <c r="G1064" i="1" a="1"/>
  <c r="G1064" i="1" s="1"/>
  <c r="G1065" i="1" a="1"/>
  <c r="G1065" i="1"/>
  <c r="G1066" i="1" a="1"/>
  <c r="G1066" i="1" s="1"/>
  <c r="G1067" i="1" a="1"/>
  <c r="G1067" i="1" s="1"/>
  <c r="G1068" i="1" a="1"/>
  <c r="G1068" i="1"/>
  <c r="G1069" i="1" a="1"/>
  <c r="G1069" i="1"/>
  <c r="G1070" i="1" a="1"/>
  <c r="G1070" i="1"/>
  <c r="G1071" i="1" a="1"/>
  <c r="G1071" i="1" s="1"/>
  <c r="G1072" i="1" a="1"/>
  <c r="G1072" i="1"/>
  <c r="G1073" i="1" a="1"/>
  <c r="G1073" i="1" s="1"/>
  <c r="G1074" i="1" a="1"/>
  <c r="G1074" i="1"/>
  <c r="G1075" i="1" a="1"/>
  <c r="G1075" i="1" s="1"/>
  <c r="G1076" i="1" a="1"/>
  <c r="G1076" i="1"/>
  <c r="G1077" i="1" a="1"/>
  <c r="G1077" i="1"/>
  <c r="G1078" i="1" a="1"/>
  <c r="G1078" i="1"/>
  <c r="G1079" i="1" a="1"/>
  <c r="G1079" i="1" s="1"/>
  <c r="G1080" i="1" a="1"/>
  <c r="G1080" i="1" s="1"/>
  <c r="G1081" i="1" a="1"/>
  <c r="G1081" i="1"/>
  <c r="G1082" i="1" a="1"/>
  <c r="G1082" i="1" s="1"/>
  <c r="G1083" i="1" a="1"/>
  <c r="G1083" i="1" s="1"/>
  <c r="G1084" i="1" a="1"/>
  <c r="G1084" i="1"/>
  <c r="G1085" i="1" a="1"/>
  <c r="G1085" i="1"/>
  <c r="G1086" i="1" a="1"/>
  <c r="G1086" i="1"/>
  <c r="G1087" i="1" a="1"/>
  <c r="G1087" i="1" s="1"/>
  <c r="G1088" i="1" a="1"/>
  <c r="G1088" i="1"/>
  <c r="G1089" i="1" a="1"/>
  <c r="G1089" i="1" s="1"/>
  <c r="G1090" i="1" a="1"/>
  <c r="G1090" i="1"/>
  <c r="G1091" i="1" a="1"/>
  <c r="G1091" i="1" s="1"/>
  <c r="G1092" i="1" a="1"/>
  <c r="G1092" i="1"/>
  <c r="G1093" i="1" a="1"/>
  <c r="G1093" i="1"/>
  <c r="G1094" i="1" a="1"/>
  <c r="G1094" i="1"/>
  <c r="G1095" i="1" a="1"/>
  <c r="G1095" i="1" s="1"/>
  <c r="G1096" i="1" a="1"/>
  <c r="G1096" i="1" s="1"/>
  <c r="G1097" i="1" a="1"/>
  <c r="G1097" i="1"/>
  <c r="G1098" i="1" a="1"/>
  <c r="G1098" i="1" s="1"/>
  <c r="G1099" i="1" a="1"/>
  <c r="G1099" i="1" s="1"/>
  <c r="G1100" i="1" a="1"/>
  <c r="G1100" i="1"/>
  <c r="G1101" i="1" a="1"/>
  <c r="G1101" i="1"/>
  <c r="G1102" i="1" a="1"/>
  <c r="G1102" i="1"/>
  <c r="G1103" i="1" a="1"/>
  <c r="G1103" i="1" s="1"/>
  <c r="G1104" i="1" a="1"/>
  <c r="G1104" i="1"/>
  <c r="G1105" i="1" a="1"/>
  <c r="G1105" i="1" s="1"/>
  <c r="G1106" i="1" a="1"/>
  <c r="G1106" i="1"/>
  <c r="G1107" i="1" a="1"/>
  <c r="G1107" i="1" s="1"/>
  <c r="G1108" i="1" a="1"/>
  <c r="G1108" i="1"/>
  <c r="G1109" i="1" a="1"/>
  <c r="G1109" i="1"/>
  <c r="G1110" i="1" a="1"/>
  <c r="G1110" i="1"/>
  <c r="G1111" i="1" a="1"/>
  <c r="G1111" i="1" s="1"/>
  <c r="G1112" i="1" a="1"/>
  <c r="G1112" i="1" s="1"/>
  <c r="G1113" i="1" a="1"/>
  <c r="G1113" i="1"/>
  <c r="G1114" i="1" a="1"/>
  <c r="G1114" i="1" s="1"/>
  <c r="G1115" i="1" a="1"/>
  <c r="G1115" i="1" s="1"/>
  <c r="G1116" i="1" a="1"/>
  <c r="G1116" i="1"/>
  <c r="G1117" i="1" a="1"/>
  <c r="G1117" i="1"/>
  <c r="G1118" i="1" a="1"/>
  <c r="G1118" i="1"/>
  <c r="G1119" i="1" a="1"/>
  <c r="G1119" i="1" s="1"/>
  <c r="G1120" i="1" a="1"/>
  <c r="G1120" i="1"/>
  <c r="G1121" i="1" a="1"/>
  <c r="G1121" i="1" s="1"/>
  <c r="G1122" i="1" a="1"/>
  <c r="G1122" i="1"/>
  <c r="G1123" i="1" a="1"/>
  <c r="G1123" i="1" s="1"/>
  <c r="G1124" i="1" a="1"/>
  <c r="G1124" i="1"/>
  <c r="G1125" i="1" a="1"/>
  <c r="G1125" i="1"/>
  <c r="G1126" i="1" a="1"/>
  <c r="G1126" i="1"/>
  <c r="G1127" i="1" a="1"/>
  <c r="G1127" i="1" s="1"/>
  <c r="G1128" i="1" a="1"/>
  <c r="G1128" i="1" s="1"/>
  <c r="G1129" i="1" a="1"/>
  <c r="G1129" i="1"/>
  <c r="G1130" i="1" a="1"/>
  <c r="G1130" i="1" s="1"/>
  <c r="G1131" i="1" a="1"/>
  <c r="G1131" i="1" s="1"/>
  <c r="G1132" i="1" a="1"/>
  <c r="G1132" i="1"/>
  <c r="G1133" i="1" a="1"/>
  <c r="G1133" i="1"/>
  <c r="G1134" i="1" a="1"/>
  <c r="G1134" i="1"/>
  <c r="G1135" i="1" a="1"/>
  <c r="G1135" i="1" s="1"/>
  <c r="G1136" i="1" a="1"/>
  <c r="G1136" i="1"/>
  <c r="G1137" i="1" a="1"/>
  <c r="G1137" i="1" s="1"/>
  <c r="G1138" i="1" a="1"/>
  <c r="G1138" i="1"/>
  <c r="G1139" i="1" a="1"/>
  <c r="G1139" i="1" s="1"/>
  <c r="G1140" i="1" a="1"/>
  <c r="G1140" i="1"/>
  <c r="G1141" i="1" a="1"/>
  <c r="G1141" i="1"/>
  <c r="G1142" i="1" a="1"/>
  <c r="G1142" i="1"/>
  <c r="G1143" i="1" a="1"/>
  <c r="G1143" i="1" s="1"/>
  <c r="G1144" i="1" a="1"/>
  <c r="G1144" i="1" s="1"/>
  <c r="G1145" i="1" a="1"/>
  <c r="G1145" i="1"/>
  <c r="G1146" i="1" a="1"/>
  <c r="G1146" i="1" s="1"/>
  <c r="G1147" i="1" a="1"/>
  <c r="G1147" i="1" s="1"/>
  <c r="G1148" i="1" a="1"/>
  <c r="G1148" i="1"/>
  <c r="G1149" i="1" a="1"/>
  <c r="G1149" i="1"/>
  <c r="G1150" i="1" a="1"/>
  <c r="G1150" i="1"/>
  <c r="G1151" i="1" a="1"/>
  <c r="G1151" i="1" s="1"/>
  <c r="G1152" i="1" a="1"/>
  <c r="G1152" i="1"/>
  <c r="G1153" i="1" a="1"/>
  <c r="G1153" i="1" s="1"/>
  <c r="G1154" i="1" a="1"/>
  <c r="G1154" i="1"/>
  <c r="G1155" i="1" a="1"/>
  <c r="G1155" i="1" s="1"/>
  <c r="G1156" i="1" a="1"/>
  <c r="G1156" i="1"/>
  <c r="G1157" i="1" a="1"/>
  <c r="G1157" i="1"/>
  <c r="G1158" i="1" a="1"/>
  <c r="G1158" i="1"/>
  <c r="G1159" i="1" a="1"/>
  <c r="G1159" i="1" s="1"/>
  <c r="G1160" i="1" a="1"/>
  <c r="G1160" i="1" s="1"/>
  <c r="G1161" i="1" a="1"/>
  <c r="G1161" i="1"/>
  <c r="G1162" i="1" a="1"/>
  <c r="G1162" i="1" s="1"/>
  <c r="G1163" i="1" a="1"/>
  <c r="G1163" i="1" s="1"/>
  <c r="G1164" i="1" a="1"/>
  <c r="G1164" i="1"/>
  <c r="G1165" i="1" a="1"/>
  <c r="G1165" i="1"/>
  <c r="G1166" i="1" a="1"/>
  <c r="G1166" i="1"/>
  <c r="G1167" i="1" a="1"/>
  <c r="G1167" i="1" s="1"/>
  <c r="G1168" i="1" a="1"/>
  <c r="G1168" i="1"/>
  <c r="G1169" i="1" a="1"/>
  <c r="G1169" i="1" s="1"/>
  <c r="G1170" i="1" a="1"/>
  <c r="G1170" i="1"/>
  <c r="G1171" i="1" a="1"/>
  <c r="G1171" i="1" s="1"/>
  <c r="G1172" i="1" a="1"/>
  <c r="G1172" i="1"/>
  <c r="G1173" i="1" a="1"/>
  <c r="G1173" i="1"/>
  <c r="G1174" i="1" a="1"/>
  <c r="G1174" i="1"/>
  <c r="G1175" i="1" a="1"/>
  <c r="G1175" i="1" s="1"/>
  <c r="G1176" i="1" a="1"/>
  <c r="G1176" i="1" s="1"/>
  <c r="G1177" i="1" a="1"/>
  <c r="G1177" i="1"/>
  <c r="G1178" i="1" a="1"/>
  <c r="G1178" i="1" s="1"/>
  <c r="G1179" i="1" a="1"/>
  <c r="G1179" i="1" s="1"/>
  <c r="G1180" i="1" a="1"/>
  <c r="G1180" i="1"/>
  <c r="G1181" i="1" a="1"/>
  <c r="G1181" i="1"/>
  <c r="G1182" i="1" a="1"/>
  <c r="G1182" i="1"/>
  <c r="G1183" i="1" a="1"/>
  <c r="G1183" i="1" s="1"/>
  <c r="G1184" i="1" a="1"/>
  <c r="G1184" i="1"/>
  <c r="G1185" i="1" a="1"/>
  <c r="G1185" i="1" s="1"/>
  <c r="G1186" i="1" a="1"/>
  <c r="G1186" i="1"/>
  <c r="G1187" i="1" a="1"/>
  <c r="G1187" i="1" s="1"/>
  <c r="G1188" i="1" a="1"/>
  <c r="G1188" i="1"/>
  <c r="G1189" i="1" a="1"/>
  <c r="G1189" i="1"/>
  <c r="G1190" i="1" a="1"/>
  <c r="G1190" i="1"/>
  <c r="G1191" i="1" a="1"/>
  <c r="G1191" i="1" s="1"/>
  <c r="G1192" i="1" a="1"/>
  <c r="G1192" i="1" s="1"/>
  <c r="G1193" i="1" a="1"/>
  <c r="G1193" i="1"/>
  <c r="G1194" i="1" a="1"/>
  <c r="G1194" i="1" s="1"/>
  <c r="G1195" i="1" a="1"/>
  <c r="G1195" i="1" s="1"/>
  <c r="G1196" i="1" a="1"/>
  <c r="G1196" i="1"/>
  <c r="G1197" i="1" a="1"/>
  <c r="G1197" i="1"/>
  <c r="G1198" i="1" a="1"/>
  <c r="G1198" i="1"/>
  <c r="G1199" i="1" a="1"/>
  <c r="G1199" i="1" s="1"/>
  <c r="G1200" i="1" a="1"/>
  <c r="G1200" i="1"/>
  <c r="G1201" i="1" a="1"/>
  <c r="G1201" i="1" s="1"/>
  <c r="G1202" i="1" a="1"/>
  <c r="G1202" i="1"/>
  <c r="G1203" i="1" a="1"/>
  <c r="G1203" i="1" s="1"/>
  <c r="G1204" i="1" a="1"/>
  <c r="G1204" i="1"/>
  <c r="G1205" i="1" a="1"/>
  <c r="G1205" i="1"/>
  <c r="G1206" i="1" a="1"/>
  <c r="G1206" i="1"/>
  <c r="G1207" i="1" a="1"/>
  <c r="G1207" i="1" s="1"/>
  <c r="G1208" i="1" a="1"/>
  <c r="G1208" i="1" s="1"/>
  <c r="G1209" i="1" a="1"/>
  <c r="G1209" i="1"/>
  <c r="G1210" i="1" a="1"/>
  <c r="G1210" i="1" s="1"/>
  <c r="G1211" i="1" a="1"/>
  <c r="G1211" i="1" s="1"/>
  <c r="G1212" i="1" a="1"/>
  <c r="G1212" i="1"/>
  <c r="G1213" i="1" a="1"/>
  <c r="G1213" i="1"/>
  <c r="G1214" i="1" a="1"/>
  <c r="G1214" i="1"/>
  <c r="G1215" i="1" a="1"/>
  <c r="G1215" i="1" s="1"/>
  <c r="G1216" i="1" a="1"/>
  <c r="G1216" i="1"/>
  <c r="G1217" i="1" a="1"/>
  <c r="G1217" i="1" s="1"/>
  <c r="G1218" i="1" a="1"/>
  <c r="G1218" i="1"/>
  <c r="G1219" i="1" a="1"/>
  <c r="G1219" i="1" s="1"/>
  <c r="G1220" i="1" a="1"/>
  <c r="G1220" i="1"/>
  <c r="G1221" i="1" a="1"/>
  <c r="G1221" i="1"/>
  <c r="G1222" i="1" a="1"/>
  <c r="G1222" i="1"/>
  <c r="G1223" i="1" a="1"/>
  <c r="G1223" i="1" s="1"/>
  <c r="G1224" i="1" a="1"/>
  <c r="G1224" i="1" s="1"/>
  <c r="G1225" i="1" a="1"/>
  <c r="G1225" i="1"/>
  <c r="G1226" i="1" a="1"/>
  <c r="G1226" i="1" s="1"/>
  <c r="G1227" i="1" a="1"/>
  <c r="G1227" i="1" s="1"/>
  <c r="G1228" i="1" a="1"/>
  <c r="G1228" i="1"/>
  <c r="G1229" i="1" a="1"/>
  <c r="G1229" i="1"/>
  <c r="G1230" i="1" a="1"/>
  <c r="G1230" i="1"/>
  <c r="G1231" i="1" a="1"/>
  <c r="G1231" i="1"/>
  <c r="G1232" i="1" a="1"/>
  <c r="G1232" i="1"/>
  <c r="G1233" i="1" a="1"/>
  <c r="G1233" i="1"/>
  <c r="G1234" i="1" a="1"/>
  <c r="G1234" i="1"/>
  <c r="G1235" i="1" a="1"/>
  <c r="G1235" i="1"/>
  <c r="G1236" i="1" a="1"/>
  <c r="G1236" i="1"/>
  <c r="G1237" i="1" a="1"/>
  <c r="G1237" i="1"/>
  <c r="G1238" i="1" a="1"/>
  <c r="G1238" i="1"/>
  <c r="G1239" i="1" a="1"/>
  <c r="G1239" i="1"/>
  <c r="G1240" i="1" a="1"/>
  <c r="G1240" i="1"/>
  <c r="G1241" i="1" a="1"/>
  <c r="G1241" i="1"/>
  <c r="G1242" i="1" a="1"/>
  <c r="G1242" i="1"/>
  <c r="G1243" i="1" a="1"/>
  <c r="G1243" i="1"/>
  <c r="G1244" i="1" a="1"/>
  <c r="G1244" i="1"/>
  <c r="G1245" i="1" a="1"/>
  <c r="G1245" i="1"/>
  <c r="G1246" i="1" a="1"/>
  <c r="G1246" i="1"/>
  <c r="G1247" i="1" a="1"/>
  <c r="G1247" i="1"/>
  <c r="G1248" i="1" a="1"/>
  <c r="G1248" i="1"/>
  <c r="G1249" i="1" a="1"/>
  <c r="G1249" i="1"/>
  <c r="G1250" i="1" a="1"/>
  <c r="G1250" i="1"/>
  <c r="G1251" i="1" a="1"/>
  <c r="G1251" i="1"/>
  <c r="G1252" i="1" a="1"/>
  <c r="G1252" i="1"/>
  <c r="G1253" i="1" a="1"/>
  <c r="G1253" i="1"/>
  <c r="G1254" i="1" a="1"/>
  <c r="G1254" i="1"/>
  <c r="G1255" i="1" a="1"/>
  <c r="G1255" i="1"/>
  <c r="G1256" i="1" a="1"/>
  <c r="G1256" i="1"/>
  <c r="G1257" i="1" a="1"/>
  <c r="G1257" i="1"/>
  <c r="G1258" i="1" a="1"/>
  <c r="G1258" i="1"/>
  <c r="G1259" i="1" a="1"/>
  <c r="G1259" i="1"/>
  <c r="G1260" i="1" a="1"/>
  <c r="G1260" i="1"/>
  <c r="G1261" i="1" a="1"/>
  <c r="G1261" i="1"/>
  <c r="G1262" i="1" a="1"/>
  <c r="G1262" i="1"/>
  <c r="G1263" i="1" a="1"/>
  <c r="G1263" i="1"/>
  <c r="G1264" i="1" a="1"/>
  <c r="G1264" i="1"/>
  <c r="G1265" i="1" a="1"/>
  <c r="G1265" i="1"/>
  <c r="G1266" i="1" a="1"/>
  <c r="G1266" i="1"/>
  <c r="G1267" i="1" a="1"/>
  <c r="G1267" i="1"/>
  <c r="G1268" i="1" a="1"/>
  <c r="G1268" i="1"/>
  <c r="G1269" i="1" a="1"/>
  <c r="G1269" i="1"/>
  <c r="G1270" i="1" a="1"/>
  <c r="G1270" i="1"/>
  <c r="G1271" i="1" a="1"/>
  <c r="G1271" i="1"/>
  <c r="G1272" i="1" a="1"/>
  <c r="G1272" i="1"/>
  <c r="G1273" i="1" a="1"/>
  <c r="G1273" i="1"/>
  <c r="G1274" i="1" a="1"/>
  <c r="G1274" i="1"/>
  <c r="G1275" i="1" a="1"/>
  <c r="G1275" i="1"/>
  <c r="G1276" i="1" a="1"/>
  <c r="G1276" i="1"/>
  <c r="G1277" i="1" a="1"/>
  <c r="G1277" i="1"/>
  <c r="G1278" i="1" a="1"/>
  <c r="G1278" i="1"/>
  <c r="G1279" i="1" a="1"/>
  <c r="G1279" i="1"/>
  <c r="G1280" i="1" a="1"/>
  <c r="G1280" i="1"/>
  <c r="G1281" i="1" a="1"/>
  <c r="G1281" i="1"/>
  <c r="G1282" i="1" a="1"/>
  <c r="G1282" i="1"/>
  <c r="G1283" i="1" a="1"/>
  <c r="G1283" i="1"/>
  <c r="G1284" i="1" a="1"/>
  <c r="G1284" i="1"/>
  <c r="G1285" i="1" a="1"/>
  <c r="G1285" i="1"/>
  <c r="G1286" i="1" a="1"/>
  <c r="G1286" i="1"/>
  <c r="G1287" i="1" a="1"/>
  <c r="G1287" i="1"/>
  <c r="G1288" i="1" a="1"/>
  <c r="G1288" i="1"/>
  <c r="G1289" i="1" a="1"/>
  <c r="G1289" i="1"/>
  <c r="G1290" i="1" a="1"/>
  <c r="G1290" i="1"/>
  <c r="G1291" i="1" a="1"/>
  <c r="G1291" i="1"/>
  <c r="G1292" i="1" a="1"/>
  <c r="G1292" i="1"/>
  <c r="G1293" i="1" a="1"/>
  <c r="G1293" i="1"/>
  <c r="G1294" i="1" a="1"/>
  <c r="G1294" i="1"/>
  <c r="G1295" i="1" a="1"/>
  <c r="G1295" i="1"/>
  <c r="G1296" i="1" a="1"/>
  <c r="G1296" i="1"/>
  <c r="G1297" i="1" a="1"/>
  <c r="G1297" i="1"/>
  <c r="G1298" i="1" a="1"/>
  <c r="G1298" i="1"/>
  <c r="G1299" i="1" a="1"/>
  <c r="G1299" i="1"/>
  <c r="G1300" i="1" a="1"/>
  <c r="G1300" i="1"/>
  <c r="G1301" i="1" a="1"/>
  <c r="G1301" i="1"/>
  <c r="G1302" i="1" a="1"/>
  <c r="G1302" i="1"/>
  <c r="G1303" i="1" a="1"/>
  <c r="G1303" i="1"/>
  <c r="G1304" i="1" a="1"/>
  <c r="G1304" i="1"/>
  <c r="G1305" i="1" a="1"/>
  <c r="G1305" i="1"/>
  <c r="G1306" i="1" a="1"/>
  <c r="G1306" i="1"/>
  <c r="G1307" i="1" a="1"/>
  <c r="G1307" i="1"/>
  <c r="G1308" i="1" a="1"/>
  <c r="G1308" i="1"/>
  <c r="G1309" i="1" a="1"/>
  <c r="G1309" i="1"/>
  <c r="G1310" i="1" a="1"/>
  <c r="G1310" i="1"/>
  <c r="G1311" i="1" a="1"/>
  <c r="G1311" i="1"/>
  <c r="G1312" i="1" a="1"/>
  <c r="G1312" i="1"/>
  <c r="G1313" i="1" a="1"/>
  <c r="G1313" i="1"/>
  <c r="G1314" i="1" a="1"/>
  <c r="G1314" i="1"/>
  <c r="G1315" i="1" a="1"/>
  <c r="G1315" i="1"/>
  <c r="G1316" i="1" a="1"/>
  <c r="G1316" i="1"/>
  <c r="G1317" i="1" a="1"/>
  <c r="G1317" i="1"/>
  <c r="G1318" i="1" a="1"/>
  <c r="G1318" i="1"/>
  <c r="G1319" i="1" a="1"/>
  <c r="G1319" i="1"/>
  <c r="G1320" i="1" a="1"/>
  <c r="G1320" i="1"/>
  <c r="G1321" i="1" a="1"/>
  <c r="G1321" i="1"/>
  <c r="G1322" i="1" a="1"/>
  <c r="G1322" i="1"/>
  <c r="G1323" i="1" a="1"/>
  <c r="G1323" i="1"/>
  <c r="G1324" i="1" a="1"/>
  <c r="G1324" i="1"/>
  <c r="G1325" i="1" a="1"/>
  <c r="G1325" i="1"/>
  <c r="G1326" i="1" a="1"/>
  <c r="G1326" i="1"/>
  <c r="G1327" i="1" a="1"/>
  <c r="G1327" i="1"/>
  <c r="G1328" i="1" a="1"/>
  <c r="G1328" i="1"/>
  <c r="G1329" i="1" a="1"/>
  <c r="G1329" i="1"/>
  <c r="G1330" i="1" a="1"/>
  <c r="G1330" i="1"/>
  <c r="G1331" i="1" a="1"/>
  <c r="G1331" i="1"/>
  <c r="G1332" i="1" a="1"/>
  <c r="G1332" i="1"/>
  <c r="G1333" i="1" a="1"/>
  <c r="G1333" i="1"/>
  <c r="G1334" i="1" a="1"/>
  <c r="G1334" i="1"/>
  <c r="G1335" i="1" a="1"/>
  <c r="G1335" i="1"/>
  <c r="G1336" i="1" a="1"/>
  <c r="G1336" i="1"/>
  <c r="G1337" i="1" a="1"/>
  <c r="G1337" i="1"/>
  <c r="G1338" i="1" a="1"/>
  <c r="G1338" i="1"/>
  <c r="G1339" i="1" a="1"/>
  <c r="G1339" i="1"/>
  <c r="G1340" i="1" a="1"/>
  <c r="G1340" i="1"/>
  <c r="G1341" i="1" a="1"/>
  <c r="G1341" i="1"/>
  <c r="G1342" i="1" a="1"/>
  <c r="G1342" i="1"/>
  <c r="G1343" i="1" a="1"/>
  <c r="G1343" i="1"/>
  <c r="G1344" i="1" a="1"/>
  <c r="G1344" i="1"/>
  <c r="G1345" i="1" a="1"/>
  <c r="G1345" i="1"/>
  <c r="G1346" i="1" a="1"/>
  <c r="G1346" i="1"/>
  <c r="G1347" i="1" a="1"/>
  <c r="G1347" i="1"/>
  <c r="G1348" i="1" a="1"/>
  <c r="G1348" i="1"/>
  <c r="G1349" i="1" a="1"/>
  <c r="G1349" i="1"/>
  <c r="G1350" i="1" a="1"/>
  <c r="G1350" i="1"/>
  <c r="G1351" i="1" a="1"/>
  <c r="G1351" i="1"/>
  <c r="G1352" i="1" a="1"/>
  <c r="G1352" i="1"/>
  <c r="G1353" i="1" a="1"/>
  <c r="G1353" i="1"/>
  <c r="G1354" i="1" a="1"/>
  <c r="G1354" i="1"/>
  <c r="G1355" i="1" a="1"/>
  <c r="G1355" i="1"/>
  <c r="G1356" i="1" a="1"/>
  <c r="G1356" i="1"/>
  <c r="G1357" i="1" a="1"/>
  <c r="G1357" i="1"/>
  <c r="G1358" i="1" a="1"/>
  <c r="G1358" i="1"/>
  <c r="G1359" i="1" a="1"/>
  <c r="G1359" i="1"/>
  <c r="G1360" i="1" a="1"/>
  <c r="G1360" i="1"/>
  <c r="G1361" i="1" a="1"/>
  <c r="G1361" i="1"/>
  <c r="G1362" i="1" a="1"/>
  <c r="G1362" i="1"/>
  <c r="G1363" i="1" a="1"/>
  <c r="G1363" i="1"/>
  <c r="G1364" i="1" a="1"/>
  <c r="G1364" i="1"/>
  <c r="G1365" i="1" a="1"/>
  <c r="G1365" i="1"/>
  <c r="G1366" i="1" a="1"/>
  <c r="G1366" i="1"/>
  <c r="G1367" i="1" a="1"/>
  <c r="G1367" i="1"/>
  <c r="G1368" i="1" a="1"/>
  <c r="G1368" i="1"/>
  <c r="G1369" i="1" a="1"/>
  <c r="G1369" i="1"/>
  <c r="G1370" i="1" a="1"/>
  <c r="G1370" i="1"/>
  <c r="G1371" i="1" a="1"/>
  <c r="G1371" i="1"/>
  <c r="G1372" i="1" a="1"/>
  <c r="G1372" i="1"/>
  <c r="G1373" i="1" a="1"/>
  <c r="G1373" i="1"/>
  <c r="G1374" i="1" a="1"/>
  <c r="G1374" i="1"/>
  <c r="G1375" i="1" a="1"/>
  <c r="G1375" i="1"/>
  <c r="G1376" i="1" a="1"/>
  <c r="G1376" i="1"/>
  <c r="G1377" i="1" a="1"/>
  <c r="G1377" i="1"/>
  <c r="G1378" i="1" a="1"/>
  <c r="G1378" i="1"/>
  <c r="G1379" i="1" a="1"/>
  <c r="G1379" i="1"/>
  <c r="G1380" i="1" a="1"/>
  <c r="G1380" i="1"/>
  <c r="G1381" i="1" a="1"/>
  <c r="G1381" i="1"/>
  <c r="G1382" i="1" a="1"/>
  <c r="G1382" i="1"/>
  <c r="G1383" i="1" a="1"/>
  <c r="G1383" i="1"/>
  <c r="G1384" i="1" a="1"/>
  <c r="G1384" i="1"/>
  <c r="G1385" i="1" a="1"/>
  <c r="G1385" i="1"/>
  <c r="G1386" i="1" a="1"/>
  <c r="G1386" i="1"/>
  <c r="G1387" i="1" a="1"/>
  <c r="G1387" i="1"/>
  <c r="G1388" i="1" a="1"/>
  <c r="G1388" i="1"/>
  <c r="G1389" i="1" a="1"/>
  <c r="G1389" i="1"/>
  <c r="G1390" i="1" a="1"/>
  <c r="G1390" i="1"/>
  <c r="G1391" i="1" a="1"/>
  <c r="G1391" i="1"/>
  <c r="G1392" i="1" a="1"/>
  <c r="G1392" i="1"/>
  <c r="G1393" i="1" a="1"/>
  <c r="G1393" i="1"/>
  <c r="G1394" i="1" a="1"/>
  <c r="G1394" i="1"/>
  <c r="G1395" i="1" a="1"/>
  <c r="G1395" i="1"/>
  <c r="G1396" i="1" a="1"/>
  <c r="G1396" i="1"/>
  <c r="G1397" i="1" a="1"/>
  <c r="G1397" i="1"/>
  <c r="G1398" i="1" a="1"/>
  <c r="G1398" i="1"/>
  <c r="G1399" i="1" a="1"/>
  <c r="G1399" i="1"/>
  <c r="G1400" i="1" a="1"/>
  <c r="G1400" i="1"/>
  <c r="G1401" i="1" a="1"/>
  <c r="G1401" i="1"/>
  <c r="G1402" i="1" a="1"/>
  <c r="G1402" i="1"/>
  <c r="G1403" i="1" a="1"/>
  <c r="G1403" i="1"/>
  <c r="G1404" i="1" a="1"/>
  <c r="G1404" i="1"/>
  <c r="G1405" i="1" a="1"/>
  <c r="G1405" i="1"/>
  <c r="G1406" i="1" a="1"/>
  <c r="G1406" i="1"/>
  <c r="G1407" i="1" a="1"/>
  <c r="G1407" i="1"/>
  <c r="G1408" i="1" a="1"/>
  <c r="G1408" i="1"/>
  <c r="G1409" i="1" a="1"/>
  <c r="G1409" i="1"/>
  <c r="G1410" i="1" a="1"/>
  <c r="G1410" i="1"/>
  <c r="G1411" i="1" a="1"/>
  <c r="G1411" i="1"/>
  <c r="G1412" i="1" a="1"/>
  <c r="G1412" i="1"/>
  <c r="G1413" i="1" a="1"/>
  <c r="G1413" i="1"/>
  <c r="G1414" i="1" a="1"/>
  <c r="G1414" i="1"/>
  <c r="G1415" i="1" a="1"/>
  <c r="G1415" i="1"/>
  <c r="G1416" i="1" a="1"/>
  <c r="G1416" i="1"/>
  <c r="G1417" i="1" a="1"/>
  <c r="G1417" i="1"/>
  <c r="G1418" i="1" a="1"/>
  <c r="G1418" i="1"/>
  <c r="G1419" i="1" a="1"/>
  <c r="G1419" i="1"/>
  <c r="G1420" i="1" a="1"/>
  <c r="G1420" i="1"/>
  <c r="G1421" i="1" a="1"/>
  <c r="G1421" i="1"/>
  <c r="G1422" i="1" a="1"/>
  <c r="G1422" i="1"/>
  <c r="G1423" i="1" a="1"/>
  <c r="G1423" i="1"/>
  <c r="G1424" i="1" a="1"/>
  <c r="G1424" i="1"/>
  <c r="G1425" i="1" a="1"/>
  <c r="G1425" i="1"/>
  <c r="G1426" i="1" a="1"/>
  <c r="G1426" i="1"/>
  <c r="G1427" i="1" a="1"/>
  <c r="G1427" i="1"/>
  <c r="G1428" i="1" a="1"/>
  <c r="G1428" i="1"/>
  <c r="G1429" i="1" a="1"/>
  <c r="G1429" i="1"/>
  <c r="G1430" i="1" a="1"/>
  <c r="G1430" i="1"/>
  <c r="G1431" i="1" a="1"/>
  <c r="G1431" i="1"/>
  <c r="G1432" i="1" a="1"/>
  <c r="G1432" i="1"/>
  <c r="G1433" i="1" a="1"/>
  <c r="G1433" i="1"/>
  <c r="G1434" i="1" a="1"/>
  <c r="G1434" i="1"/>
  <c r="G1435" i="1" a="1"/>
  <c r="G1435" i="1"/>
  <c r="G1436" i="1" a="1"/>
  <c r="G1436" i="1"/>
  <c r="G1437" i="1" a="1"/>
  <c r="G1437" i="1"/>
  <c r="G1438" i="1" a="1"/>
  <c r="G1438" i="1"/>
  <c r="G1439" i="1" a="1"/>
  <c r="G1439" i="1"/>
  <c r="G1440" i="1" a="1"/>
  <c r="G1440" i="1"/>
  <c r="G1441" i="1" a="1"/>
  <c r="G1441" i="1"/>
  <c r="G1442" i="1" a="1"/>
  <c r="G1442" i="1"/>
  <c r="G1443" i="1" a="1"/>
  <c r="G1443" i="1"/>
  <c r="G1444" i="1" a="1"/>
  <c r="G1444" i="1"/>
  <c r="G1445" i="1" a="1"/>
  <c r="G1445" i="1"/>
  <c r="G1446" i="1" a="1"/>
  <c r="G1446" i="1"/>
  <c r="G1447" i="1" a="1"/>
  <c r="G1447" i="1"/>
  <c r="G1448" i="1" a="1"/>
  <c r="G1448" i="1"/>
  <c r="G1449" i="1" a="1"/>
  <c r="G1449" i="1"/>
  <c r="G1450" i="1" a="1"/>
  <c r="G1450" i="1"/>
  <c r="G1451" i="1" a="1"/>
  <c r="G1451" i="1"/>
  <c r="G1452" i="1" a="1"/>
  <c r="G1452" i="1"/>
  <c r="G1453" i="1" a="1"/>
  <c r="G1453" i="1"/>
  <c r="G1454" i="1" a="1"/>
  <c r="G1454" i="1"/>
  <c r="G1455" i="1" a="1"/>
  <c r="G1455" i="1"/>
  <c r="G1456" i="1" a="1"/>
  <c r="G1456" i="1"/>
  <c r="G1457" i="1" a="1"/>
  <c r="G1457" i="1"/>
  <c r="G1458" i="1" a="1"/>
  <c r="G1458" i="1"/>
  <c r="G1459" i="1" a="1"/>
  <c r="G1459" i="1"/>
  <c r="G1460" i="1" a="1"/>
  <c r="G1460" i="1"/>
  <c r="G1461" i="1" a="1"/>
  <c r="G1461" i="1"/>
  <c r="G1462" i="1" a="1"/>
  <c r="G1462" i="1"/>
  <c r="G1463" i="1" a="1"/>
  <c r="G1463" i="1"/>
  <c r="G1464" i="1" a="1"/>
  <c r="G1464" i="1"/>
  <c r="G1465" i="1" a="1"/>
  <c r="G1465" i="1"/>
  <c r="G1466" i="1" a="1"/>
  <c r="G1466" i="1"/>
  <c r="G1467" i="1" a="1"/>
  <c r="G1467" i="1"/>
  <c r="G1468" i="1" a="1"/>
  <c r="G1468" i="1"/>
  <c r="G1469" i="1" a="1"/>
  <c r="G1469" i="1"/>
  <c r="G1470" i="1" a="1"/>
  <c r="G1470" i="1"/>
  <c r="G1471" i="1" a="1"/>
  <c r="G1471" i="1"/>
  <c r="G1472" i="1" a="1"/>
  <c r="G1472" i="1"/>
  <c r="G1473" i="1" a="1"/>
  <c r="G1473" i="1"/>
  <c r="G1474" i="1" a="1"/>
  <c r="G1474" i="1"/>
  <c r="G1475" i="1" a="1"/>
  <c r="G1475" i="1"/>
  <c r="G1476" i="1" a="1"/>
  <c r="G1476" i="1"/>
  <c r="G1477" i="1" a="1"/>
  <c r="G1477" i="1"/>
  <c r="G1478" i="1" a="1"/>
  <c r="G1478" i="1"/>
  <c r="G1479" i="1" a="1"/>
  <c r="G1479" i="1"/>
  <c r="G1480" i="1" a="1"/>
  <c r="G1480" i="1"/>
  <c r="G1481" i="1" a="1"/>
  <c r="G1481" i="1"/>
  <c r="G1482" i="1" a="1"/>
  <c r="G1482" i="1"/>
  <c r="G1483" i="1" a="1"/>
  <c r="G1483" i="1"/>
  <c r="G1484" i="1" a="1"/>
  <c r="G1484" i="1"/>
  <c r="G1485" i="1" a="1"/>
  <c r="G1485" i="1"/>
  <c r="G1486" i="1" a="1"/>
  <c r="G1486" i="1"/>
  <c r="G1487" i="1" a="1"/>
  <c r="G1487" i="1"/>
  <c r="G1488" i="1" a="1"/>
  <c r="G1488" i="1"/>
  <c r="G1489" i="1" a="1"/>
  <c r="G1489" i="1"/>
  <c r="G1490" i="1" a="1"/>
  <c r="G1490" i="1"/>
  <c r="G1491" i="1" a="1"/>
  <c r="G1491" i="1"/>
  <c r="G1492" i="1" a="1"/>
  <c r="G1492" i="1"/>
  <c r="G1493" i="1" a="1"/>
  <c r="G1493" i="1"/>
  <c r="G1494" i="1" a="1"/>
  <c r="G1494" i="1"/>
  <c r="G1495" i="1" a="1"/>
  <c r="G1495" i="1"/>
  <c r="G1496" i="1" a="1"/>
  <c r="G1496" i="1"/>
  <c r="G1497" i="1" a="1"/>
  <c r="G1497" i="1"/>
  <c r="G1498" i="1" a="1"/>
  <c r="G1498" i="1"/>
  <c r="G1499" i="1" a="1"/>
  <c r="G1499" i="1"/>
  <c r="G1500" i="1" a="1"/>
  <c r="G1500" i="1"/>
  <c r="G1501" i="1" a="1"/>
  <c r="G1501" i="1"/>
  <c r="G1502" i="1" a="1"/>
  <c r="G1502" i="1"/>
  <c r="G1503" i="1" a="1"/>
  <c r="G1503" i="1"/>
  <c r="G1504" i="1" a="1"/>
  <c r="G1504" i="1"/>
  <c r="G1505" i="1" a="1"/>
  <c r="G1505" i="1"/>
  <c r="G1506" i="1" a="1"/>
  <c r="G1506" i="1"/>
  <c r="G1507" i="1" a="1"/>
  <c r="G1507" i="1"/>
  <c r="G1508" i="1" a="1"/>
  <c r="G1508" i="1"/>
  <c r="G1509" i="1" a="1"/>
  <c r="G1509" i="1"/>
  <c r="G1510" i="1" a="1"/>
  <c r="G1510" i="1"/>
  <c r="G1511" i="1" a="1"/>
  <c r="G1511" i="1"/>
  <c r="G1512" i="1" a="1"/>
  <c r="G1512" i="1"/>
  <c r="G1513" i="1" a="1"/>
  <c r="G1513" i="1"/>
  <c r="G1514" i="1" a="1"/>
  <c r="G1514" i="1"/>
  <c r="G1515" i="1" a="1"/>
  <c r="G1515" i="1"/>
  <c r="G1516" i="1" a="1"/>
  <c r="G1516" i="1"/>
  <c r="G1517" i="1" a="1"/>
  <c r="G1517" i="1"/>
  <c r="G1518" i="1" a="1"/>
  <c r="G1518" i="1"/>
  <c r="G1519" i="1" a="1"/>
  <c r="G1519" i="1"/>
  <c r="G1520" i="1" a="1"/>
  <c r="G1520" i="1"/>
  <c r="G1521" i="1" a="1"/>
  <c r="G1521" i="1"/>
  <c r="G1522" i="1" a="1"/>
  <c r="G1522" i="1"/>
  <c r="G1523" i="1" a="1"/>
  <c r="G1523" i="1"/>
  <c r="G1524" i="1" a="1"/>
  <c r="G1524" i="1"/>
  <c r="G1525" i="1" a="1"/>
  <c r="G1525" i="1"/>
  <c r="G1526" i="1" a="1"/>
  <c r="G1526" i="1"/>
  <c r="G1527" i="1" a="1"/>
  <c r="G1527" i="1"/>
  <c r="G1528" i="1" a="1"/>
  <c r="G1528" i="1"/>
  <c r="G1529" i="1" a="1"/>
  <c r="G1529" i="1"/>
  <c r="G1530" i="1" a="1"/>
  <c r="G1530" i="1"/>
  <c r="G1531" i="1" a="1"/>
  <c r="G1531" i="1"/>
  <c r="G1532" i="1" a="1"/>
  <c r="G1532" i="1"/>
  <c r="G1533" i="1" a="1"/>
  <c r="G1533" i="1"/>
  <c r="G1534" i="1" a="1"/>
  <c r="G1534" i="1"/>
  <c r="G1535" i="1" a="1"/>
  <c r="G1535" i="1"/>
  <c r="G1536" i="1" a="1"/>
  <c r="G1536" i="1"/>
  <c r="G1537" i="1" a="1"/>
  <c r="G1537" i="1"/>
  <c r="G1538" i="1" a="1"/>
  <c r="G1538" i="1"/>
  <c r="G1539" i="1" a="1"/>
  <c r="G1539" i="1"/>
  <c r="G1540" i="1" a="1"/>
  <c r="G1540" i="1"/>
  <c r="G1541" i="1" a="1"/>
  <c r="G1541" i="1"/>
  <c r="G1542" i="1" a="1"/>
  <c r="G1542" i="1"/>
  <c r="G1543" i="1" a="1"/>
  <c r="G1543" i="1"/>
  <c r="G1544" i="1" a="1"/>
  <c r="G1544" i="1"/>
  <c r="G1545" i="1" a="1"/>
  <c r="G1545" i="1"/>
  <c r="G1546" i="1" a="1"/>
  <c r="G1546" i="1"/>
  <c r="G1547" i="1" a="1"/>
  <c r="G1547" i="1" s="1"/>
  <c r="G1548" i="1" a="1"/>
  <c r="G1548" i="1"/>
  <c r="G1549" i="1" a="1"/>
  <c r="G1549" i="1"/>
  <c r="G1550" i="1" a="1"/>
  <c r="G1550" i="1"/>
  <c r="G1551" i="1" a="1"/>
  <c r="G1551" i="1" s="1"/>
  <c r="G1552" i="1" a="1"/>
  <c r="G1552" i="1"/>
  <c r="G1553" i="1" a="1"/>
  <c r="G1553" i="1"/>
  <c r="G1554" i="1" a="1"/>
  <c r="G1554" i="1"/>
  <c r="G1555" i="1" a="1"/>
  <c r="G1555" i="1" s="1"/>
  <c r="G1556" i="1" a="1"/>
  <c r="G1556" i="1"/>
  <c r="G1557" i="1" a="1"/>
  <c r="G1557" i="1"/>
  <c r="G1558" i="1" a="1"/>
  <c r="G1558" i="1"/>
  <c r="G1559" i="1" a="1"/>
  <c r="G1559" i="1" s="1"/>
  <c r="G1560" i="1" a="1"/>
  <c r="G1560" i="1"/>
  <c r="G1561" i="1" a="1"/>
  <c r="G1561" i="1"/>
  <c r="G1562" i="1" a="1"/>
  <c r="G1562" i="1"/>
  <c r="G1563" i="1" a="1"/>
  <c r="G1563" i="1" s="1"/>
  <c r="G1564" i="1" a="1"/>
  <c r="G1564" i="1"/>
  <c r="G1565" i="1" a="1"/>
  <c r="G1565" i="1"/>
  <c r="G1566" i="1" a="1"/>
  <c r="G1566" i="1"/>
  <c r="G1567" i="1" a="1"/>
  <c r="G1567" i="1" s="1"/>
  <c r="G1568" i="1" a="1"/>
  <c r="G1568" i="1"/>
  <c r="G1569" i="1" a="1"/>
  <c r="G1569" i="1"/>
  <c r="G1570" i="1" a="1"/>
  <c r="G1570" i="1"/>
  <c r="G1571" i="1" a="1"/>
  <c r="G1571" i="1" s="1"/>
  <c r="G1572" i="1" a="1"/>
  <c r="G1572" i="1"/>
  <c r="G1573" i="1" a="1"/>
  <c r="G1573" i="1"/>
  <c r="G1574" i="1" a="1"/>
  <c r="G1574" i="1"/>
  <c r="G1575" i="1" a="1"/>
  <c r="G1575" i="1" s="1"/>
  <c r="G1576" i="1" a="1"/>
  <c r="G1576" i="1"/>
  <c r="G1577" i="1" a="1"/>
  <c r="G1577" i="1"/>
  <c r="G1578" i="1" a="1"/>
  <c r="G1578" i="1"/>
  <c r="G1579" i="1" a="1"/>
  <c r="G1579" i="1" s="1"/>
  <c r="G1580" i="1" a="1"/>
  <c r="G1580" i="1"/>
  <c r="G1581" i="1" a="1"/>
  <c r="G1581" i="1"/>
  <c r="G1582" i="1" a="1"/>
  <c r="G1582" i="1"/>
  <c r="G1583" i="1" a="1"/>
  <c r="G1583" i="1" s="1"/>
  <c r="G1584" i="1" a="1"/>
  <c r="G1584" i="1"/>
  <c r="G1585" i="1" a="1"/>
  <c r="G1585" i="1"/>
  <c r="G1586" i="1" a="1"/>
  <c r="G1586" i="1"/>
  <c r="G1587" i="1" a="1"/>
  <c r="G1587" i="1" s="1"/>
  <c r="G1588" i="1" a="1"/>
  <c r="G1588" i="1"/>
  <c r="G1589" i="1" a="1"/>
  <c r="G1589" i="1"/>
  <c r="G1590" i="1" a="1"/>
  <c r="G1590" i="1"/>
  <c r="G1591" i="1" a="1"/>
  <c r="G1591" i="1" s="1"/>
  <c r="G1592" i="1" a="1"/>
  <c r="G1592" i="1"/>
  <c r="G1593" i="1" a="1"/>
  <c r="G1593" i="1"/>
  <c r="G1594" i="1" a="1"/>
  <c r="G1594" i="1"/>
  <c r="G1595" i="1" a="1"/>
  <c r="G1595" i="1" s="1"/>
  <c r="G1596" i="1" a="1"/>
  <c r="G1596" i="1"/>
  <c r="G1597" i="1" a="1"/>
  <c r="G1597" i="1"/>
  <c r="G1598" i="1" a="1"/>
  <c r="G1598" i="1"/>
  <c r="G1599" i="1" a="1"/>
  <c r="G1599" i="1" s="1"/>
  <c r="G1600" i="1" a="1"/>
  <c r="G1600" i="1"/>
  <c r="G1601" i="1" a="1"/>
  <c r="G1601" i="1"/>
  <c r="G1602" i="1" a="1"/>
  <c r="G1602" i="1"/>
  <c r="G1603" i="1" a="1"/>
  <c r="G1603" i="1" s="1"/>
  <c r="G1604" i="1" a="1"/>
  <c r="G1604" i="1"/>
  <c r="G1605" i="1" a="1"/>
  <c r="G1605" i="1"/>
  <c r="G1606" i="1" a="1"/>
  <c r="G1606" i="1"/>
  <c r="G1607" i="1" a="1"/>
  <c r="G1607" i="1" s="1"/>
  <c r="G1608" i="1" a="1"/>
  <c r="G1608" i="1"/>
  <c r="G1609" i="1" a="1"/>
  <c r="G1609" i="1"/>
  <c r="G1610" i="1" a="1"/>
  <c r="G1610" i="1"/>
  <c r="G1611" i="1" a="1"/>
  <c r="G1611" i="1" s="1"/>
  <c r="G1612" i="1" a="1"/>
  <c r="G1612" i="1"/>
  <c r="G1613" i="1" a="1"/>
  <c r="G1613" i="1"/>
  <c r="G1614" i="1" a="1"/>
  <c r="G1614" i="1"/>
  <c r="G1615" i="1" a="1"/>
  <c r="G1615" i="1" s="1"/>
  <c r="G1616" i="1" a="1"/>
  <c r="G1616" i="1"/>
  <c r="G1617" i="1" a="1"/>
  <c r="G1617" i="1"/>
  <c r="G1618" i="1" a="1"/>
  <c r="G1618" i="1"/>
  <c r="G1619" i="1" a="1"/>
  <c r="G1619" i="1" s="1"/>
  <c r="G1620" i="1" a="1"/>
  <c r="G1620" i="1"/>
  <c r="G1621" i="1" a="1"/>
  <c r="G1621" i="1"/>
  <c r="G1622" i="1" a="1"/>
  <c r="G1622" i="1"/>
  <c r="G1623" i="1" a="1"/>
  <c r="G1623" i="1" s="1"/>
  <c r="G1624" i="1" a="1"/>
  <c r="G1624" i="1"/>
  <c r="G1625" i="1" a="1"/>
  <c r="G1625" i="1"/>
  <c r="G1626" i="1" a="1"/>
  <c r="G1626" i="1"/>
  <c r="G1627" i="1" a="1"/>
  <c r="G1627" i="1" s="1"/>
  <c r="G1628" i="1" a="1"/>
  <c r="G1628" i="1"/>
  <c r="G1629" i="1" a="1"/>
  <c r="G1629" i="1"/>
  <c r="G1630" i="1" a="1"/>
  <c r="G1630" i="1"/>
  <c r="G1631" i="1" a="1"/>
  <c r="G1631" i="1" s="1"/>
  <c r="G1632" i="1" a="1"/>
  <c r="G1632" i="1"/>
  <c r="G1633" i="1" a="1"/>
  <c r="G1633" i="1"/>
  <c r="G1634" i="1" a="1"/>
  <c r="G1634" i="1"/>
  <c r="G1635" i="1" a="1"/>
  <c r="G1635" i="1" s="1"/>
  <c r="G1636" i="1" a="1"/>
  <c r="G1636" i="1"/>
  <c r="G1637" i="1" a="1"/>
  <c r="G1637" i="1"/>
  <c r="G1638" i="1" a="1"/>
  <c r="G1638" i="1"/>
  <c r="G1639" i="1" a="1"/>
  <c r="G1639" i="1" s="1"/>
  <c r="G1640" i="1" a="1"/>
  <c r="G1640" i="1"/>
  <c r="G1641" i="1" a="1"/>
  <c r="G1641" i="1"/>
  <c r="G1642" i="1" a="1"/>
  <c r="G1642" i="1"/>
  <c r="G1643" i="1" a="1"/>
  <c r="G1643" i="1" s="1"/>
  <c r="G1644" i="1" a="1"/>
  <c r="G1644" i="1"/>
  <c r="G1645" i="1" a="1"/>
  <c r="G1645" i="1"/>
  <c r="G1646" i="1" a="1"/>
  <c r="G1646" i="1"/>
  <c r="G1647" i="1" a="1"/>
  <c r="G1647" i="1" s="1"/>
  <c r="G1648" i="1" a="1"/>
  <c r="G1648" i="1"/>
  <c r="G1649" i="1" a="1"/>
  <c r="G1649" i="1"/>
  <c r="G1650" i="1" a="1"/>
  <c r="G1650" i="1"/>
  <c r="G1651" i="1" a="1"/>
  <c r="G1651" i="1" s="1"/>
  <c r="G1652" i="1" a="1"/>
  <c r="G1652" i="1"/>
  <c r="G1653" i="1" a="1"/>
  <c r="G1653" i="1"/>
  <c r="G1654" i="1" a="1"/>
  <c r="G1654" i="1"/>
  <c r="G1655" i="1" a="1"/>
  <c r="G1655" i="1" s="1"/>
  <c r="G1656" i="1" a="1"/>
  <c r="G1656" i="1"/>
  <c r="G1657" i="1" a="1"/>
  <c r="G1657" i="1"/>
  <c r="G1658" i="1" a="1"/>
  <c r="G1658" i="1"/>
  <c r="G1659" i="1" a="1"/>
  <c r="G1659" i="1" s="1"/>
  <c r="G1660" i="1" a="1"/>
  <c r="G1660" i="1"/>
  <c r="G1661" i="1" a="1"/>
  <c r="G1661" i="1"/>
  <c r="G1662" i="1" a="1"/>
  <c r="G1662" i="1"/>
  <c r="G1663" i="1" a="1"/>
  <c r="G1663" i="1" s="1"/>
  <c r="G1664" i="1" a="1"/>
  <c r="G1664" i="1"/>
  <c r="G1665" i="1" a="1"/>
  <c r="G1665" i="1"/>
  <c r="G1666" i="1" a="1"/>
  <c r="G1666" i="1"/>
  <c r="G1667" i="1" a="1"/>
  <c r="G1667" i="1" s="1"/>
  <c r="G1668" i="1" a="1"/>
  <c r="G1668" i="1"/>
  <c r="G1669" i="1" a="1"/>
  <c r="G1669" i="1"/>
  <c r="G1670" i="1" a="1"/>
  <c r="G1670" i="1"/>
  <c r="G1671" i="1" a="1"/>
  <c r="G1671" i="1" s="1"/>
  <c r="G1672" i="1" a="1"/>
  <c r="G1672" i="1"/>
  <c r="G1673" i="1" a="1"/>
  <c r="G1673" i="1"/>
  <c r="G1674" i="1" a="1"/>
  <c r="G1674" i="1"/>
  <c r="G1675" i="1" a="1"/>
  <c r="G1675" i="1" s="1"/>
  <c r="G1676" i="1" a="1"/>
  <c r="G1676" i="1"/>
  <c r="G1677" i="1" a="1"/>
  <c r="G1677" i="1"/>
  <c r="G1678" i="1" a="1"/>
  <c r="G1678" i="1"/>
  <c r="G1679" i="1" a="1"/>
  <c r="G1679" i="1" s="1"/>
  <c r="G1680" i="1" a="1"/>
  <c r="G1680" i="1"/>
  <c r="G1681" i="1" a="1"/>
  <c r="G1681" i="1"/>
  <c r="G1682" i="1" a="1"/>
  <c r="G1682" i="1"/>
  <c r="G1683" i="1" a="1"/>
  <c r="G1683" i="1" s="1"/>
  <c r="G1684" i="1" a="1"/>
  <c r="G1684" i="1"/>
  <c r="G1685" i="1" a="1"/>
  <c r="G1685" i="1"/>
  <c r="G1686" i="1" a="1"/>
  <c r="G1686" i="1"/>
  <c r="G1687" i="1" a="1"/>
  <c r="G1687" i="1" s="1"/>
  <c r="G1688" i="1" a="1"/>
  <c r="G1688" i="1"/>
  <c r="G1689" i="1" a="1"/>
  <c r="G1689" i="1"/>
  <c r="G1690" i="1" a="1"/>
  <c r="G1690" i="1"/>
  <c r="G1691" i="1" a="1"/>
  <c r="G1691" i="1" s="1"/>
  <c r="G1692" i="1" a="1"/>
  <c r="G1692" i="1"/>
  <c r="G1693" i="1" a="1"/>
  <c r="G1693" i="1"/>
  <c r="G1694" i="1" a="1"/>
  <c r="G1694" i="1"/>
  <c r="G1695" i="1" a="1"/>
  <c r="G1695" i="1" s="1"/>
  <c r="G1696" i="1" a="1"/>
  <c r="G1696" i="1"/>
  <c r="G1697" i="1" a="1"/>
  <c r="G1697" i="1"/>
  <c r="G1698" i="1" a="1"/>
  <c r="G1698" i="1"/>
  <c r="G1699" i="1" a="1"/>
  <c r="G1699" i="1" s="1"/>
  <c r="G1700" i="1" a="1"/>
  <c r="G1700" i="1"/>
  <c r="G1701" i="1" a="1"/>
  <c r="G1701" i="1"/>
  <c r="G1702" i="1" a="1"/>
  <c r="G1702" i="1"/>
  <c r="G1703" i="1" a="1"/>
  <c r="G1703" i="1" s="1"/>
  <c r="G1704" i="1" a="1"/>
  <c r="G1704" i="1"/>
  <c r="G1705" i="1" a="1"/>
  <c r="G1705" i="1"/>
  <c r="G1706" i="1" a="1"/>
  <c r="G1706" i="1"/>
  <c r="G1707" i="1" a="1"/>
  <c r="G1707" i="1" s="1"/>
  <c r="G1708" i="1" a="1"/>
  <c r="G1708" i="1"/>
  <c r="G1709" i="1" a="1"/>
  <c r="G1709" i="1"/>
  <c r="G1710" i="1" a="1"/>
  <c r="G1710" i="1"/>
  <c r="G1711" i="1" a="1"/>
  <c r="G1711" i="1" s="1"/>
  <c r="G1712" i="1" a="1"/>
  <c r="G1712" i="1"/>
  <c r="G1713" i="1" a="1"/>
  <c r="G1713" i="1" s="1"/>
  <c r="G1714" i="1" a="1"/>
  <c r="G1714" i="1"/>
  <c r="G1715" i="1" a="1"/>
  <c r="G1715" i="1" s="1"/>
  <c r="G1716" i="1" a="1"/>
  <c r="G1716" i="1"/>
  <c r="G1717" i="1" a="1"/>
  <c r="G1717" i="1" s="1"/>
  <c r="G1718" i="1" a="1"/>
  <c r="G1718" i="1"/>
  <c r="G1719" i="1" a="1"/>
  <c r="G1719" i="1" s="1"/>
  <c r="G1720" i="1" a="1"/>
  <c r="G1720" i="1"/>
  <c r="G1721" i="1" a="1"/>
  <c r="G1721" i="1" s="1"/>
  <c r="G1722" i="1" a="1"/>
  <c r="G1722" i="1"/>
  <c r="G1723" i="1" a="1"/>
  <c r="G1723" i="1" s="1"/>
  <c r="G1724" i="1" a="1"/>
  <c r="G1724" i="1"/>
  <c r="G1725" i="1" a="1"/>
  <c r="G1725" i="1" s="1"/>
  <c r="G1726" i="1" a="1"/>
  <c r="G1726" i="1"/>
  <c r="G1727" i="1" a="1"/>
  <c r="G1727" i="1" s="1"/>
  <c r="G1728" i="1" a="1"/>
  <c r="G1728" i="1"/>
  <c r="G1729" i="1" a="1"/>
  <c r="G1729" i="1" s="1"/>
  <c r="G1730" i="1" a="1"/>
  <c r="G1730" i="1"/>
  <c r="G1731" i="1" a="1"/>
  <c r="G1731" i="1" s="1"/>
  <c r="G1732" i="1" a="1"/>
  <c r="G1732" i="1"/>
  <c r="G1733" i="1" a="1"/>
  <c r="G1733" i="1" s="1"/>
  <c r="G1734" i="1" a="1"/>
  <c r="G1734" i="1"/>
  <c r="G1735" i="1" a="1"/>
  <c r="G1735" i="1" s="1"/>
  <c r="G1736" i="1" a="1"/>
  <c r="G1736" i="1"/>
  <c r="G1737" i="1" a="1"/>
  <c r="G1737" i="1" s="1"/>
  <c r="G1738" i="1" a="1"/>
  <c r="G1738" i="1"/>
  <c r="G1739" i="1" a="1"/>
  <c r="G1739" i="1" s="1"/>
  <c r="G1740" i="1" a="1"/>
  <c r="G1740" i="1"/>
  <c r="G1741" i="1" a="1"/>
  <c r="G1741" i="1" s="1"/>
  <c r="G1742" i="1" a="1"/>
  <c r="G1742" i="1"/>
  <c r="G1743" i="1" a="1"/>
  <c r="G1743" i="1" s="1"/>
  <c r="G1744" i="1" a="1"/>
  <c r="G1744" i="1"/>
  <c r="G1745" i="1" a="1"/>
  <c r="G1745" i="1" s="1"/>
  <c r="G1746" i="1" a="1"/>
  <c r="G1746" i="1"/>
  <c r="G1747" i="1" a="1"/>
  <c r="G1747" i="1" s="1"/>
  <c r="G1748" i="1" a="1"/>
  <c r="G1748" i="1"/>
  <c r="G1749" i="1" a="1"/>
  <c r="G1749" i="1" s="1"/>
  <c r="G1750" i="1" a="1"/>
  <c r="G1750" i="1"/>
  <c r="G1751" i="1" a="1"/>
  <c r="G1751" i="1" s="1"/>
  <c r="G1752" i="1" a="1"/>
  <c r="G1752" i="1"/>
  <c r="G1753" i="1" a="1"/>
  <c r="G1753" i="1" s="1"/>
  <c r="G1754" i="1" a="1"/>
  <c r="G1754" i="1"/>
  <c r="G1755" i="1" a="1"/>
  <c r="G1755" i="1" s="1"/>
  <c r="G1756" i="1" a="1"/>
  <c r="G1756" i="1"/>
  <c r="G1757" i="1" a="1"/>
  <c r="G1757" i="1" s="1"/>
  <c r="G1758" i="1" a="1"/>
  <c r="G1758" i="1"/>
  <c r="G1759" i="1" a="1"/>
  <c r="G1759" i="1" s="1"/>
  <c r="G1760" i="1" a="1"/>
  <c r="G1760" i="1"/>
  <c r="G1761" i="1" a="1"/>
  <c r="G1761" i="1" s="1"/>
  <c r="G1762" i="1" a="1"/>
  <c r="G1762" i="1"/>
  <c r="G1763" i="1" a="1"/>
  <c r="G1763" i="1" s="1"/>
  <c r="G1764" i="1" a="1"/>
  <c r="G1764" i="1"/>
  <c r="G1765" i="1" a="1"/>
  <c r="G1765" i="1" s="1"/>
  <c r="G1766" i="1" a="1"/>
  <c r="G1766" i="1"/>
  <c r="G1767" i="1" a="1"/>
  <c r="G1767" i="1" s="1"/>
  <c r="G1768" i="1" a="1"/>
  <c r="G1768" i="1"/>
  <c r="G1769" i="1" a="1"/>
  <c r="G1769" i="1" s="1"/>
  <c r="G1770" i="1" a="1"/>
  <c r="G1770" i="1"/>
  <c r="G1771" i="1" a="1"/>
  <c r="G1771" i="1" s="1"/>
  <c r="G1772" i="1" a="1"/>
  <c r="G1772" i="1"/>
  <c r="G1773" i="1" a="1"/>
  <c r="G1773" i="1" s="1"/>
  <c r="G1774" i="1" a="1"/>
  <c r="G1774" i="1"/>
  <c r="G1775" i="1" a="1"/>
  <c r="G1775" i="1" s="1"/>
  <c r="G1776" i="1" a="1"/>
  <c r="G1776" i="1"/>
  <c r="G1777" i="1" a="1"/>
  <c r="G1777" i="1" s="1"/>
  <c r="G1778" i="1" a="1"/>
  <c r="G1778" i="1"/>
  <c r="G1779" i="1" a="1"/>
  <c r="G1779" i="1" s="1"/>
  <c r="G1780" i="1" a="1"/>
  <c r="G1780" i="1"/>
  <c r="G1781" i="1" a="1"/>
  <c r="G1781" i="1" s="1"/>
  <c r="G1782" i="1" a="1"/>
  <c r="G1782" i="1"/>
  <c r="G1783" i="1" a="1"/>
  <c r="G1783" i="1" s="1"/>
  <c r="G1784" i="1" a="1"/>
  <c r="G1784" i="1"/>
  <c r="G1785" i="1" a="1"/>
  <c r="G1785" i="1" s="1"/>
  <c r="G1786" i="1" a="1"/>
  <c r="G1786" i="1"/>
  <c r="G1787" i="1" a="1"/>
  <c r="G1787" i="1" s="1"/>
  <c r="G1788" i="1" a="1"/>
  <c r="G1788" i="1"/>
  <c r="G1789" i="1" a="1"/>
  <c r="G1789" i="1" s="1"/>
  <c r="G1790" i="1" a="1"/>
  <c r="G1790" i="1"/>
  <c r="G1791" i="1" a="1"/>
  <c r="G1791" i="1" s="1"/>
  <c r="G1792" i="1" a="1"/>
  <c r="G1792" i="1"/>
  <c r="G1793" i="1" a="1"/>
  <c r="G1793" i="1" s="1"/>
  <c r="G1794" i="1" a="1"/>
  <c r="G1794" i="1"/>
  <c r="G1795" i="1" a="1"/>
  <c r="G1795" i="1" s="1"/>
  <c r="G1796" i="1" a="1"/>
  <c r="G1796" i="1"/>
  <c r="G1797" i="1" a="1"/>
  <c r="G1797" i="1" s="1"/>
  <c r="G1798" i="1" a="1"/>
  <c r="G1798" i="1"/>
  <c r="G1799" i="1" a="1"/>
  <c r="G1799" i="1" s="1"/>
  <c r="G1800" i="1" a="1"/>
  <c r="G1800" i="1"/>
  <c r="G1801" i="1" a="1"/>
  <c r="G1801" i="1" s="1"/>
  <c r="G1802" i="1" a="1"/>
  <c r="G1802" i="1"/>
  <c r="G1803" i="1" a="1"/>
  <c r="G1803" i="1" s="1"/>
  <c r="G1804" i="1" a="1"/>
  <c r="G1804" i="1"/>
  <c r="G1805" i="1" a="1"/>
  <c r="G1805" i="1" s="1"/>
  <c r="G1806" i="1" a="1"/>
  <c r="G1806" i="1"/>
  <c r="G1807" i="1" a="1"/>
  <c r="G1807" i="1" s="1"/>
  <c r="G1808" i="1" a="1"/>
  <c r="G1808" i="1"/>
  <c r="G1809" i="1" a="1"/>
  <c r="G1809" i="1" s="1"/>
  <c r="G1810" i="1" a="1"/>
  <c r="G1810" i="1"/>
  <c r="G1811" i="1" a="1"/>
  <c r="G1811" i="1" s="1"/>
  <c r="G1812" i="1" a="1"/>
  <c r="G1812" i="1"/>
  <c r="G1813" i="1" a="1"/>
  <c r="G1813" i="1" s="1"/>
  <c r="G1814" i="1" a="1"/>
  <c r="G1814" i="1"/>
  <c r="G1815" i="1" a="1"/>
  <c r="G1815" i="1" s="1"/>
  <c r="G1816" i="1" a="1"/>
  <c r="G1816" i="1"/>
  <c r="G1817" i="1" a="1"/>
  <c r="G1817" i="1" s="1"/>
  <c r="G1818" i="1" a="1"/>
  <c r="G1818" i="1"/>
  <c r="G1819" i="1" a="1"/>
  <c r="G1819" i="1" s="1"/>
  <c r="G1820" i="1" a="1"/>
  <c r="G1820" i="1"/>
  <c r="G1821" i="1" a="1"/>
  <c r="G1821" i="1" s="1"/>
  <c r="G1822" i="1" a="1"/>
  <c r="G1822" i="1"/>
  <c r="G1823" i="1" a="1"/>
  <c r="G1823" i="1" s="1"/>
  <c r="G1824" i="1" a="1"/>
  <c r="G1824" i="1"/>
  <c r="G1825" i="1" a="1"/>
  <c r="G1825" i="1" s="1"/>
  <c r="G1826" i="1" a="1"/>
  <c r="G1826" i="1"/>
  <c r="G1827" i="1" a="1"/>
  <c r="G1827" i="1" s="1"/>
  <c r="G1828" i="1" a="1"/>
  <c r="G1828" i="1"/>
  <c r="G1829" i="1" a="1"/>
  <c r="G1829" i="1" s="1"/>
  <c r="G1830" i="1" a="1"/>
  <c r="G1830" i="1"/>
  <c r="G1831" i="1" a="1"/>
  <c r="G1831" i="1" s="1"/>
  <c r="G1832" i="1" a="1"/>
  <c r="G1832" i="1"/>
  <c r="G1833" i="1" a="1"/>
  <c r="G1833" i="1" s="1"/>
  <c r="G1834" i="1" a="1"/>
  <c r="G1834" i="1"/>
  <c r="G1835" i="1" a="1"/>
  <c r="G1835" i="1" s="1"/>
  <c r="G1836" i="1" a="1"/>
  <c r="G1836" i="1"/>
  <c r="G1837" i="1" a="1"/>
  <c r="G1837" i="1" s="1"/>
  <c r="G1838" i="1" a="1"/>
  <c r="G1838" i="1"/>
  <c r="G1839" i="1" a="1"/>
  <c r="G1839" i="1" s="1"/>
  <c r="G1840" i="1" a="1"/>
  <c r="G1840" i="1"/>
  <c r="G1841" i="1" a="1"/>
  <c r="G1841" i="1" s="1"/>
  <c r="G1842" i="1" a="1"/>
  <c r="G1842" i="1"/>
  <c r="G1843" i="1" a="1"/>
  <c r="G1843" i="1" s="1"/>
  <c r="G1844" i="1" a="1"/>
  <c r="G1844" i="1"/>
  <c r="G1845" i="1" a="1"/>
  <c r="G1845" i="1" s="1"/>
  <c r="G1846" i="1" a="1"/>
  <c r="G1846" i="1"/>
  <c r="G1847" i="1" a="1"/>
  <c r="G1847" i="1" s="1"/>
  <c r="G1848" i="1" a="1"/>
  <c r="G1848" i="1"/>
  <c r="G1849" i="1" a="1"/>
  <c r="G1849" i="1" s="1"/>
  <c r="G1850" i="1" a="1"/>
  <c r="G1850" i="1"/>
  <c r="G1851" i="1" a="1"/>
  <c r="G1851" i="1" s="1"/>
  <c r="G1852" i="1" a="1"/>
  <c r="G1852" i="1"/>
  <c r="G1853" i="1" a="1"/>
  <c r="G1853" i="1" s="1"/>
  <c r="G1854" i="1" a="1"/>
  <c r="G1854" i="1"/>
  <c r="G1855" i="1" a="1"/>
  <c r="G1855" i="1" s="1"/>
  <c r="G1856" i="1" a="1"/>
  <c r="G1856" i="1"/>
  <c r="G1857" i="1" a="1"/>
  <c r="G1857" i="1" s="1"/>
  <c r="G1858" i="1" a="1"/>
  <c r="G1858" i="1"/>
  <c r="G1859" i="1" a="1"/>
  <c r="G1859" i="1" s="1"/>
  <c r="G1860" i="1" a="1"/>
  <c r="G1860" i="1"/>
  <c r="G1861" i="1" a="1"/>
  <c r="G1861" i="1" s="1"/>
  <c r="G1862" i="1" a="1"/>
  <c r="G1862" i="1"/>
  <c r="G1863" i="1" a="1"/>
  <c r="G1863" i="1" s="1"/>
  <c r="G1864" i="1" a="1"/>
  <c r="G1864" i="1"/>
  <c r="G1865" i="1" a="1"/>
  <c r="G1865" i="1" s="1"/>
  <c r="G1866" i="1" a="1"/>
  <c r="G1866" i="1"/>
  <c r="G1867" i="1" a="1"/>
  <c r="G1867" i="1" s="1"/>
  <c r="G1868" i="1" a="1"/>
  <c r="G1868" i="1"/>
  <c r="G1869" i="1" a="1"/>
  <c r="G1869" i="1" s="1"/>
  <c r="G1870" i="1" a="1"/>
  <c r="G1870" i="1"/>
  <c r="G1871" i="1" a="1"/>
  <c r="G1871" i="1" s="1"/>
  <c r="G1872" i="1" a="1"/>
  <c r="G1872" i="1"/>
  <c r="G1873" i="1" a="1"/>
  <c r="G1873" i="1" s="1"/>
  <c r="G1874" i="1" a="1"/>
  <c r="G1874" i="1"/>
  <c r="G1875" i="1" a="1"/>
  <c r="G1875" i="1" s="1"/>
  <c r="G1876" i="1" a="1"/>
  <c r="G1876" i="1"/>
  <c r="G1877" i="1" a="1"/>
  <c r="G1877" i="1" s="1"/>
  <c r="G1878" i="1" a="1"/>
  <c r="G1878" i="1"/>
  <c r="G1879" i="1" a="1"/>
  <c r="G1879" i="1" s="1"/>
  <c r="G1880" i="1" a="1"/>
  <c r="G1880" i="1"/>
  <c r="G1881" i="1" a="1"/>
  <c r="G1881" i="1" s="1"/>
  <c r="G1882" i="1" a="1"/>
  <c r="G1882" i="1"/>
  <c r="G1883" i="1" a="1"/>
  <c r="G1883" i="1" s="1"/>
  <c r="G1884" i="1" a="1"/>
  <c r="G1884" i="1"/>
  <c r="G1885" i="1" a="1"/>
  <c r="G1885" i="1" s="1"/>
  <c r="G1886" i="1" a="1"/>
  <c r="G1886" i="1"/>
  <c r="G1887" i="1" a="1"/>
  <c r="G1887" i="1" s="1"/>
  <c r="G1888" i="1" a="1"/>
  <c r="G1888" i="1"/>
  <c r="G1889" i="1" a="1"/>
  <c r="G1889" i="1" s="1"/>
  <c r="G1890" i="1" a="1"/>
  <c r="G1890" i="1"/>
  <c r="G1891" i="1" a="1"/>
  <c r="G1891" i="1" s="1"/>
  <c r="G1892" i="1" a="1"/>
  <c r="G1892" i="1"/>
  <c r="G1893" i="1" a="1"/>
  <c r="G1893" i="1" s="1"/>
  <c r="G1894" i="1" a="1"/>
  <c r="G1894" i="1"/>
  <c r="G1895" i="1" a="1"/>
  <c r="G1895" i="1" s="1"/>
  <c r="G1896" i="1" a="1"/>
  <c r="G1896" i="1"/>
  <c r="G1897" i="1" a="1"/>
  <c r="G1897" i="1" s="1"/>
  <c r="G1898" i="1" a="1"/>
  <c r="G1898" i="1"/>
  <c r="G1899" i="1" a="1"/>
  <c r="G1899" i="1" s="1"/>
  <c r="G1900" i="1" a="1"/>
  <c r="G1900" i="1"/>
  <c r="G1901" i="1" a="1"/>
  <c r="G1901" i="1" s="1"/>
  <c r="G1902" i="1" a="1"/>
  <c r="G1902" i="1"/>
  <c r="G1903" i="1" a="1"/>
  <c r="G1903" i="1" s="1"/>
  <c r="G1904" i="1" a="1"/>
  <c r="G1904" i="1"/>
  <c r="G1905" i="1" a="1"/>
  <c r="G1905" i="1" s="1"/>
  <c r="G1906" i="1" a="1"/>
  <c r="G1906" i="1"/>
  <c r="G1907" i="1" a="1"/>
  <c r="G1907" i="1" s="1"/>
  <c r="G1908" i="1" a="1"/>
  <c r="G1908" i="1"/>
  <c r="G1909" i="1" a="1"/>
  <c r="G1909" i="1" s="1"/>
  <c r="G1910" i="1" a="1"/>
  <c r="G1910" i="1"/>
  <c r="G1911" i="1" a="1"/>
  <c r="G1911" i="1" s="1"/>
  <c r="G1912" i="1" a="1"/>
  <c r="G1912" i="1"/>
  <c r="G1913" i="1" a="1"/>
  <c r="G1913" i="1" s="1"/>
  <c r="G1914" i="1" a="1"/>
  <c r="G1914" i="1"/>
  <c r="G1915" i="1" a="1"/>
  <c r="G1915" i="1" s="1"/>
  <c r="G1916" i="1" a="1"/>
  <c r="G1916" i="1"/>
  <c r="G1917" i="1" a="1"/>
  <c r="G1917" i="1" s="1"/>
  <c r="G1918" i="1" a="1"/>
  <c r="G1918" i="1"/>
  <c r="G1919" i="1" a="1"/>
  <c r="G1919" i="1" s="1"/>
  <c r="G1920" i="1" a="1"/>
  <c r="G1920" i="1"/>
  <c r="G1921" i="1" a="1"/>
  <c r="G1921" i="1" s="1"/>
  <c r="G1922" i="1" a="1"/>
  <c r="G1922" i="1"/>
  <c r="G1923" i="1" a="1"/>
  <c r="G1923" i="1" s="1"/>
  <c r="G1924" i="1" a="1"/>
  <c r="G1924" i="1"/>
  <c r="G1925" i="1" a="1"/>
  <c r="G1925" i="1" s="1"/>
  <c r="G1926" i="1" a="1"/>
  <c r="G1926" i="1"/>
  <c r="G1927" i="1" a="1"/>
  <c r="G1927" i="1" s="1"/>
  <c r="G1928" i="1" a="1"/>
  <c r="G1928" i="1"/>
  <c r="G1929" i="1" a="1"/>
  <c r="G1929" i="1" s="1"/>
  <c r="G1930" i="1" a="1"/>
  <c r="G1930" i="1"/>
  <c r="G1931" i="1" a="1"/>
  <c r="G1931" i="1" s="1"/>
  <c r="G1932" i="1" a="1"/>
  <c r="G1932" i="1"/>
  <c r="G1933" i="1" a="1"/>
  <c r="G1933" i="1" s="1"/>
  <c r="G1934" i="1" a="1"/>
  <c r="G1934" i="1"/>
  <c r="G1935" i="1" a="1"/>
  <c r="G1935" i="1" s="1"/>
  <c r="G1936" i="1" a="1"/>
  <c r="G1936" i="1"/>
  <c r="G1937" i="1" a="1"/>
  <c r="G1937" i="1" s="1"/>
  <c r="G1938" i="1" a="1"/>
  <c r="G1938" i="1"/>
  <c r="G1939" i="1" a="1"/>
  <c r="G1939" i="1" s="1"/>
  <c r="G1940" i="1" a="1"/>
  <c r="G1940" i="1"/>
  <c r="G1941" i="1" a="1"/>
  <c r="G1941" i="1" s="1"/>
  <c r="G1942" i="1" a="1"/>
  <c r="G1942" i="1"/>
  <c r="G1943" i="1" a="1"/>
  <c r="G1943" i="1" s="1"/>
  <c r="G1944" i="1" a="1"/>
  <c r="G1944" i="1"/>
  <c r="G1945" i="1" a="1"/>
  <c r="G1945" i="1" s="1"/>
  <c r="G1946" i="1" a="1"/>
  <c r="G1946" i="1"/>
  <c r="G1947" i="1" a="1"/>
  <c r="G1947" i="1" s="1"/>
  <c r="G1948" i="1" a="1"/>
  <c r="G1948" i="1"/>
  <c r="G1949" i="1" a="1"/>
  <c r="G1949" i="1" s="1"/>
  <c r="G1950" i="1" a="1"/>
  <c r="G1950" i="1"/>
  <c r="G1951" i="1" a="1"/>
  <c r="G1951" i="1" s="1"/>
  <c r="G1952" i="1" a="1"/>
  <c r="G1952" i="1"/>
  <c r="G1953" i="1" a="1"/>
  <c r="G1953" i="1" s="1"/>
  <c r="G1954" i="1" a="1"/>
  <c r="G1954" i="1"/>
  <c r="G1955" i="1" a="1"/>
  <c r="G1955" i="1" s="1"/>
  <c r="G1956" i="1" a="1"/>
  <c r="G1956" i="1"/>
  <c r="G1957" i="1" a="1"/>
  <c r="G1957" i="1" s="1"/>
  <c r="G1958" i="1" a="1"/>
  <c r="G1958" i="1"/>
  <c r="G1959" i="1" a="1"/>
  <c r="G1959" i="1" s="1"/>
  <c r="G1960" i="1" a="1"/>
  <c r="G1960" i="1"/>
  <c r="G1961" i="1" a="1"/>
  <c r="G1961" i="1" s="1"/>
  <c r="G1962" i="1" a="1"/>
  <c r="G1962" i="1"/>
  <c r="G1963" i="1" a="1"/>
  <c r="G1963" i="1" s="1"/>
  <c r="G1964" i="1" a="1"/>
  <c r="G1964" i="1"/>
  <c r="G1965" i="1" a="1"/>
  <c r="G1965" i="1" s="1"/>
  <c r="G1966" i="1" a="1"/>
  <c r="G1966" i="1"/>
  <c r="G1967" i="1" a="1"/>
  <c r="G1967" i="1" s="1"/>
  <c r="G1968" i="1" a="1"/>
  <c r="G1968" i="1"/>
  <c r="G1969" i="1" a="1"/>
  <c r="G1969" i="1" s="1"/>
  <c r="G1970" i="1" a="1"/>
  <c r="G1970" i="1"/>
  <c r="G1971" i="1" a="1"/>
  <c r="G1971" i="1" s="1"/>
  <c r="G1972" i="1" a="1"/>
  <c r="G1972" i="1"/>
  <c r="G1973" i="1" a="1"/>
  <c r="G1973" i="1" s="1"/>
  <c r="G1974" i="1" a="1"/>
  <c r="G1974" i="1"/>
  <c r="G1975" i="1" a="1"/>
  <c r="G1975" i="1" s="1"/>
  <c r="G1976" i="1" a="1"/>
  <c r="G1976" i="1"/>
  <c r="G1977" i="1" a="1"/>
  <c r="G1977" i="1" s="1"/>
  <c r="G1978" i="1" a="1"/>
  <c r="G1978" i="1"/>
  <c r="G1979" i="1" a="1"/>
  <c r="G1979" i="1" s="1"/>
  <c r="G1980" i="1" a="1"/>
  <c r="G1980" i="1"/>
  <c r="G1981" i="1" a="1"/>
  <c r="G1981" i="1" s="1"/>
  <c r="G1982" i="1" a="1"/>
  <c r="G1982" i="1"/>
  <c r="G1983" i="1" a="1"/>
  <c r="G1983" i="1" s="1"/>
  <c r="G1984" i="1" a="1"/>
  <c r="G1984" i="1"/>
  <c r="G1985" i="1" a="1"/>
  <c r="G1985" i="1" s="1"/>
  <c r="G1986" i="1" a="1"/>
  <c r="G1986" i="1"/>
  <c r="G1987" i="1" a="1"/>
  <c r="G1987" i="1" s="1"/>
  <c r="G1988" i="1" a="1"/>
  <c r="G1988" i="1"/>
  <c r="G1989" i="1" a="1"/>
  <c r="G1989" i="1" s="1"/>
  <c r="G1990" i="1" a="1"/>
  <c r="G1990" i="1"/>
  <c r="G1991" i="1" a="1"/>
  <c r="G1991" i="1" s="1"/>
  <c r="G1992" i="1" a="1"/>
  <c r="G1992" i="1"/>
  <c r="G1993" i="1" a="1"/>
  <c r="G1993" i="1" s="1"/>
  <c r="G1994" i="1" a="1"/>
  <c r="G1994" i="1"/>
  <c r="G1995" i="1" a="1"/>
  <c r="G1995" i="1" s="1"/>
  <c r="G1996" i="1" a="1"/>
  <c r="G1996" i="1"/>
  <c r="G1997" i="1" a="1"/>
  <c r="G1997" i="1" s="1"/>
  <c r="G1998" i="1" a="1"/>
  <c r="G1998" i="1"/>
  <c r="G1999" i="1" a="1"/>
  <c r="G1999" i="1" s="1"/>
  <c r="G2000" i="1" a="1"/>
  <c r="G2000" i="1"/>
  <c r="G2001" i="1" a="1"/>
  <c r="G2001" i="1" s="1"/>
  <c r="F81" i="1" a="1"/>
  <c r="F81" i="1" s="1"/>
  <c r="F2" i="1" a="1"/>
  <c r="F2" i="1" s="1"/>
  <c r="F3" i="1" a="1"/>
  <c r="F3" i="1"/>
  <c r="F4" i="1" a="1"/>
  <c r="F4" i="1" s="1"/>
  <c r="F5" i="1" a="1"/>
  <c r="F5" i="1" s="1"/>
  <c r="F6" i="1" a="1"/>
  <c r="F6" i="1" s="1"/>
  <c r="F7" i="1" a="1"/>
  <c r="F7" i="1" s="1"/>
  <c r="F8" i="1" a="1"/>
  <c r="F8" i="1" s="1"/>
  <c r="F9" i="1" a="1"/>
  <c r="F9" i="1"/>
  <c r="F10" i="1" a="1"/>
  <c r="F10" i="1" s="1"/>
  <c r="F11" i="1" a="1"/>
  <c r="F11" i="1" s="1"/>
  <c r="F12" i="1" a="1"/>
  <c r="F12" i="1"/>
  <c r="F13" i="1" a="1"/>
  <c r="F13" i="1" s="1"/>
  <c r="F14" i="1" a="1"/>
  <c r="F14" i="1" s="1"/>
  <c r="F15" i="1" a="1"/>
  <c r="F15" i="1"/>
  <c r="F16" i="1" a="1"/>
  <c r="F16" i="1" s="1"/>
  <c r="F17" i="1" a="1"/>
  <c r="F17" i="1" s="1"/>
  <c r="F18" i="1" a="1"/>
  <c r="F18" i="1" s="1"/>
  <c r="F19" i="1" a="1"/>
  <c r="F19" i="1"/>
  <c r="F20" i="1" a="1"/>
  <c r="F20" i="1" s="1"/>
  <c r="F21" i="1" a="1"/>
  <c r="F21" i="1"/>
  <c r="F22" i="1" a="1"/>
  <c r="F22" i="1" s="1"/>
  <c r="F23" i="1" a="1"/>
  <c r="F23" i="1"/>
  <c r="F24" i="1" a="1"/>
  <c r="F24" i="1" s="1"/>
  <c r="F25" i="1" a="1"/>
  <c r="F25" i="1" s="1"/>
  <c r="F26" i="1" a="1"/>
  <c r="F26" i="1" s="1"/>
  <c r="F27" i="1" a="1"/>
  <c r="F27" i="1" s="1"/>
  <c r="F28" i="1" a="1"/>
  <c r="F28" i="1" s="1"/>
  <c r="F29" i="1" a="1"/>
  <c r="F29" i="1" s="1"/>
  <c r="F30" i="1" a="1"/>
  <c r="F30" i="1" s="1"/>
  <c r="F31" i="1" a="1"/>
  <c r="F31" i="1"/>
  <c r="F32" i="1" a="1"/>
  <c r="F32" i="1"/>
  <c r="F33" i="1" a="1"/>
  <c r="F33" i="1" s="1"/>
  <c r="F34" i="1" a="1"/>
  <c r="F34" i="1" s="1"/>
  <c r="F35" i="1" a="1"/>
  <c r="F35" i="1"/>
  <c r="F36" i="1" a="1"/>
  <c r="F36" i="1" s="1"/>
  <c r="F37" i="1" a="1"/>
  <c r="F37" i="1"/>
  <c r="F38" i="1" a="1"/>
  <c r="F38" i="1" s="1"/>
  <c r="F39" i="1" a="1"/>
  <c r="F39" i="1" s="1"/>
  <c r="F40" i="1" a="1"/>
  <c r="F40" i="1" s="1"/>
  <c r="F41" i="1" a="1"/>
  <c r="F41" i="1"/>
  <c r="F42" i="1" a="1"/>
  <c r="F42" i="1" s="1"/>
  <c r="F43" i="1" a="1"/>
  <c r="F43" i="1" s="1"/>
  <c r="F44" i="1" a="1"/>
  <c r="F44" i="1"/>
  <c r="F45" i="1" a="1"/>
  <c r="F45" i="1" s="1"/>
  <c r="F46" i="1" a="1"/>
  <c r="F46" i="1" s="1"/>
  <c r="F47" i="1" a="1"/>
  <c r="F47" i="1"/>
  <c r="F48" i="1" a="1"/>
  <c r="F48" i="1" s="1"/>
  <c r="F49" i="1" a="1"/>
  <c r="F49" i="1"/>
  <c r="F50" i="1" a="1"/>
  <c r="F50" i="1" s="1"/>
  <c r="F51" i="1" a="1"/>
  <c r="F51" i="1" s="1"/>
  <c r="F52" i="1" a="1"/>
  <c r="F52" i="1" s="1"/>
  <c r="F53" i="1" a="1"/>
  <c r="F53" i="1"/>
  <c r="F54" i="1" a="1"/>
  <c r="F54" i="1" s="1"/>
  <c r="F55" i="1" a="1"/>
  <c r="F55" i="1"/>
  <c r="F56" i="1" a="1"/>
  <c r="F56" i="1" s="1"/>
  <c r="F57" i="1" a="1"/>
  <c r="F57" i="1" s="1"/>
  <c r="F58" i="1" a="1"/>
  <c r="F58" i="1" s="1"/>
  <c r="F59" i="1" a="1"/>
  <c r="F59" i="1" s="1"/>
  <c r="F60" i="1" a="1"/>
  <c r="F60" i="1" s="1"/>
  <c r="F61" i="1" a="1"/>
  <c r="F61" i="1" s="1"/>
  <c r="F62" i="1" a="1"/>
  <c r="F62" i="1" s="1"/>
  <c r="F63" i="1" a="1"/>
  <c r="F63" i="1"/>
  <c r="F64" i="1" a="1"/>
  <c r="F64" i="1"/>
  <c r="F65" i="1" a="1"/>
  <c r="F65" i="1" s="1"/>
  <c r="F66" i="1" a="1"/>
  <c r="F66" i="1" s="1"/>
  <c r="F67" i="1" a="1"/>
  <c r="F67" i="1"/>
  <c r="F68" i="1" a="1"/>
  <c r="F68" i="1" s="1"/>
  <c r="F69" i="1" a="1"/>
  <c r="F69" i="1"/>
  <c r="F70" i="1" a="1"/>
  <c r="F70" i="1" s="1"/>
  <c r="F71" i="1" a="1"/>
  <c r="F71" i="1" s="1"/>
  <c r="F72" i="1" a="1"/>
  <c r="F72" i="1"/>
  <c r="F73" i="1" a="1"/>
  <c r="F73" i="1"/>
  <c r="F74" i="1" a="1"/>
  <c r="F74" i="1" s="1"/>
  <c r="F75" i="1" a="1"/>
  <c r="F75" i="1" s="1"/>
  <c r="F76" i="1" a="1"/>
  <c r="F76" i="1"/>
  <c r="F77" i="1" a="1"/>
  <c r="F77" i="1" s="1"/>
  <c r="F78" i="1" a="1"/>
  <c r="F78" i="1" s="1"/>
  <c r="F79" i="1" a="1"/>
  <c r="F79" i="1"/>
  <c r="F80" i="1" a="1"/>
  <c r="F80" i="1" s="1"/>
  <c r="F82" i="1" a="1"/>
  <c r="F82" i="1" s="1"/>
  <c r="F83" i="1" a="1"/>
  <c r="F83" i="1"/>
  <c r="F84" i="1" a="1"/>
  <c r="F84" i="1" s="1"/>
  <c r="F85" i="1" a="1"/>
  <c r="F85" i="1"/>
  <c r="F86" i="1" a="1"/>
  <c r="F86" i="1" s="1"/>
  <c r="F87" i="1" a="1"/>
  <c r="F87" i="1"/>
  <c r="F88" i="1" a="1"/>
  <c r="F88" i="1"/>
  <c r="F89" i="1" a="1"/>
  <c r="F89" i="1" s="1"/>
  <c r="F90" i="1" a="1"/>
  <c r="F90" i="1" s="1"/>
  <c r="F91" i="1" a="1"/>
  <c r="F91" i="1" s="1"/>
  <c r="F92" i="1" a="1"/>
  <c r="F92" i="1" s="1"/>
  <c r="F93" i="1" a="1"/>
  <c r="F93" i="1" s="1"/>
  <c r="F94" i="1" a="1"/>
  <c r="F94" i="1" s="1"/>
  <c r="F95" i="1" a="1"/>
  <c r="F95" i="1" s="1"/>
  <c r="F96" i="1" a="1"/>
  <c r="F96" i="1"/>
  <c r="F97" i="1" a="1"/>
  <c r="F97" i="1" s="1"/>
  <c r="F98" i="1" a="1"/>
  <c r="F98" i="1" s="1"/>
  <c r="F99" i="1" a="1"/>
  <c r="F99" i="1"/>
  <c r="F100" i="1" a="1"/>
  <c r="F100" i="1" s="1"/>
  <c r="F101" i="1" a="1"/>
  <c r="F101" i="1"/>
  <c r="F102" i="1" a="1"/>
  <c r="F102" i="1" s="1"/>
  <c r="F103" i="1" a="1"/>
  <c r="F103" i="1"/>
  <c r="F104" i="1" a="1"/>
  <c r="F104" i="1"/>
  <c r="F105" i="1" a="1"/>
  <c r="F105" i="1"/>
  <c r="F106" i="1" a="1"/>
  <c r="F106" i="1" s="1"/>
  <c r="F107" i="1" a="1"/>
  <c r="F107" i="1" s="1"/>
  <c r="F108" i="1" a="1"/>
  <c r="F108" i="1"/>
  <c r="F109" i="1" a="1"/>
  <c r="F109" i="1" s="1"/>
  <c r="F110" i="1" a="1"/>
  <c r="F110" i="1" s="1"/>
  <c r="F111" i="1" a="1"/>
  <c r="F111" i="1"/>
  <c r="F112" i="1" a="1"/>
  <c r="F112" i="1" s="1"/>
  <c r="F113" i="1" a="1"/>
  <c r="F113" i="1" s="1"/>
  <c r="F114" i="1" a="1"/>
  <c r="F114" i="1" s="1"/>
  <c r="F115" i="1" a="1"/>
  <c r="F115" i="1"/>
  <c r="F116" i="1" a="1"/>
  <c r="F116" i="1" s="1"/>
  <c r="F117" i="1" a="1"/>
  <c r="F117" i="1"/>
  <c r="F118" i="1" a="1"/>
  <c r="F118" i="1" s="1"/>
  <c r="F119" i="1" a="1"/>
  <c r="F119" i="1"/>
  <c r="F120" i="1" a="1"/>
  <c r="F120" i="1"/>
  <c r="F121" i="1" a="1"/>
  <c r="F121" i="1" s="1"/>
  <c r="F122" i="1" a="1"/>
  <c r="F122" i="1" s="1"/>
  <c r="F123" i="1" a="1"/>
  <c r="F123" i="1" s="1"/>
  <c r="F124" i="1" a="1"/>
  <c r="F124" i="1" s="1"/>
  <c r="F125" i="1" a="1"/>
  <c r="F125" i="1" s="1"/>
  <c r="F126" i="1" a="1"/>
  <c r="F126" i="1" s="1"/>
  <c r="F127" i="1" a="1"/>
  <c r="F127" i="1" s="1"/>
  <c r="F128" i="1" a="1"/>
  <c r="F128" i="1"/>
  <c r="F129" i="1" a="1"/>
  <c r="F129" i="1"/>
  <c r="F130" i="1" a="1"/>
  <c r="F130" i="1" s="1"/>
  <c r="F131" i="1" a="1"/>
  <c r="F131" i="1"/>
  <c r="F132" i="1" a="1"/>
  <c r="F132" i="1" s="1"/>
  <c r="F133" i="1" a="1"/>
  <c r="F133" i="1"/>
  <c r="F134" i="1" a="1"/>
  <c r="F134" i="1" s="1"/>
  <c r="F135" i="1" a="1"/>
  <c r="F135" i="1" s="1"/>
  <c r="F136" i="1" a="1"/>
  <c r="F136" i="1" s="1"/>
  <c r="F137" i="1" a="1"/>
  <c r="F137" i="1"/>
  <c r="F138" i="1" a="1"/>
  <c r="F138" i="1" s="1"/>
  <c r="F139" i="1" a="1"/>
  <c r="F139" i="1" s="1"/>
  <c r="F140" i="1" a="1"/>
  <c r="F140" i="1"/>
  <c r="F141" i="1" a="1"/>
  <c r="F141" i="1" s="1"/>
  <c r="F142" i="1" a="1"/>
  <c r="F142" i="1" s="1"/>
  <c r="F143" i="1" a="1"/>
  <c r="F143" i="1" s="1"/>
  <c r="F144" i="1" a="1"/>
  <c r="F144" i="1" s="1"/>
  <c r="F145" i="1" a="1"/>
  <c r="F145" i="1"/>
  <c r="F146" i="1" a="1"/>
  <c r="F146" i="1" s="1"/>
  <c r="F147" i="1" a="1"/>
  <c r="F147" i="1" s="1"/>
  <c r="F148" i="1" a="1"/>
  <c r="F148" i="1" s="1"/>
  <c r="F149" i="1" a="1"/>
  <c r="F149" i="1"/>
  <c r="F150" i="1" a="1"/>
  <c r="F150" i="1" s="1"/>
  <c r="F151" i="1" a="1"/>
  <c r="F151" i="1"/>
  <c r="F152" i="1" a="1"/>
  <c r="F152" i="1" s="1"/>
  <c r="F153" i="1" a="1"/>
  <c r="F153" i="1" s="1"/>
  <c r="F154" i="1" a="1"/>
  <c r="F154" i="1" s="1"/>
  <c r="F155" i="1" a="1"/>
  <c r="F155" i="1" s="1"/>
  <c r="F156" i="1" a="1"/>
  <c r="F156" i="1"/>
  <c r="F157" i="1" a="1"/>
  <c r="F157" i="1" s="1"/>
  <c r="F158" i="1" a="1"/>
  <c r="F158" i="1" s="1"/>
  <c r="F159" i="1" a="1"/>
  <c r="F159" i="1" s="1"/>
  <c r="F160" i="1" a="1"/>
  <c r="F160" i="1"/>
  <c r="F161" i="1" a="1"/>
  <c r="F161" i="1"/>
  <c r="F162" i="1" a="1"/>
  <c r="F162" i="1" s="1"/>
  <c r="F163" i="1" a="1"/>
  <c r="F163" i="1"/>
  <c r="F164" i="1" a="1"/>
  <c r="F164" i="1" s="1"/>
  <c r="F165" i="1" a="1"/>
  <c r="F165" i="1"/>
  <c r="F166" i="1" a="1"/>
  <c r="F166" i="1" s="1"/>
  <c r="F167" i="1" a="1"/>
  <c r="F167" i="1" s="1"/>
  <c r="F168" i="1" a="1"/>
  <c r="F168" i="1"/>
  <c r="F169" i="1" a="1"/>
  <c r="F169" i="1"/>
  <c r="F170" i="1" a="1"/>
  <c r="F170" i="1" s="1"/>
  <c r="F171" i="1" a="1"/>
  <c r="F171" i="1" s="1"/>
  <c r="F172" i="1" a="1"/>
  <c r="F172" i="1"/>
  <c r="F173" i="1" a="1"/>
  <c r="F173" i="1" s="1"/>
  <c r="F174" i="1" a="1"/>
  <c r="F174" i="1" s="1"/>
  <c r="F175" i="1" a="1"/>
  <c r="F175" i="1" s="1"/>
  <c r="F176" i="1" a="1"/>
  <c r="F176" i="1" s="1"/>
  <c r="F177" i="1" a="1"/>
  <c r="F177" i="1"/>
  <c r="F178" i="1" a="1"/>
  <c r="F178" i="1" s="1"/>
  <c r="F179" i="1" a="1"/>
  <c r="F179" i="1"/>
  <c r="F180" i="1" a="1"/>
  <c r="F180" i="1" s="1"/>
  <c r="F181" i="1" a="1"/>
  <c r="F181" i="1"/>
  <c r="F182" i="1" a="1"/>
  <c r="F182" i="1" s="1"/>
  <c r="F183" i="1" a="1"/>
  <c r="F183" i="1"/>
  <c r="F184" i="1" a="1"/>
  <c r="F184" i="1"/>
  <c r="F185" i="1" a="1"/>
  <c r="F185" i="1" s="1"/>
  <c r="F186" i="1" a="1"/>
  <c r="F186" i="1" s="1"/>
  <c r="F187" i="1" a="1"/>
  <c r="F187" i="1" s="1"/>
  <c r="F188" i="1" a="1"/>
  <c r="F188" i="1"/>
  <c r="F189" i="1" a="1"/>
  <c r="F189" i="1" s="1"/>
  <c r="F190" i="1" a="1"/>
  <c r="F190" i="1" s="1"/>
  <c r="F191" i="1" a="1"/>
  <c r="F191" i="1" s="1"/>
  <c r="F192" i="1" a="1"/>
  <c r="F192" i="1"/>
  <c r="F193" i="1" a="1"/>
  <c r="F193" i="1" s="1"/>
  <c r="F194" i="1" a="1"/>
  <c r="F194" i="1" s="1"/>
  <c r="F195" i="1" a="1"/>
  <c r="F195" i="1"/>
  <c r="F196" i="1" a="1"/>
  <c r="F196" i="1" s="1"/>
  <c r="F197" i="1" a="1"/>
  <c r="F197" i="1" s="1"/>
  <c r="F198" i="1" a="1"/>
  <c r="F198" i="1" s="1"/>
  <c r="F199" i="1" a="1"/>
  <c r="F199" i="1" s="1"/>
  <c r="F200" i="1" a="1"/>
  <c r="F200" i="1"/>
  <c r="F201" i="1" a="1"/>
  <c r="F201" i="1"/>
  <c r="F202" i="1" a="1"/>
  <c r="F202" i="1" s="1"/>
  <c r="F203" i="1" a="1"/>
  <c r="F203" i="1"/>
  <c r="F204" i="1" a="1"/>
  <c r="F204" i="1"/>
  <c r="F205" i="1" a="1"/>
  <c r="F205" i="1" s="1"/>
  <c r="F206" i="1" a="1"/>
  <c r="F206" i="1" s="1"/>
  <c r="F207" i="1" a="1"/>
  <c r="F207" i="1" s="1"/>
  <c r="F208" i="1" a="1"/>
  <c r="F208" i="1" s="1"/>
  <c r="F209" i="1" a="1"/>
  <c r="F209" i="1" s="1"/>
  <c r="F210" i="1" a="1"/>
  <c r="F210" i="1" s="1"/>
  <c r="F211" i="1" a="1"/>
  <c r="F211" i="1"/>
  <c r="F212" i="1" a="1"/>
  <c r="F212" i="1"/>
  <c r="F213" i="1" a="1"/>
  <c r="F213" i="1"/>
  <c r="F214" i="1" a="1"/>
  <c r="F214" i="1" s="1"/>
  <c r="F215" i="1" a="1"/>
  <c r="F215" i="1"/>
  <c r="F216" i="1" a="1"/>
  <c r="F216" i="1"/>
  <c r="F217" i="1" a="1"/>
  <c r="F217" i="1" s="1"/>
  <c r="F218" i="1" a="1"/>
  <c r="F218" i="1" s="1"/>
  <c r="F219" i="1" a="1"/>
  <c r="F219" i="1" s="1"/>
  <c r="F220" i="1" a="1"/>
  <c r="F220" i="1"/>
  <c r="F221" i="1" a="1"/>
  <c r="F221" i="1"/>
  <c r="F222" i="1" a="1"/>
  <c r="F222" i="1" s="1"/>
  <c r="F223" i="1" a="1"/>
  <c r="F223" i="1" s="1"/>
  <c r="F224" i="1" a="1"/>
  <c r="F224" i="1"/>
  <c r="F225" i="1" a="1"/>
  <c r="F225" i="1" s="1"/>
  <c r="F226" i="1" a="1"/>
  <c r="F226" i="1" s="1"/>
  <c r="F227" i="1" a="1"/>
  <c r="F227" i="1"/>
  <c r="F228" i="1" a="1"/>
  <c r="F228" i="1" s="1"/>
  <c r="F229" i="1" a="1"/>
  <c r="F229" i="1" s="1"/>
  <c r="F230" i="1" a="1"/>
  <c r="F230" i="1" s="1"/>
  <c r="F231" i="1" a="1"/>
  <c r="F231" i="1" s="1"/>
  <c r="F232" i="1" a="1"/>
  <c r="F232" i="1"/>
  <c r="F233" i="1" a="1"/>
  <c r="F233" i="1"/>
  <c r="F234" i="1" a="1"/>
  <c r="F234" i="1" s="1"/>
  <c r="F235" i="1" a="1"/>
  <c r="F235" i="1"/>
  <c r="F236" i="1" a="1"/>
  <c r="F236" i="1"/>
  <c r="F237" i="1" a="1"/>
  <c r="F237" i="1" s="1"/>
  <c r="F238" i="1" a="1"/>
  <c r="F238" i="1" s="1"/>
  <c r="F239" i="1" a="1"/>
  <c r="F239" i="1"/>
  <c r="F240" i="1" a="1"/>
  <c r="F240" i="1" s="1"/>
  <c r="F241" i="1" a="1"/>
  <c r="F241" i="1" s="1"/>
  <c r="F242" i="1" a="1"/>
  <c r="F242" i="1" s="1"/>
  <c r="F243" i="1" a="1"/>
  <c r="F243" i="1"/>
  <c r="F244" i="1" a="1"/>
  <c r="F244" i="1"/>
  <c r="F245" i="1" a="1"/>
  <c r="F245" i="1"/>
  <c r="F246" i="1" a="1"/>
  <c r="F246" i="1" s="1"/>
  <c r="F247" i="1" a="1"/>
  <c r="F247" i="1"/>
  <c r="F248" i="1" a="1"/>
  <c r="F248" i="1" s="1"/>
  <c r="F249" i="1" a="1"/>
  <c r="F249" i="1" s="1"/>
  <c r="F250" i="1" a="1"/>
  <c r="F250" i="1" s="1"/>
  <c r="F251" i="1" a="1"/>
  <c r="F251" i="1" s="1"/>
  <c r="F252" i="1" a="1"/>
  <c r="F252" i="1" s="1"/>
  <c r="F253" i="1" a="1"/>
  <c r="F253" i="1"/>
  <c r="F254" i="1" a="1"/>
  <c r="F254" i="1" s="1"/>
  <c r="F255" i="1" a="1"/>
  <c r="F255" i="1" s="1"/>
  <c r="F256" i="1" a="1"/>
  <c r="F256" i="1"/>
  <c r="F257" i="1" a="1"/>
  <c r="F257" i="1" s="1"/>
  <c r="F258" i="1" a="1"/>
  <c r="F258" i="1" s="1"/>
  <c r="F259" i="1" a="1"/>
  <c r="F259" i="1"/>
  <c r="F260" i="1" a="1"/>
  <c r="F260" i="1" s="1"/>
  <c r="F261" i="1" a="1"/>
  <c r="F261" i="1"/>
  <c r="F262" i="1" a="1"/>
  <c r="F262" i="1" s="1"/>
  <c r="F263" i="1" a="1"/>
  <c r="F263" i="1" s="1"/>
  <c r="F264" i="1" a="1"/>
  <c r="F264" i="1"/>
  <c r="F265" i="1" a="1"/>
  <c r="F265" i="1"/>
  <c r="F266" i="1" a="1"/>
  <c r="F266" i="1" s="1"/>
  <c r="F267" i="1" a="1"/>
  <c r="F267" i="1"/>
  <c r="F268" i="1" a="1"/>
  <c r="F268" i="1" s="1"/>
  <c r="F269" i="1" a="1"/>
  <c r="F269" i="1" s="1"/>
  <c r="F270" i="1" a="1"/>
  <c r="F270" i="1" s="1"/>
  <c r="F271" i="1" a="1"/>
  <c r="F271" i="1" s="1"/>
  <c r="F272" i="1" a="1"/>
  <c r="F272" i="1"/>
  <c r="F273" i="1" a="1"/>
  <c r="F273" i="1" s="1"/>
  <c r="F274" i="1" a="1"/>
  <c r="F274" i="1" s="1"/>
  <c r="F275" i="1" a="1"/>
  <c r="F275" i="1"/>
  <c r="F276" i="1" a="1"/>
  <c r="F276" i="1" s="1"/>
  <c r="F277" i="1" a="1"/>
  <c r="F277" i="1"/>
  <c r="F278" i="1" a="1"/>
  <c r="F278" i="1" s="1"/>
  <c r="F279" i="1" a="1"/>
  <c r="F279" i="1"/>
  <c r="F280" i="1" a="1"/>
  <c r="F280" i="1"/>
  <c r="F281" i="1" a="1"/>
  <c r="F281" i="1"/>
  <c r="F282" i="1" a="1"/>
  <c r="F282" i="1" s="1"/>
  <c r="F283" i="1" a="1"/>
  <c r="F283" i="1" s="1"/>
  <c r="F284" i="1" a="1"/>
  <c r="F284" i="1" s="1"/>
  <c r="F285" i="1" a="1"/>
  <c r="F285" i="1"/>
  <c r="F286" i="1" a="1"/>
  <c r="F286" i="1" s="1"/>
  <c r="F287" i="1" a="1"/>
  <c r="F287" i="1"/>
  <c r="F288" i="1" a="1"/>
  <c r="F288" i="1"/>
  <c r="F289" i="1" a="1"/>
  <c r="F289" i="1"/>
  <c r="F290" i="1" a="1"/>
  <c r="F290" i="1" s="1"/>
  <c r="F291" i="1" a="1"/>
  <c r="F291" i="1" s="1"/>
  <c r="F292" i="1" a="1"/>
  <c r="F292" i="1" s="1"/>
  <c r="F293" i="1" a="1"/>
  <c r="F293" i="1"/>
  <c r="F294" i="1" a="1"/>
  <c r="F294" i="1" s="1"/>
  <c r="F295" i="1" a="1"/>
  <c r="F295" i="1"/>
  <c r="F296" i="1" a="1"/>
  <c r="F296" i="1" s="1"/>
  <c r="F297" i="1" a="1"/>
  <c r="F297" i="1"/>
  <c r="F298" i="1" a="1"/>
  <c r="F298" i="1" s="1"/>
  <c r="F299" i="1" a="1"/>
  <c r="F299" i="1"/>
  <c r="F300" i="1" a="1"/>
  <c r="F300" i="1"/>
  <c r="F301" i="1" a="1"/>
  <c r="F301" i="1" s="1"/>
  <c r="F302" i="1" a="1"/>
  <c r="F302" i="1" s="1"/>
  <c r="F303" i="1" a="1"/>
  <c r="F303" i="1"/>
  <c r="F304" i="1" a="1"/>
  <c r="F304" i="1"/>
  <c r="F305" i="1" a="1"/>
  <c r="F305" i="1"/>
  <c r="F306" i="1" a="1"/>
  <c r="F306" i="1" s="1"/>
  <c r="F307" i="1" a="1"/>
  <c r="F307" i="1" s="1"/>
  <c r="F308" i="1" a="1"/>
  <c r="F308" i="1"/>
  <c r="F309" i="1" a="1"/>
  <c r="F309" i="1"/>
  <c r="F310" i="1" a="1"/>
  <c r="F310" i="1" s="1"/>
  <c r="F311" i="1" a="1"/>
  <c r="F311" i="1"/>
  <c r="F312" i="1" a="1"/>
  <c r="F312" i="1"/>
  <c r="F313" i="1" a="1"/>
  <c r="F313" i="1"/>
  <c r="F314" i="1" a="1"/>
  <c r="F314" i="1" s="1"/>
  <c r="F315" i="1" a="1"/>
  <c r="F315" i="1" s="1"/>
  <c r="F316" i="1" a="1"/>
  <c r="F316" i="1" s="1"/>
  <c r="F317" i="1" a="1"/>
  <c r="F317" i="1"/>
  <c r="F318" i="1" a="1"/>
  <c r="F318" i="1" s="1"/>
  <c r="F319" i="1" a="1"/>
  <c r="F319" i="1"/>
  <c r="F320" i="1" a="1"/>
  <c r="F320" i="1"/>
  <c r="F321" i="1" a="1"/>
  <c r="F321" i="1" s="1"/>
  <c r="F322" i="1" a="1"/>
  <c r="F322" i="1" s="1"/>
  <c r="F323" i="1" a="1"/>
  <c r="F323" i="1"/>
  <c r="F324" i="1" a="1"/>
  <c r="F324" i="1" s="1"/>
  <c r="F325" i="1" a="1"/>
  <c r="F325" i="1"/>
  <c r="F326" i="1" a="1"/>
  <c r="F326" i="1" s="1"/>
  <c r="F327" i="1" a="1"/>
  <c r="F327" i="1"/>
  <c r="F328" i="1" a="1"/>
  <c r="F328" i="1"/>
  <c r="F329" i="1" a="1"/>
  <c r="F329" i="1"/>
  <c r="F330" i="1" a="1"/>
  <c r="F330" i="1" s="1"/>
  <c r="F331" i="1" a="1"/>
  <c r="F331" i="1" s="1"/>
  <c r="F332" i="1" a="1"/>
  <c r="F332" i="1"/>
  <c r="F333" i="1" a="1"/>
  <c r="F333" i="1" s="1"/>
  <c r="F334" i="1" a="1"/>
  <c r="F334" i="1" s="1"/>
  <c r="F335" i="1" a="1"/>
  <c r="F335" i="1"/>
  <c r="F336" i="1" a="1"/>
  <c r="F336" i="1" s="1"/>
  <c r="F337" i="1" a="1"/>
  <c r="F337" i="1"/>
  <c r="F338" i="1" a="1"/>
  <c r="F338" i="1" s="1"/>
  <c r="F339" i="1" a="1"/>
  <c r="F339" i="1" s="1"/>
  <c r="F340" i="1" a="1"/>
  <c r="F340" i="1"/>
  <c r="F341" i="1" a="1"/>
  <c r="F341" i="1"/>
  <c r="F342" i="1" a="1"/>
  <c r="F342" i="1" s="1"/>
  <c r="F343" i="1" a="1"/>
  <c r="F343" i="1"/>
  <c r="F344" i="1" a="1"/>
  <c r="F344" i="1" s="1"/>
  <c r="F345" i="1" a="1"/>
  <c r="F345" i="1" s="1"/>
  <c r="F346" i="1" a="1"/>
  <c r="F346" i="1" s="1"/>
  <c r="F347" i="1" a="1"/>
  <c r="F347" i="1"/>
  <c r="F348" i="1" a="1"/>
  <c r="F348" i="1"/>
  <c r="F349" i="1" a="1"/>
  <c r="F349" i="1" s="1"/>
  <c r="F350" i="1" a="1"/>
  <c r="F350" i="1" s="1"/>
  <c r="F351" i="1" a="1"/>
  <c r="F351" i="1"/>
  <c r="F352" i="1" a="1"/>
  <c r="F352" i="1" s="1"/>
  <c r="F353" i="1" a="1"/>
  <c r="F353" i="1"/>
  <c r="F354" i="1" a="1"/>
  <c r="F354" i="1" s="1"/>
  <c r="F355" i="1" a="1"/>
  <c r="F355" i="1"/>
  <c r="F356" i="1" a="1"/>
  <c r="F356" i="1"/>
  <c r="F357" i="1" a="1"/>
  <c r="F357" i="1" s="1"/>
  <c r="F358" i="1" a="1"/>
  <c r="F358" i="1" s="1"/>
  <c r="F359" i="1" a="1"/>
  <c r="F359" i="1" s="1"/>
  <c r="F360" i="1" a="1"/>
  <c r="F360" i="1"/>
  <c r="F361" i="1" a="1"/>
  <c r="F361" i="1"/>
  <c r="F362" i="1" a="1"/>
  <c r="F362" i="1" s="1"/>
  <c r="F363" i="1" a="1"/>
  <c r="F363" i="1"/>
  <c r="F364" i="1" a="1"/>
  <c r="F364" i="1"/>
  <c r="F365" i="1" a="1"/>
  <c r="F365" i="1"/>
  <c r="F366" i="1" a="1"/>
  <c r="F366" i="1" s="1"/>
  <c r="F367" i="1" a="1"/>
  <c r="F367" i="1" s="1"/>
  <c r="F368" i="1" a="1"/>
  <c r="F368" i="1" s="1"/>
  <c r="F369" i="1" a="1"/>
  <c r="F369" i="1"/>
  <c r="F370" i="1" a="1"/>
  <c r="F370" i="1" s="1"/>
  <c r="F371" i="1" a="1"/>
  <c r="F371" i="1"/>
  <c r="F372" i="1" a="1"/>
  <c r="F372" i="1" s="1"/>
  <c r="F373" i="1" a="1"/>
  <c r="F373" i="1"/>
  <c r="F374" i="1" a="1"/>
  <c r="F374" i="1" s="1"/>
  <c r="F375" i="1" a="1"/>
  <c r="F375" i="1"/>
  <c r="F376" i="1" a="1"/>
  <c r="F376" i="1"/>
  <c r="F377" i="1" a="1"/>
  <c r="F377" i="1" s="1"/>
  <c r="F378" i="1" a="1"/>
  <c r="F378" i="1" s="1"/>
  <c r="F379" i="1" a="1"/>
  <c r="F379" i="1"/>
  <c r="F380" i="1" a="1"/>
  <c r="F380" i="1"/>
  <c r="F381" i="1" a="1"/>
  <c r="F381" i="1"/>
  <c r="F382" i="1" a="1"/>
  <c r="F382" i="1" s="1"/>
  <c r="F383" i="1" a="1"/>
  <c r="F383" i="1" s="1"/>
  <c r="F384" i="1" a="1"/>
  <c r="F384" i="1"/>
  <c r="F385" i="1" a="1"/>
  <c r="F385" i="1" s="1"/>
  <c r="F386" i="1" a="1"/>
  <c r="F386" i="1" s="1"/>
  <c r="F387" i="1" a="1"/>
  <c r="F387" i="1"/>
  <c r="F388" i="1" a="1"/>
  <c r="F388" i="1"/>
  <c r="F389" i="1" a="1"/>
  <c r="F389" i="1"/>
  <c r="F390" i="1" a="1"/>
  <c r="F390" i="1" s="1"/>
  <c r="F391" i="1" a="1"/>
  <c r="F391" i="1" s="1"/>
  <c r="F392" i="1" a="1"/>
  <c r="F392" i="1" s="1"/>
  <c r="F393" i="1" a="1"/>
  <c r="F393" i="1"/>
  <c r="F394" i="1" a="1"/>
  <c r="F394" i="1" s="1"/>
  <c r="F395" i="1" a="1"/>
  <c r="F395" i="1" s="1"/>
  <c r="F396" i="1" a="1"/>
  <c r="F396" i="1"/>
  <c r="F397" i="1" a="1"/>
  <c r="F397" i="1" s="1"/>
  <c r="F398" i="1" a="1"/>
  <c r="F398" i="1" s="1"/>
  <c r="F399" i="1" a="1"/>
  <c r="F399" i="1"/>
  <c r="F400" i="1" a="1"/>
  <c r="F400" i="1" s="1"/>
  <c r="F401" i="1" a="1"/>
  <c r="F401" i="1"/>
  <c r="F402" i="1" a="1"/>
  <c r="F402" i="1" s="1"/>
  <c r="F403" i="1" a="1"/>
  <c r="F403" i="1"/>
  <c r="F404" i="1" a="1"/>
  <c r="F404" i="1"/>
  <c r="F405" i="1" a="1"/>
  <c r="F405" i="1"/>
  <c r="F406" i="1" a="1"/>
  <c r="F406" i="1" s="1"/>
  <c r="F407" i="1" a="1"/>
  <c r="F407" i="1" s="1"/>
  <c r="F408" i="1" a="1"/>
  <c r="F408" i="1"/>
  <c r="F409" i="1" a="1"/>
  <c r="F409" i="1" s="1"/>
  <c r="F410" i="1" a="1"/>
  <c r="F410" i="1" s="1"/>
  <c r="F411" i="1" a="1"/>
  <c r="F411" i="1" s="1"/>
  <c r="F412" i="1" a="1"/>
  <c r="F412" i="1" s="1"/>
  <c r="F413" i="1" a="1"/>
  <c r="F413" i="1"/>
  <c r="F414" i="1" a="1"/>
  <c r="F414" i="1" s="1"/>
  <c r="F415" i="1" a="1"/>
  <c r="F415" i="1"/>
  <c r="F416" i="1" a="1"/>
  <c r="F416" i="1" s="1"/>
  <c r="F417" i="1" a="1"/>
  <c r="F417" i="1"/>
  <c r="F418" i="1" a="1"/>
  <c r="F418" i="1" s="1"/>
  <c r="F419" i="1" a="1"/>
  <c r="F419" i="1"/>
  <c r="F420" i="1" a="1"/>
  <c r="F420" i="1" s="1"/>
  <c r="F421" i="1" a="1"/>
  <c r="F421" i="1" s="1"/>
  <c r="F422" i="1" a="1"/>
  <c r="F422" i="1" s="1"/>
  <c r="F423" i="1" a="1"/>
  <c r="F423" i="1" s="1"/>
  <c r="F424" i="1" a="1"/>
  <c r="F424" i="1"/>
  <c r="F425" i="1" a="1"/>
  <c r="F425" i="1"/>
  <c r="F426" i="1" a="1"/>
  <c r="F426" i="1" s="1"/>
  <c r="F427" i="1" a="1"/>
  <c r="F427" i="1"/>
  <c r="F428" i="1" a="1"/>
  <c r="F428" i="1"/>
  <c r="F429" i="1" a="1"/>
  <c r="F429" i="1"/>
  <c r="F430" i="1" a="1"/>
  <c r="F430" i="1" s="1"/>
  <c r="F431" i="1" a="1"/>
  <c r="F431" i="1" s="1"/>
  <c r="F432" i="1" a="1"/>
  <c r="F432" i="1" s="1"/>
  <c r="F433" i="1" a="1"/>
  <c r="F433" i="1"/>
  <c r="F434" i="1" a="1"/>
  <c r="F434" i="1" s="1"/>
  <c r="F435" i="1" a="1"/>
  <c r="F435" i="1"/>
  <c r="F436" i="1" a="1"/>
  <c r="F436" i="1" s="1"/>
  <c r="F437" i="1" a="1"/>
  <c r="F437" i="1"/>
  <c r="F438" i="1" a="1"/>
  <c r="F438" i="1" s="1"/>
  <c r="F439" i="1" a="1"/>
  <c r="F439" i="1" s="1"/>
  <c r="F440" i="1" a="1"/>
  <c r="F440" i="1"/>
  <c r="F441" i="1" a="1"/>
  <c r="F441" i="1" s="1"/>
  <c r="F442" i="1" a="1"/>
  <c r="F442" i="1" s="1"/>
  <c r="F443" i="1" a="1"/>
  <c r="F443" i="1"/>
  <c r="F444" i="1" a="1"/>
  <c r="F444" i="1" s="1"/>
  <c r="F445" i="1" a="1"/>
  <c r="F445" i="1"/>
  <c r="F446" i="1" a="1"/>
  <c r="F446" i="1" s="1"/>
  <c r="F447" i="1" a="1"/>
  <c r="F447" i="1"/>
  <c r="F448" i="1" a="1"/>
  <c r="F448" i="1"/>
  <c r="F449" i="1" a="1"/>
  <c r="F449" i="1"/>
  <c r="F450" i="1" a="1"/>
  <c r="F450" i="1" s="1"/>
  <c r="F451" i="1" a="1"/>
  <c r="F451" i="1"/>
  <c r="F452" i="1" a="1"/>
  <c r="F452" i="1"/>
  <c r="F453" i="1" a="1"/>
  <c r="F453" i="1" s="1"/>
  <c r="F454" i="1" a="1"/>
  <c r="F454" i="1" s="1"/>
  <c r="F455" i="1" a="1"/>
  <c r="F455" i="1" s="1"/>
  <c r="F456" i="1" a="1"/>
  <c r="F456" i="1"/>
  <c r="F457" i="1" a="1"/>
  <c r="F457" i="1"/>
  <c r="F458" i="1" a="1"/>
  <c r="F458" i="1" s="1"/>
  <c r="F459" i="1" a="1"/>
  <c r="F459" i="1"/>
  <c r="F460" i="1" a="1"/>
  <c r="F460" i="1"/>
  <c r="F461" i="1" a="1"/>
  <c r="F461" i="1"/>
  <c r="F462" i="1" a="1"/>
  <c r="F462" i="1" s="1"/>
  <c r="F463" i="1" a="1"/>
  <c r="F463" i="1" s="1"/>
  <c r="F464" i="1" a="1"/>
  <c r="F464" i="1" s="1"/>
  <c r="F465" i="1" a="1"/>
  <c r="F465" i="1" s="1"/>
  <c r="F466" i="1" a="1"/>
  <c r="F466" i="1" s="1"/>
  <c r="F467" i="1" a="1"/>
  <c r="F467" i="1" s="1"/>
  <c r="F468" i="1" a="1"/>
  <c r="F468" i="1"/>
  <c r="F469" i="1" a="1"/>
  <c r="F469" i="1"/>
  <c r="F470" i="1" a="1"/>
  <c r="F470" i="1" s="1"/>
  <c r="F471" i="1" a="1"/>
  <c r="F471" i="1"/>
  <c r="F472" i="1" a="1"/>
  <c r="F472" i="1"/>
  <c r="F473" i="1" a="1"/>
  <c r="F473" i="1" s="1"/>
  <c r="F474" i="1" a="1"/>
  <c r="F474" i="1" s="1"/>
  <c r="F475" i="1" a="1"/>
  <c r="F475" i="1" s="1"/>
  <c r="F476" i="1" a="1"/>
  <c r="F476" i="1"/>
  <c r="F477" i="1" a="1"/>
  <c r="F477" i="1" s="1"/>
  <c r="F478" i="1" a="1"/>
  <c r="F478" i="1" s="1"/>
  <c r="F479" i="1" a="1"/>
  <c r="F479" i="1" s="1"/>
  <c r="F480" i="1" a="1"/>
  <c r="F480" i="1"/>
  <c r="F481" i="1" a="1"/>
  <c r="F481" i="1" s="1"/>
  <c r="F482" i="1" a="1"/>
  <c r="F482" i="1" s="1"/>
  <c r="F483" i="1" a="1"/>
  <c r="F483" i="1"/>
  <c r="F484" i="1" a="1"/>
  <c r="F484" i="1" s="1"/>
  <c r="F485" i="1" a="1"/>
  <c r="F485" i="1"/>
  <c r="F486" i="1" a="1"/>
  <c r="F486" i="1" s="1"/>
  <c r="F487" i="1" a="1"/>
  <c r="F487" i="1" s="1"/>
  <c r="F488" i="1" a="1"/>
  <c r="F488" i="1"/>
  <c r="F489" i="1" a="1"/>
  <c r="F489" i="1" s="1"/>
  <c r="F490" i="1" a="1"/>
  <c r="F490" i="1" s="1"/>
  <c r="F491" i="1" a="1"/>
  <c r="F491" i="1"/>
  <c r="F492" i="1" a="1"/>
  <c r="F492" i="1"/>
  <c r="F493" i="1" a="1"/>
  <c r="F493" i="1"/>
  <c r="F494" i="1" a="1"/>
  <c r="F494" i="1" s="1"/>
  <c r="F495" i="1" a="1"/>
  <c r="F495" i="1"/>
  <c r="F496" i="1" a="1"/>
  <c r="F496" i="1" s="1"/>
  <c r="F497" i="1" a="1"/>
  <c r="F497" i="1" s="1"/>
  <c r="F498" i="1" a="1"/>
  <c r="F498" i="1" s="1"/>
  <c r="F499" i="1" a="1"/>
  <c r="F499" i="1" s="1"/>
  <c r="F500" i="1" a="1"/>
  <c r="F500" i="1"/>
  <c r="F501" i="1" a="1"/>
  <c r="F501" i="1"/>
  <c r="F502" i="1" a="1"/>
  <c r="F502" i="1" s="1"/>
  <c r="F503" i="1" a="1"/>
  <c r="F503" i="1" s="1"/>
  <c r="F504" i="1" a="1"/>
  <c r="F504" i="1"/>
  <c r="F505" i="1" a="1"/>
  <c r="F505" i="1" s="1"/>
  <c r="F506" i="1" a="1"/>
  <c r="F506" i="1" s="1"/>
  <c r="F507" i="1" a="1"/>
  <c r="F507" i="1"/>
  <c r="F508" i="1" a="1"/>
  <c r="F508" i="1" s="1"/>
  <c r="F509" i="1" a="1"/>
  <c r="F509" i="1"/>
  <c r="F510" i="1" a="1"/>
  <c r="F510" i="1" s="1"/>
  <c r="F511" i="1" a="1"/>
  <c r="F511" i="1"/>
  <c r="F512" i="1" a="1"/>
  <c r="F512" i="1" s="1"/>
  <c r="F513" i="1" a="1"/>
  <c r="F513" i="1" s="1"/>
  <c r="F514" i="1" a="1"/>
  <c r="F514" i="1" s="1"/>
  <c r="F515" i="1" a="1"/>
  <c r="F515" i="1"/>
  <c r="F516" i="1" a="1"/>
  <c r="F516" i="1"/>
  <c r="F517" i="1" a="1"/>
  <c r="F517" i="1" s="1"/>
  <c r="F518" i="1" a="1"/>
  <c r="F518" i="1" s="1"/>
  <c r="F519" i="1" a="1"/>
  <c r="F519" i="1" s="1"/>
  <c r="F520" i="1" a="1"/>
  <c r="F520" i="1" s="1"/>
  <c r="F521" i="1" a="1"/>
  <c r="F521" i="1"/>
  <c r="F522" i="1" a="1"/>
  <c r="F522" i="1" s="1"/>
  <c r="F523" i="1" a="1"/>
  <c r="F523" i="1" s="1"/>
  <c r="F524" i="1" a="1"/>
  <c r="F524" i="1"/>
  <c r="F525" i="1" a="1"/>
  <c r="F525" i="1" s="1"/>
  <c r="F526" i="1" a="1"/>
  <c r="F526" i="1" s="1"/>
  <c r="F527" i="1" a="1"/>
  <c r="F527" i="1" s="1"/>
  <c r="F528" i="1" a="1"/>
  <c r="F528" i="1" s="1"/>
  <c r="F529" i="1" a="1"/>
  <c r="F529" i="1"/>
  <c r="F530" i="1" a="1"/>
  <c r="F530" i="1" s="1"/>
  <c r="F531" i="1" a="1"/>
  <c r="F531" i="1"/>
  <c r="F532" i="1" a="1"/>
  <c r="F532" i="1" s="1"/>
  <c r="F533" i="1" a="1"/>
  <c r="F533" i="1"/>
  <c r="F534" i="1" a="1"/>
  <c r="F534" i="1" s="1"/>
  <c r="F535" i="1" a="1"/>
  <c r="F535" i="1" s="1"/>
  <c r="F536" i="1" a="1"/>
  <c r="F536" i="1"/>
  <c r="F537" i="1" a="1"/>
  <c r="F537" i="1" s="1"/>
  <c r="F538" i="1" a="1"/>
  <c r="F538" i="1" s="1"/>
  <c r="F539" i="1" a="1"/>
  <c r="F539" i="1"/>
  <c r="F540" i="1" a="1"/>
  <c r="F540" i="1" s="1"/>
  <c r="F541" i="1" a="1"/>
  <c r="F541" i="1"/>
  <c r="F542" i="1" a="1"/>
  <c r="F542" i="1" s="1"/>
  <c r="F543" i="1" a="1"/>
  <c r="F543" i="1"/>
  <c r="F544" i="1" a="1"/>
  <c r="F544" i="1"/>
  <c r="F545" i="1" a="1"/>
  <c r="F545" i="1"/>
  <c r="F546" i="1" a="1"/>
  <c r="F546" i="1" s="1"/>
  <c r="F547" i="1" a="1"/>
  <c r="F547" i="1"/>
  <c r="F548" i="1" a="1"/>
  <c r="F548" i="1"/>
  <c r="F549" i="1" a="1"/>
  <c r="F549" i="1" s="1"/>
  <c r="F550" i="1" a="1"/>
  <c r="F550" i="1" s="1"/>
  <c r="F551" i="1" a="1"/>
  <c r="F551" i="1" s="1"/>
  <c r="F552" i="1" a="1"/>
  <c r="F552" i="1" s="1"/>
  <c r="F553" i="1" a="1"/>
  <c r="F553" i="1" s="1"/>
  <c r="F554" i="1" a="1"/>
  <c r="F554" i="1" s="1"/>
  <c r="F555" i="1" a="1"/>
  <c r="F555" i="1" s="1"/>
  <c r="F556" i="1" a="1"/>
  <c r="F556" i="1"/>
  <c r="F557" i="1" a="1"/>
  <c r="F557" i="1"/>
  <c r="F558" i="1" a="1"/>
  <c r="F558" i="1"/>
  <c r="F559" i="1" a="1"/>
  <c r="F559" i="1" s="1"/>
  <c r="F560" i="1" a="1"/>
  <c r="F560" i="1"/>
  <c r="F561" i="1" a="1"/>
  <c r="F561" i="1" s="1"/>
  <c r="F562" i="1" a="1"/>
  <c r="F562" i="1" s="1"/>
  <c r="F563" i="1" a="1"/>
  <c r="F563" i="1" s="1"/>
  <c r="F564" i="1" a="1"/>
  <c r="F564" i="1"/>
  <c r="F565" i="1" a="1"/>
  <c r="F565" i="1"/>
  <c r="F566" i="1" a="1"/>
  <c r="F566" i="1"/>
  <c r="F567" i="1" a="1"/>
  <c r="F567" i="1" s="1"/>
  <c r="F568" i="1" a="1"/>
  <c r="F568" i="1"/>
  <c r="F569" i="1" a="1"/>
  <c r="F569" i="1" s="1"/>
  <c r="F570" i="1" a="1"/>
  <c r="F570" i="1" s="1"/>
  <c r="F571" i="1" a="1"/>
  <c r="F571" i="1" s="1"/>
  <c r="F572" i="1" a="1"/>
  <c r="F572" i="1" s="1"/>
  <c r="F573" i="1" a="1"/>
  <c r="F573" i="1"/>
  <c r="F574" i="1" a="1"/>
  <c r="F574" i="1" s="1"/>
  <c r="F575" i="1" a="1"/>
  <c r="F575" i="1" s="1"/>
  <c r="F576" i="1" a="1"/>
  <c r="F576" i="1" s="1"/>
  <c r="F577" i="1" a="1"/>
  <c r="F577" i="1" s="1"/>
  <c r="F578" i="1" a="1"/>
  <c r="F578" i="1" s="1"/>
  <c r="F579" i="1" a="1"/>
  <c r="F579" i="1" s="1"/>
  <c r="F580" i="1" a="1"/>
  <c r="F580" i="1"/>
  <c r="F581" i="1" a="1"/>
  <c r="F581" i="1" s="1"/>
  <c r="F582" i="1" a="1"/>
  <c r="F582" i="1"/>
  <c r="F583" i="1" a="1"/>
  <c r="F583" i="1" s="1"/>
  <c r="F584" i="1" a="1"/>
  <c r="F584" i="1" s="1"/>
  <c r="F585" i="1" a="1"/>
  <c r="F585" i="1"/>
  <c r="F586" i="1" a="1"/>
  <c r="F586" i="1" s="1"/>
  <c r="F587" i="1" a="1"/>
  <c r="F587" i="1" s="1"/>
  <c r="F588" i="1" a="1"/>
  <c r="F588" i="1"/>
  <c r="F589" i="1" a="1"/>
  <c r="F589" i="1"/>
  <c r="F590" i="1" a="1"/>
  <c r="F590" i="1"/>
  <c r="F591" i="1" a="1"/>
  <c r="F591" i="1" s="1"/>
  <c r="F592" i="1" a="1"/>
  <c r="F592" i="1"/>
  <c r="F593" i="1" a="1"/>
  <c r="F593" i="1" s="1"/>
  <c r="F594" i="1" a="1"/>
  <c r="F594" i="1"/>
  <c r="F595" i="1" a="1"/>
  <c r="F595" i="1" s="1"/>
  <c r="F596" i="1" a="1"/>
  <c r="F596" i="1" s="1"/>
  <c r="F597" i="1" a="1"/>
  <c r="F597" i="1"/>
  <c r="F598" i="1" a="1"/>
  <c r="F598" i="1"/>
  <c r="F599" i="1" a="1"/>
  <c r="F599" i="1" s="1"/>
  <c r="F600" i="1" a="1"/>
  <c r="F600" i="1" s="1"/>
  <c r="F601" i="1" a="1"/>
  <c r="F601" i="1" s="1"/>
  <c r="F602" i="1" a="1"/>
  <c r="F602" i="1" s="1"/>
  <c r="F603" i="1" a="1"/>
  <c r="F603" i="1" s="1"/>
  <c r="F604" i="1" a="1"/>
  <c r="F604" i="1"/>
  <c r="F605" i="1" a="1"/>
  <c r="F605" i="1"/>
  <c r="F606" i="1" a="1"/>
  <c r="F606" i="1" s="1"/>
  <c r="F607" i="1" a="1"/>
  <c r="F607" i="1" s="1"/>
  <c r="F608" i="1" a="1"/>
  <c r="F608" i="1" s="1"/>
  <c r="F609" i="1" a="1"/>
  <c r="F609" i="1"/>
  <c r="F610" i="1" a="1"/>
  <c r="F610" i="1" s="1"/>
  <c r="F611" i="1" a="1"/>
  <c r="F611" i="1" s="1"/>
  <c r="F612" i="1" a="1"/>
  <c r="F612" i="1"/>
  <c r="F613" i="1" a="1"/>
  <c r="F613" i="1"/>
  <c r="F614" i="1" a="1"/>
  <c r="F614" i="1" s="1"/>
  <c r="F615" i="1" a="1"/>
  <c r="F615" i="1" s="1"/>
  <c r="F616" i="1" a="1"/>
  <c r="F616" i="1" s="1"/>
  <c r="F617" i="1" a="1"/>
  <c r="F617" i="1" s="1"/>
  <c r="F618" i="1" a="1"/>
  <c r="F618" i="1"/>
  <c r="F619" i="1" a="1"/>
  <c r="F619" i="1" s="1"/>
  <c r="F620" i="1" a="1"/>
  <c r="F620" i="1" s="1"/>
  <c r="F621" i="1" a="1"/>
  <c r="F621" i="1"/>
  <c r="F622" i="1" a="1"/>
  <c r="F622" i="1" s="1"/>
  <c r="F623" i="1" a="1"/>
  <c r="F623" i="1" s="1"/>
  <c r="F624" i="1" a="1"/>
  <c r="F624" i="1"/>
  <c r="F625" i="1" a="1"/>
  <c r="F625" i="1" s="1"/>
  <c r="F626" i="1" a="1"/>
  <c r="F626" i="1"/>
  <c r="F627" i="1" a="1"/>
  <c r="F627" i="1" s="1"/>
  <c r="F628" i="1" a="1"/>
  <c r="F628" i="1"/>
  <c r="F629" i="1" a="1"/>
  <c r="F629" i="1"/>
  <c r="F630" i="1" a="1"/>
  <c r="F630" i="1"/>
  <c r="F631" i="1" a="1"/>
  <c r="F631" i="1" s="1"/>
  <c r="F632" i="1" a="1"/>
  <c r="F632" i="1" s="1"/>
  <c r="F633" i="1" a="1"/>
  <c r="F633" i="1"/>
  <c r="F634" i="1" a="1"/>
  <c r="F634" i="1" s="1"/>
  <c r="F635" i="1" a="1"/>
  <c r="F635" i="1" s="1"/>
  <c r="F636" i="1" a="1"/>
  <c r="F636" i="1"/>
  <c r="F637" i="1" a="1"/>
  <c r="F637" i="1" s="1"/>
  <c r="F638" i="1" a="1"/>
  <c r="F638" i="1"/>
  <c r="F639" i="1" a="1"/>
  <c r="F639" i="1" s="1"/>
  <c r="F640" i="1" a="1"/>
  <c r="F640" i="1" s="1"/>
  <c r="F641" i="1" a="1"/>
  <c r="F641" i="1"/>
  <c r="F642" i="1" a="1"/>
  <c r="F642" i="1"/>
  <c r="F643" i="1" a="1"/>
  <c r="F643" i="1" s="1"/>
  <c r="F644" i="1" a="1"/>
  <c r="F644" i="1"/>
  <c r="F645" i="1" a="1"/>
  <c r="F645" i="1"/>
  <c r="F646" i="1" a="1"/>
  <c r="F646" i="1" s="1"/>
  <c r="F647" i="1" a="1"/>
  <c r="F647" i="1" s="1"/>
  <c r="F648" i="1" a="1"/>
  <c r="F648" i="1" s="1"/>
  <c r="F649" i="1" a="1"/>
  <c r="F649" i="1" s="1"/>
  <c r="F650" i="1" a="1"/>
  <c r="F650" i="1"/>
  <c r="F651" i="1" a="1"/>
  <c r="F651" i="1" s="1"/>
  <c r="F652" i="1" a="1"/>
  <c r="F652" i="1"/>
  <c r="F653" i="1" a="1"/>
  <c r="F653" i="1"/>
  <c r="F654" i="1" a="1"/>
  <c r="F654" i="1" s="1"/>
  <c r="F655" i="1" a="1"/>
  <c r="F655" i="1" s="1"/>
  <c r="F656" i="1" a="1"/>
  <c r="F656" i="1" s="1"/>
  <c r="F657" i="1" a="1"/>
  <c r="F657" i="1" s="1"/>
  <c r="F658" i="1" a="1"/>
  <c r="F658" i="1"/>
  <c r="F659" i="1" a="1"/>
  <c r="F659" i="1" s="1"/>
  <c r="F660" i="1" a="1"/>
  <c r="F660" i="1"/>
  <c r="F661" i="1" a="1"/>
  <c r="F661" i="1" s="1"/>
  <c r="F662" i="1" a="1"/>
  <c r="F662" i="1"/>
  <c r="F663" i="1" a="1"/>
  <c r="F663" i="1" s="1"/>
  <c r="F664" i="1" a="1"/>
  <c r="F664" i="1" s="1"/>
  <c r="F665" i="1" a="1"/>
  <c r="F665" i="1"/>
  <c r="F666" i="1" a="1"/>
  <c r="F666" i="1" s="1"/>
  <c r="F667" i="1" a="1"/>
  <c r="F667" i="1" s="1"/>
  <c r="F668" i="1" a="1"/>
  <c r="F668" i="1"/>
  <c r="F669" i="1" a="1"/>
  <c r="F669" i="1" s="1"/>
  <c r="F670" i="1" a="1"/>
  <c r="F670" i="1" s="1"/>
  <c r="F671" i="1" a="1"/>
  <c r="F671" i="1" s="1"/>
  <c r="F672" i="1" a="1"/>
  <c r="F672" i="1"/>
  <c r="F673" i="1" a="1"/>
  <c r="F673" i="1" s="1"/>
  <c r="F674" i="1" a="1"/>
  <c r="F674" i="1"/>
  <c r="F675" i="1" a="1"/>
  <c r="F675" i="1" s="1"/>
  <c r="F676" i="1" a="1"/>
  <c r="F676" i="1"/>
  <c r="F677" i="1" a="1"/>
  <c r="F677" i="1"/>
  <c r="F678" i="1" a="1"/>
  <c r="F678" i="1" s="1"/>
  <c r="F679" i="1" a="1"/>
  <c r="F679" i="1" s="1"/>
  <c r="F680" i="1" a="1"/>
  <c r="F680" i="1" s="1"/>
  <c r="F681" i="1" a="1"/>
  <c r="F681" i="1"/>
  <c r="F682" i="1" a="1"/>
  <c r="F682" i="1"/>
  <c r="F683" i="1" a="1"/>
  <c r="F683" i="1" s="1"/>
  <c r="F684" i="1" a="1"/>
  <c r="F684" i="1"/>
  <c r="F685" i="1" a="1"/>
  <c r="F685" i="1"/>
  <c r="F686" i="1" a="1"/>
  <c r="F686" i="1"/>
  <c r="F687" i="1" a="1"/>
  <c r="F687" i="1" s="1"/>
  <c r="F688" i="1" a="1"/>
  <c r="F688" i="1" s="1"/>
  <c r="F689" i="1" a="1"/>
  <c r="F689" i="1" s="1"/>
  <c r="F690" i="1" a="1"/>
  <c r="F690" i="1" s="1"/>
  <c r="F691" i="1" a="1"/>
  <c r="F691" i="1" s="1"/>
  <c r="F692" i="1" a="1"/>
  <c r="F692" i="1" s="1"/>
  <c r="F693" i="1" a="1"/>
  <c r="F693" i="1" s="1"/>
  <c r="F694" i="1" a="1"/>
  <c r="F694" i="1"/>
  <c r="F695" i="1" a="1"/>
  <c r="F695" i="1" s="1"/>
  <c r="F696" i="1" a="1"/>
  <c r="F696" i="1"/>
  <c r="F697" i="1" a="1"/>
  <c r="F697" i="1" s="1"/>
  <c r="F698" i="1" a="1"/>
  <c r="F698" i="1" s="1"/>
  <c r="F699" i="1" a="1"/>
  <c r="F699" i="1" s="1"/>
  <c r="F700" i="1" a="1"/>
  <c r="F700" i="1" s="1"/>
  <c r="F701" i="1" a="1"/>
  <c r="F701" i="1" s="1"/>
  <c r="F702" i="1" a="1"/>
  <c r="F702" i="1" s="1"/>
  <c r="F703" i="1" a="1"/>
  <c r="F703" i="1" s="1"/>
  <c r="F704" i="1" a="1"/>
  <c r="F704" i="1" s="1"/>
  <c r="F705" i="1" a="1"/>
  <c r="F705" i="1"/>
  <c r="F706" i="1" a="1"/>
  <c r="F706" i="1" s="1"/>
  <c r="F707" i="1" a="1"/>
  <c r="F707" i="1" s="1"/>
  <c r="F708" i="1" a="1"/>
  <c r="F708" i="1"/>
  <c r="F709" i="1" a="1"/>
  <c r="F709" i="1" s="1"/>
  <c r="F710" i="1" a="1"/>
  <c r="F710" i="1"/>
  <c r="F711" i="1" a="1"/>
  <c r="F711" i="1" s="1"/>
  <c r="F712" i="1" a="1"/>
  <c r="F712" i="1" s="1"/>
  <c r="F713" i="1" a="1"/>
  <c r="F713" i="1"/>
  <c r="F714" i="1" a="1"/>
  <c r="F714" i="1" s="1"/>
  <c r="F715" i="1" a="1"/>
  <c r="F715" i="1" s="1"/>
  <c r="F716" i="1" a="1"/>
  <c r="F716" i="1"/>
  <c r="F717" i="1" a="1"/>
  <c r="F717" i="1"/>
  <c r="F718" i="1" a="1"/>
  <c r="F718" i="1"/>
  <c r="F719" i="1" a="1"/>
  <c r="F719" i="1" s="1"/>
  <c r="F720" i="1" a="1"/>
  <c r="F720" i="1"/>
  <c r="F721" i="1" a="1"/>
  <c r="F721" i="1" s="1"/>
  <c r="F722" i="1" a="1"/>
  <c r="F722" i="1" s="1"/>
  <c r="F723" i="1" a="1"/>
  <c r="F723" i="1" s="1"/>
  <c r="F724" i="1" a="1"/>
  <c r="F724" i="1" s="1"/>
  <c r="F725" i="1" a="1"/>
  <c r="F725" i="1"/>
  <c r="F726" i="1" a="1"/>
  <c r="F726" i="1"/>
  <c r="F727" i="1" a="1"/>
  <c r="F727" i="1" s="1"/>
  <c r="F728" i="1" a="1"/>
  <c r="F728" i="1" s="1"/>
  <c r="F729" i="1" a="1"/>
  <c r="F729" i="1"/>
  <c r="F730" i="1" a="1"/>
  <c r="F730" i="1" s="1"/>
  <c r="F731" i="1" a="1"/>
  <c r="F731" i="1" s="1"/>
  <c r="F732" i="1" a="1"/>
  <c r="F732" i="1" s="1"/>
  <c r="F733" i="1" a="1"/>
  <c r="F733" i="1"/>
  <c r="F734" i="1" a="1"/>
  <c r="F734" i="1"/>
  <c r="F735" i="1" a="1"/>
  <c r="F735" i="1" s="1"/>
  <c r="F736" i="1" a="1"/>
  <c r="F736" i="1" s="1"/>
  <c r="F737" i="1" a="1"/>
  <c r="F737" i="1"/>
  <c r="F738" i="1" a="1"/>
  <c r="F738" i="1" s="1"/>
  <c r="F739" i="1" a="1"/>
  <c r="F739" i="1" s="1"/>
  <c r="F740" i="1" a="1"/>
  <c r="F740" i="1"/>
  <c r="F741" i="1" a="1"/>
  <c r="F741" i="1" s="1"/>
  <c r="F742" i="1" a="1"/>
  <c r="F742" i="1" s="1"/>
  <c r="F743" i="1" a="1"/>
  <c r="F743" i="1" s="1"/>
  <c r="F744" i="1" a="1"/>
  <c r="F744" i="1" s="1"/>
  <c r="F745" i="1" a="1"/>
  <c r="F745" i="1" s="1"/>
  <c r="F746" i="1" a="1"/>
  <c r="F746" i="1" s="1"/>
  <c r="F747" i="1" a="1"/>
  <c r="F747" i="1" s="1"/>
  <c r="F748" i="1" a="1"/>
  <c r="F748" i="1" s="1"/>
  <c r="F749" i="1" a="1"/>
  <c r="F749" i="1"/>
  <c r="F750" i="1" a="1"/>
  <c r="F750" i="1" s="1"/>
  <c r="F751" i="1" a="1"/>
  <c r="F751" i="1" s="1"/>
  <c r="F752" i="1" a="1"/>
  <c r="F752" i="1"/>
  <c r="F753" i="1" a="1"/>
  <c r="F753" i="1" s="1"/>
  <c r="F754" i="1" a="1"/>
  <c r="F754" i="1" s="1"/>
  <c r="F755" i="1" a="1"/>
  <c r="F755" i="1" s="1"/>
  <c r="F756" i="1" a="1"/>
  <c r="F756" i="1"/>
  <c r="F757" i="1" a="1"/>
  <c r="F757" i="1" s="1"/>
  <c r="F758" i="1" a="1"/>
  <c r="F758" i="1"/>
  <c r="F759" i="1" a="1"/>
  <c r="F759" i="1" s="1"/>
  <c r="F760" i="1" a="1"/>
  <c r="F760" i="1" s="1"/>
  <c r="F761" i="1" a="1"/>
  <c r="F761" i="1" s="1"/>
  <c r="F762" i="1" a="1"/>
  <c r="F762" i="1" s="1"/>
  <c r="F763" i="1" a="1"/>
  <c r="F763" i="1"/>
  <c r="F764" i="1" a="1"/>
  <c r="F764" i="1" s="1"/>
  <c r="F765" i="1" a="1"/>
  <c r="F765" i="1" s="1"/>
  <c r="F766" i="1" a="1"/>
  <c r="F766" i="1"/>
  <c r="F767" i="1" a="1"/>
  <c r="F767" i="1"/>
  <c r="F768" i="1" a="1"/>
  <c r="F768" i="1"/>
  <c r="F769" i="1" a="1"/>
  <c r="F769" i="1" s="1"/>
  <c r="F770" i="1" a="1"/>
  <c r="F770" i="1"/>
  <c r="F771" i="1" a="1"/>
  <c r="F771" i="1" s="1"/>
  <c r="F772" i="1" a="1"/>
  <c r="F772" i="1"/>
  <c r="F773" i="1" a="1"/>
  <c r="F773" i="1" s="1"/>
  <c r="F774" i="1" a="1"/>
  <c r="F774" i="1" s="1"/>
  <c r="F775" i="1" a="1"/>
  <c r="F775" i="1"/>
  <c r="F776" i="1" a="1"/>
  <c r="F776" i="1"/>
  <c r="F777" i="1" a="1"/>
  <c r="F777" i="1" s="1"/>
  <c r="F778" i="1" a="1"/>
  <c r="F778" i="1" s="1"/>
  <c r="F779" i="1" a="1"/>
  <c r="F779" i="1"/>
  <c r="F780" i="1" a="1"/>
  <c r="F780" i="1" s="1"/>
  <c r="F781" i="1" a="1"/>
  <c r="F781" i="1" s="1"/>
  <c r="F782" i="1" a="1"/>
  <c r="F782" i="1"/>
  <c r="F783" i="1" a="1"/>
  <c r="F783" i="1" s="1"/>
  <c r="F784" i="1" a="1"/>
  <c r="F784" i="1" s="1"/>
  <c r="F785" i="1" a="1"/>
  <c r="F785" i="1" s="1"/>
  <c r="F786" i="1" a="1"/>
  <c r="F786" i="1"/>
  <c r="F787" i="1" a="1"/>
  <c r="F787" i="1" s="1"/>
  <c r="F788" i="1" a="1"/>
  <c r="F788" i="1"/>
  <c r="F789" i="1" a="1"/>
  <c r="F789" i="1" s="1"/>
  <c r="F790" i="1" a="1"/>
  <c r="F790" i="1"/>
  <c r="F791" i="1" a="1"/>
  <c r="F791" i="1"/>
  <c r="F792" i="1" a="1"/>
  <c r="F792" i="1" s="1"/>
  <c r="F793" i="1" a="1"/>
  <c r="F793" i="1" s="1"/>
  <c r="F794" i="1" a="1"/>
  <c r="F794" i="1" s="1"/>
  <c r="F795" i="1" a="1"/>
  <c r="F795" i="1" s="1"/>
  <c r="F796" i="1" a="1"/>
  <c r="F796" i="1" s="1"/>
  <c r="F797" i="1" a="1"/>
  <c r="F797" i="1" s="1"/>
  <c r="F798" i="1" a="1"/>
  <c r="F798" i="1" s="1"/>
  <c r="F799" i="1" a="1"/>
  <c r="F799" i="1"/>
  <c r="F800" i="1" a="1"/>
  <c r="F800" i="1" s="1"/>
  <c r="F801" i="1" a="1"/>
  <c r="F801" i="1" s="1"/>
  <c r="F802" i="1" a="1"/>
  <c r="F802" i="1"/>
  <c r="F803" i="1" a="1"/>
  <c r="F803" i="1" s="1"/>
  <c r="F804" i="1" a="1"/>
  <c r="F804" i="1"/>
  <c r="F805" i="1" a="1"/>
  <c r="F805" i="1" s="1"/>
  <c r="F806" i="1" a="1"/>
  <c r="F806" i="1" s="1"/>
  <c r="F807" i="1" a="1"/>
  <c r="F807" i="1"/>
  <c r="F808" i="1" a="1"/>
  <c r="F808" i="1"/>
  <c r="F809" i="1" a="1"/>
  <c r="F809" i="1" s="1"/>
  <c r="F810" i="1" a="1"/>
  <c r="F810" i="1" s="1"/>
  <c r="F811" i="1" a="1"/>
  <c r="F811" i="1"/>
  <c r="F812" i="1" a="1"/>
  <c r="F812" i="1" s="1"/>
  <c r="F813" i="1" a="1"/>
  <c r="F813" i="1" s="1"/>
  <c r="F814" i="1" a="1"/>
  <c r="F814" i="1" s="1"/>
  <c r="F815" i="1" a="1"/>
  <c r="F815" i="1" s="1"/>
  <c r="F816" i="1" a="1"/>
  <c r="F816" i="1" s="1"/>
  <c r="F817" i="1" a="1"/>
  <c r="F817" i="1" s="1"/>
  <c r="F818" i="1" a="1"/>
  <c r="F818" i="1"/>
  <c r="F819" i="1" a="1"/>
  <c r="F819" i="1" s="1"/>
  <c r="F820" i="1" a="1"/>
  <c r="F820" i="1"/>
  <c r="F821" i="1" a="1"/>
  <c r="F821" i="1" s="1"/>
  <c r="F822" i="1" a="1"/>
  <c r="F822" i="1"/>
  <c r="F823" i="1" a="1"/>
  <c r="F823" i="1"/>
  <c r="F824" i="1" a="1"/>
  <c r="F824" i="1" s="1"/>
  <c r="F825" i="1" a="1"/>
  <c r="F825" i="1" s="1"/>
  <c r="F826" i="1" a="1"/>
  <c r="F826" i="1" s="1"/>
  <c r="F827" i="1" a="1"/>
  <c r="F827" i="1" s="1"/>
  <c r="F828" i="1" a="1"/>
  <c r="F828" i="1" s="1"/>
  <c r="F829" i="1" a="1"/>
  <c r="F829" i="1" s="1"/>
  <c r="F830" i="1" a="1"/>
  <c r="F830" i="1"/>
  <c r="F831" i="1" a="1"/>
  <c r="F831" i="1"/>
  <c r="F832" i="1" a="1"/>
  <c r="F832" i="1" s="1"/>
  <c r="F833" i="1" a="1"/>
  <c r="F833" i="1" s="1"/>
  <c r="F834" i="1" a="1"/>
  <c r="F834" i="1"/>
  <c r="F835" i="1" a="1"/>
  <c r="F835" i="1" s="1"/>
  <c r="F836" i="1" a="1"/>
  <c r="F836" i="1"/>
  <c r="F837" i="1" a="1"/>
  <c r="F837" i="1" s="1"/>
  <c r="F838" i="1" a="1"/>
  <c r="F838" i="1" s="1"/>
  <c r="F839" i="1" a="1"/>
  <c r="F839" i="1"/>
  <c r="F840" i="1" a="1"/>
  <c r="F840" i="1"/>
  <c r="F841" i="1" a="1"/>
  <c r="F841" i="1" s="1"/>
  <c r="F842" i="1" a="1"/>
  <c r="F842" i="1" s="1"/>
  <c r="F843" i="1" a="1"/>
  <c r="F843" i="1"/>
  <c r="F844" i="1" a="1"/>
  <c r="F844" i="1" s="1"/>
  <c r="F845" i="1" a="1"/>
  <c r="F845" i="1" s="1"/>
  <c r="F846" i="1" a="1"/>
  <c r="F846" i="1"/>
  <c r="F847" i="1" a="1"/>
  <c r="F847" i="1" s="1"/>
  <c r="F848" i="1" a="1"/>
  <c r="F848" i="1"/>
  <c r="F849" i="1" a="1"/>
  <c r="F849" i="1" s="1"/>
  <c r="F850" i="1" a="1"/>
  <c r="F850" i="1"/>
  <c r="F851" i="1" a="1"/>
  <c r="F851" i="1" s="1"/>
  <c r="F852" i="1" a="1"/>
  <c r="F852" i="1"/>
  <c r="F853" i="1" a="1"/>
  <c r="F853" i="1" s="1"/>
  <c r="F854" i="1" a="1"/>
  <c r="F854" i="1"/>
  <c r="F855" i="1" a="1"/>
  <c r="F855" i="1"/>
  <c r="F856" i="1" a="1"/>
  <c r="F856" i="1" s="1"/>
  <c r="F857" i="1" a="1"/>
  <c r="F857" i="1" s="1"/>
  <c r="F858" i="1" a="1"/>
  <c r="F858" i="1" s="1"/>
  <c r="F859" i="1" a="1"/>
  <c r="F859" i="1"/>
  <c r="F860" i="1" a="1"/>
  <c r="F860" i="1" s="1"/>
  <c r="F861" i="1" a="1"/>
  <c r="F861" i="1" s="1"/>
  <c r="F862" i="1" a="1"/>
  <c r="F862" i="1"/>
  <c r="F863" i="1" a="1"/>
  <c r="F863" i="1"/>
  <c r="F864" i="1" a="1"/>
  <c r="F864" i="1"/>
  <c r="F865" i="1" a="1"/>
  <c r="F865" i="1" s="1"/>
  <c r="F866" i="1" a="1"/>
  <c r="F866" i="1"/>
  <c r="F867" i="1" a="1"/>
  <c r="F867" i="1" s="1"/>
  <c r="F868" i="1" a="1"/>
  <c r="F868" i="1" s="1"/>
  <c r="F869" i="1" a="1"/>
  <c r="F869" i="1" s="1"/>
  <c r="F870" i="1" a="1"/>
  <c r="F870" i="1" s="1"/>
  <c r="F871" i="1" a="1"/>
  <c r="F871" i="1" s="1"/>
  <c r="F872" i="1" a="1"/>
  <c r="F872" i="1"/>
  <c r="F873" i="1" a="1"/>
  <c r="F873" i="1" s="1"/>
  <c r="F874" i="1" a="1"/>
  <c r="F874" i="1" s="1"/>
  <c r="F875" i="1" a="1"/>
  <c r="F875" i="1"/>
  <c r="F876" i="1" a="1"/>
  <c r="F876" i="1" s="1"/>
  <c r="F877" i="1" a="1"/>
  <c r="F877" i="1" s="1"/>
  <c r="F878" i="1" a="1"/>
  <c r="F878" i="1"/>
  <c r="F879" i="1" a="1"/>
  <c r="F879" i="1" s="1"/>
  <c r="F880" i="1" a="1"/>
  <c r="F880" i="1"/>
  <c r="F881" i="1" a="1"/>
  <c r="F881" i="1" s="1"/>
  <c r="F882" i="1" a="1"/>
  <c r="F882" i="1" s="1"/>
  <c r="F883" i="1" a="1"/>
  <c r="F883" i="1" s="1"/>
  <c r="F884" i="1" a="1"/>
  <c r="F884" i="1"/>
  <c r="F885" i="1" a="1"/>
  <c r="F885" i="1" s="1"/>
  <c r="F886" i="1" a="1"/>
  <c r="F886" i="1"/>
  <c r="F887" i="1" a="1"/>
  <c r="F887" i="1" s="1"/>
  <c r="F888" i="1" a="1"/>
  <c r="F888" i="1" s="1"/>
  <c r="F889" i="1" a="1"/>
  <c r="F889" i="1" s="1"/>
  <c r="F890" i="1" a="1"/>
  <c r="F890" i="1" s="1"/>
  <c r="F891" i="1" a="1"/>
  <c r="F891" i="1"/>
  <c r="F892" i="1" a="1"/>
  <c r="F892" i="1" s="1"/>
  <c r="F893" i="1" a="1"/>
  <c r="F893" i="1" s="1"/>
  <c r="F894" i="1" a="1"/>
  <c r="F894" i="1"/>
  <c r="F895" i="1" a="1"/>
  <c r="F895" i="1"/>
  <c r="F896" i="1" a="1"/>
  <c r="F896" i="1"/>
  <c r="F897" i="1" a="1"/>
  <c r="F897" i="1" s="1"/>
  <c r="F898" i="1" a="1"/>
  <c r="F898" i="1"/>
  <c r="F899" i="1" a="1"/>
  <c r="F899" i="1" s="1"/>
  <c r="F900" i="1" a="1"/>
  <c r="F900" i="1"/>
  <c r="F901" i="1" a="1"/>
  <c r="F901" i="1" s="1"/>
  <c r="F902" i="1" a="1"/>
  <c r="F902" i="1" s="1"/>
  <c r="F903" i="1" a="1"/>
  <c r="F903" i="1"/>
  <c r="F904" i="1" a="1"/>
  <c r="F904" i="1"/>
  <c r="F905" i="1" a="1"/>
  <c r="F905" i="1" s="1"/>
  <c r="F906" i="1" a="1"/>
  <c r="F906" i="1" s="1"/>
  <c r="F907" i="1" a="1"/>
  <c r="F907" i="1"/>
  <c r="F908" i="1" a="1"/>
  <c r="F908" i="1" s="1"/>
  <c r="F909" i="1" a="1"/>
  <c r="F909" i="1" s="1"/>
  <c r="F910" i="1" a="1"/>
  <c r="F910" i="1"/>
  <c r="F911" i="1" a="1"/>
  <c r="F911" i="1" s="1"/>
  <c r="F912" i="1" a="1"/>
  <c r="F912" i="1" s="1"/>
  <c r="F913" i="1" a="1"/>
  <c r="F913" i="1" s="1"/>
  <c r="F914" i="1" a="1"/>
  <c r="F914" i="1" s="1"/>
  <c r="F915" i="1" a="1"/>
  <c r="F915" i="1" s="1"/>
  <c r="F916" i="1" a="1"/>
  <c r="F916" i="1"/>
  <c r="F917" i="1" a="1"/>
  <c r="F917" i="1" s="1"/>
  <c r="F918" i="1" a="1"/>
  <c r="F918" i="1"/>
  <c r="F919" i="1" a="1"/>
  <c r="F919" i="1" s="1"/>
  <c r="F920" i="1" a="1"/>
  <c r="F920" i="1" s="1"/>
  <c r="F921" i="1" a="1"/>
  <c r="F921" i="1" s="1"/>
  <c r="F922" i="1" a="1"/>
  <c r="F922" i="1" s="1"/>
  <c r="F923" i="1" a="1"/>
  <c r="F923" i="1" s="1"/>
  <c r="F924" i="1" a="1"/>
  <c r="F924" i="1" s="1"/>
  <c r="F925" i="1" a="1"/>
  <c r="F925" i="1" s="1"/>
  <c r="F926" i="1" a="1"/>
  <c r="F926" i="1" s="1"/>
  <c r="F927" i="1" a="1"/>
  <c r="F927" i="1"/>
  <c r="F928" i="1" a="1"/>
  <c r="F928" i="1" s="1"/>
  <c r="F929" i="1" a="1"/>
  <c r="F929" i="1" s="1"/>
  <c r="F930" i="1" a="1"/>
  <c r="F930" i="1"/>
  <c r="F931" i="1" a="1"/>
  <c r="F931" i="1" s="1"/>
  <c r="F932" i="1" a="1"/>
  <c r="F932" i="1"/>
  <c r="F933" i="1" a="1"/>
  <c r="F933" i="1" s="1"/>
  <c r="F934" i="1" a="1"/>
  <c r="F934" i="1" s="1"/>
  <c r="F935" i="1" a="1"/>
  <c r="F935" i="1"/>
  <c r="F936" i="1" a="1"/>
  <c r="F936" i="1"/>
  <c r="F937" i="1" a="1"/>
  <c r="F937" i="1" s="1"/>
  <c r="F938" i="1" a="1"/>
  <c r="F938" i="1" s="1"/>
  <c r="F939" i="1" a="1"/>
  <c r="F939" i="1"/>
  <c r="F940" i="1" a="1"/>
  <c r="F940" i="1" s="1"/>
  <c r="F941" i="1" a="1"/>
  <c r="F941" i="1" s="1"/>
  <c r="F942" i="1" a="1"/>
  <c r="F942" i="1" s="1"/>
  <c r="F943" i="1" a="1"/>
  <c r="F943" i="1" s="1"/>
  <c r="F944" i="1" a="1"/>
  <c r="F944" i="1"/>
  <c r="F945" i="1" a="1"/>
  <c r="F945" i="1" s="1"/>
  <c r="F946" i="1" a="1"/>
  <c r="F946" i="1"/>
  <c r="F947" i="1" a="1"/>
  <c r="F947" i="1" s="1"/>
  <c r="F948" i="1" a="1"/>
  <c r="F948" i="1"/>
  <c r="F949" i="1" a="1"/>
  <c r="F949" i="1" s="1"/>
  <c r="F950" i="1" a="1"/>
  <c r="F950" i="1"/>
  <c r="F951" i="1" a="1"/>
  <c r="F951" i="1"/>
  <c r="F952" i="1" a="1"/>
  <c r="F952" i="1" s="1"/>
  <c r="F953" i="1" a="1"/>
  <c r="F953" i="1" s="1"/>
  <c r="F954" i="1" a="1"/>
  <c r="F954" i="1" s="1"/>
  <c r="F955" i="1" a="1"/>
  <c r="F955" i="1"/>
  <c r="F956" i="1" a="1"/>
  <c r="F956" i="1" s="1"/>
  <c r="F957" i="1" a="1"/>
  <c r="F957" i="1" s="1"/>
  <c r="F958" i="1" a="1"/>
  <c r="F958" i="1" s="1"/>
  <c r="F959" i="1" a="1"/>
  <c r="F959" i="1"/>
  <c r="F960" i="1" a="1"/>
  <c r="F960" i="1"/>
  <c r="F961" i="1" a="1"/>
  <c r="F961" i="1" s="1"/>
  <c r="F962" i="1" a="1"/>
  <c r="F962" i="1"/>
  <c r="F963" i="1" a="1"/>
  <c r="F963" i="1" s="1"/>
  <c r="F964" i="1" a="1"/>
  <c r="F964" i="1"/>
  <c r="F965" i="1" a="1"/>
  <c r="F965" i="1" s="1"/>
  <c r="F966" i="1" a="1"/>
  <c r="F966" i="1" s="1"/>
  <c r="F967" i="1" a="1"/>
  <c r="F967" i="1"/>
  <c r="F968" i="1" a="1"/>
  <c r="F968" i="1"/>
  <c r="F969" i="1" a="1"/>
  <c r="F969" i="1" s="1"/>
  <c r="F970" i="1" a="1"/>
  <c r="F970" i="1" s="1"/>
  <c r="F971" i="1" a="1"/>
  <c r="F971" i="1"/>
  <c r="F972" i="1" a="1"/>
  <c r="F972" i="1" s="1"/>
  <c r="F973" i="1" a="1"/>
  <c r="F973" i="1" s="1"/>
  <c r="F974" i="1" a="1"/>
  <c r="F974" i="1" s="1"/>
  <c r="F975" i="1" a="1"/>
  <c r="F975" i="1" s="1"/>
  <c r="F976" i="1" a="1"/>
  <c r="F976" i="1"/>
  <c r="F977" i="1" a="1"/>
  <c r="F977" i="1" s="1"/>
  <c r="F978" i="1" a="1"/>
  <c r="F978" i="1"/>
  <c r="F979" i="1" a="1"/>
  <c r="F979" i="1" s="1"/>
  <c r="F980" i="1" a="1"/>
  <c r="F980" i="1"/>
  <c r="F981" i="1" a="1"/>
  <c r="F981" i="1" s="1"/>
  <c r="F982" i="1" a="1"/>
  <c r="F982" i="1"/>
  <c r="F983" i="1" a="1"/>
  <c r="F983" i="1"/>
  <c r="F984" i="1" a="1"/>
  <c r="F984" i="1" s="1"/>
  <c r="F985" i="1" a="1"/>
  <c r="F985" i="1" s="1"/>
  <c r="F986" i="1" a="1"/>
  <c r="F986" i="1" s="1"/>
  <c r="F987" i="1" a="1"/>
  <c r="F987" i="1"/>
  <c r="F988" i="1" a="1"/>
  <c r="F988" i="1" s="1"/>
  <c r="F989" i="1" a="1"/>
  <c r="F989" i="1" s="1"/>
  <c r="F990" i="1" a="1"/>
  <c r="F990" i="1"/>
  <c r="F991" i="1" a="1"/>
  <c r="F991" i="1"/>
  <c r="F992" i="1" a="1"/>
  <c r="F992" i="1"/>
  <c r="F993" i="1" a="1"/>
  <c r="F993" i="1" s="1"/>
  <c r="F994" i="1" a="1"/>
  <c r="F994" i="1"/>
  <c r="F995" i="1" a="1"/>
  <c r="F995" i="1" s="1"/>
  <c r="F996" i="1" a="1"/>
  <c r="F996" i="1" s="1"/>
  <c r="F997" i="1" a="1"/>
  <c r="F997" i="1" s="1"/>
  <c r="F998" i="1" a="1"/>
  <c r="F998" i="1" s="1"/>
  <c r="F999" i="1" a="1"/>
  <c r="F999" i="1" s="1"/>
  <c r="F1000" i="1" a="1"/>
  <c r="F1000" i="1"/>
  <c r="F1001" i="1" a="1"/>
  <c r="F1001" i="1" s="1"/>
  <c r="F1002" i="1" a="1"/>
  <c r="F1002" i="1" s="1"/>
  <c r="F1003" i="1" a="1"/>
  <c r="F1003" i="1"/>
  <c r="F1004" i="1" a="1"/>
  <c r="F1004" i="1" s="1"/>
  <c r="F1005" i="1" a="1"/>
  <c r="F1005" i="1" s="1"/>
  <c r="F1006" i="1" a="1"/>
  <c r="F1006" i="1"/>
  <c r="F1007" i="1" a="1"/>
  <c r="F1007" i="1" s="1"/>
  <c r="F1008" i="1" a="1"/>
  <c r="F1008" i="1"/>
  <c r="F1009" i="1" a="1"/>
  <c r="F1009" i="1" s="1"/>
  <c r="F1010" i="1" a="1"/>
  <c r="F1010" i="1" s="1"/>
  <c r="F1011" i="1" a="1"/>
  <c r="F1011" i="1" s="1"/>
  <c r="F1012" i="1" a="1"/>
  <c r="F1012" i="1"/>
  <c r="F1013" i="1" a="1"/>
  <c r="F1013" i="1" s="1"/>
  <c r="F1014" i="1" a="1"/>
  <c r="F1014" i="1"/>
  <c r="F1015" i="1" a="1"/>
  <c r="F1015" i="1" s="1"/>
  <c r="F1016" i="1" a="1"/>
  <c r="F1016" i="1" s="1"/>
  <c r="F1017" i="1" a="1"/>
  <c r="F1017" i="1" s="1"/>
  <c r="F1018" i="1" a="1"/>
  <c r="F1018" i="1" s="1"/>
  <c r="F1019" i="1" a="1"/>
  <c r="F1019" i="1"/>
  <c r="F1020" i="1" a="1"/>
  <c r="F1020" i="1" s="1"/>
  <c r="F1021" i="1" a="1"/>
  <c r="F1021" i="1" s="1"/>
  <c r="F1022" i="1" a="1"/>
  <c r="F1022" i="1"/>
  <c r="F1023" i="1" a="1"/>
  <c r="F1023" i="1"/>
  <c r="F1024" i="1" a="1"/>
  <c r="F1024" i="1"/>
  <c r="F1025" i="1" a="1"/>
  <c r="F1025" i="1" s="1"/>
  <c r="F1026" i="1" a="1"/>
  <c r="F1026" i="1"/>
  <c r="F1027" i="1" a="1"/>
  <c r="F1027" i="1" s="1"/>
  <c r="F1028" i="1" a="1"/>
  <c r="F1028" i="1" s="1"/>
  <c r="F1029" i="1" a="1"/>
  <c r="F1029" i="1" s="1"/>
  <c r="F1030" i="1" a="1"/>
  <c r="F1030" i="1" s="1"/>
  <c r="F1031" i="1" a="1"/>
  <c r="F1031" i="1"/>
  <c r="F1032" i="1" a="1"/>
  <c r="F1032" i="1"/>
  <c r="F1033" i="1" a="1"/>
  <c r="F1033" i="1" s="1"/>
  <c r="F1034" i="1" a="1"/>
  <c r="F1034" i="1" s="1"/>
  <c r="F1035" i="1" a="1"/>
  <c r="F1035" i="1"/>
  <c r="F1036" i="1" a="1"/>
  <c r="F1036" i="1" s="1"/>
  <c r="F1037" i="1" a="1"/>
  <c r="F1037" i="1" s="1"/>
  <c r="F1038" i="1" a="1"/>
  <c r="F1038" i="1"/>
  <c r="F1039" i="1" a="1"/>
  <c r="F1039" i="1" s="1"/>
  <c r="F1040" i="1" a="1"/>
  <c r="F1040" i="1" s="1"/>
  <c r="F1041" i="1" a="1"/>
  <c r="F1041" i="1" s="1"/>
  <c r="F1042" i="1" a="1"/>
  <c r="F1042" i="1"/>
  <c r="F1043" i="1" a="1"/>
  <c r="F1043" i="1" s="1"/>
  <c r="F1044" i="1" a="1"/>
  <c r="F1044" i="1"/>
  <c r="F1045" i="1" a="1"/>
  <c r="F1045" i="1" s="1"/>
  <c r="F1046" i="1" a="1"/>
  <c r="F1046" i="1"/>
  <c r="F1047" i="1" a="1"/>
  <c r="F1047" i="1"/>
  <c r="F1048" i="1" a="1"/>
  <c r="F1048" i="1" s="1"/>
  <c r="F1049" i="1" a="1"/>
  <c r="F1049" i="1" s="1"/>
  <c r="F1050" i="1" a="1"/>
  <c r="F1050" i="1" s="1"/>
  <c r="F1051" i="1" a="1"/>
  <c r="F1051" i="1" s="1"/>
  <c r="F1052" i="1" a="1"/>
  <c r="F1052" i="1" s="1"/>
  <c r="F1053" i="1" a="1"/>
  <c r="F1053" i="1" s="1"/>
  <c r="F1054" i="1" a="1"/>
  <c r="F1054" i="1" s="1"/>
  <c r="F1055" i="1" a="1"/>
  <c r="F1055" i="1"/>
  <c r="F1056" i="1" a="1"/>
  <c r="F1056" i="1" s="1"/>
  <c r="F1057" i="1" a="1"/>
  <c r="F1057" i="1" s="1"/>
  <c r="F1058" i="1" a="1"/>
  <c r="F1058" i="1"/>
  <c r="F1059" i="1" a="1"/>
  <c r="F1059" i="1" s="1"/>
  <c r="F1060" i="1" a="1"/>
  <c r="F1060" i="1"/>
  <c r="F1061" i="1" a="1"/>
  <c r="F1061" i="1" s="1"/>
  <c r="F1062" i="1" a="1"/>
  <c r="F1062" i="1" s="1"/>
  <c r="F1063" i="1" a="1"/>
  <c r="F1063" i="1"/>
  <c r="F1064" i="1" a="1"/>
  <c r="F1064" i="1"/>
  <c r="F1065" i="1" a="1"/>
  <c r="F1065" i="1" s="1"/>
  <c r="F1066" i="1" a="1"/>
  <c r="F1066" i="1" s="1"/>
  <c r="F1067" i="1" a="1"/>
  <c r="F1067" i="1"/>
  <c r="F1068" i="1" a="1"/>
  <c r="F1068" i="1" s="1"/>
  <c r="F1069" i="1" a="1"/>
  <c r="F1069" i="1" s="1"/>
  <c r="F1070" i="1" a="1"/>
  <c r="F1070" i="1" s="1"/>
  <c r="F1071" i="1" a="1"/>
  <c r="F1071" i="1" s="1"/>
  <c r="F1072" i="1" a="1"/>
  <c r="F1072" i="1"/>
  <c r="F1073" i="1" a="1"/>
  <c r="F1073" i="1" s="1"/>
  <c r="F1074" i="1" a="1"/>
  <c r="F1074" i="1"/>
  <c r="F1075" i="1" a="1"/>
  <c r="F1075" i="1" s="1"/>
  <c r="F1076" i="1" a="1"/>
  <c r="F1076" i="1"/>
  <c r="F1077" i="1" a="1"/>
  <c r="F1077" i="1" s="1"/>
  <c r="F1078" i="1" a="1"/>
  <c r="F1078" i="1"/>
  <c r="F1079" i="1" a="1"/>
  <c r="F1079" i="1"/>
  <c r="F1080" i="1" a="1"/>
  <c r="F1080" i="1" s="1"/>
  <c r="F1081" i="1" a="1"/>
  <c r="F1081" i="1" s="1"/>
  <c r="F1082" i="1" a="1"/>
  <c r="F1082" i="1" s="1"/>
  <c r="F1083" i="1" a="1"/>
  <c r="F1083" i="1"/>
  <c r="F1084" i="1" a="1"/>
  <c r="F1084" i="1" s="1"/>
  <c r="F1085" i="1" a="1"/>
  <c r="F1085" i="1" s="1"/>
  <c r="F1086" i="1" a="1"/>
  <c r="F1086" i="1"/>
  <c r="F1087" i="1" a="1"/>
  <c r="F1087" i="1"/>
  <c r="F1088" i="1" a="1"/>
  <c r="F1088" i="1"/>
  <c r="F1089" i="1" a="1"/>
  <c r="F1089" i="1" s="1"/>
  <c r="F1090" i="1" a="1"/>
  <c r="F1090" i="1"/>
  <c r="F1091" i="1" a="1"/>
  <c r="F1091" i="1" s="1"/>
  <c r="F1092" i="1" a="1"/>
  <c r="F1092" i="1"/>
  <c r="F1093" i="1" a="1"/>
  <c r="F1093" i="1" s="1"/>
  <c r="F1094" i="1" a="1"/>
  <c r="F1094" i="1" s="1"/>
  <c r="F1095" i="1" a="1"/>
  <c r="F1095" i="1"/>
  <c r="F1096" i="1" a="1"/>
  <c r="F1096" i="1"/>
  <c r="F1097" i="1" a="1"/>
  <c r="F1097" i="1" s="1"/>
  <c r="F1098" i="1" a="1"/>
  <c r="F1098" i="1" s="1"/>
  <c r="F1099" i="1" a="1"/>
  <c r="F1099" i="1"/>
  <c r="F1100" i="1" a="1"/>
  <c r="F1100" i="1" s="1"/>
  <c r="F1101" i="1" a="1"/>
  <c r="F1101" i="1" s="1"/>
  <c r="F1102" i="1" a="1"/>
  <c r="F1102" i="1"/>
  <c r="F1103" i="1" a="1"/>
  <c r="F1103" i="1" s="1"/>
  <c r="F1104" i="1" a="1"/>
  <c r="F1104" i="1"/>
  <c r="F1105" i="1" a="1"/>
  <c r="F1105" i="1" s="1"/>
  <c r="F1106" i="1" a="1"/>
  <c r="F1106" i="1"/>
  <c r="F1107" i="1" a="1"/>
  <c r="F1107" i="1" s="1"/>
  <c r="F1108" i="1" a="1"/>
  <c r="F1108" i="1"/>
  <c r="F1109" i="1" a="1"/>
  <c r="F1109" i="1" s="1"/>
  <c r="F1110" i="1" a="1"/>
  <c r="F1110" i="1"/>
  <c r="F1111" i="1" a="1"/>
  <c r="F1111" i="1"/>
  <c r="F1112" i="1" a="1"/>
  <c r="F1112" i="1" s="1"/>
  <c r="F1113" i="1" a="1"/>
  <c r="F1113" i="1" s="1"/>
  <c r="F1114" i="1" a="1"/>
  <c r="F1114" i="1" s="1"/>
  <c r="F1115" i="1" a="1"/>
  <c r="F1115" i="1"/>
  <c r="F1116" i="1" a="1"/>
  <c r="F1116" i="1" s="1"/>
  <c r="F1117" i="1" a="1"/>
  <c r="F1117" i="1" s="1"/>
  <c r="F1118" i="1" a="1"/>
  <c r="F1118" i="1"/>
  <c r="F1119" i="1" a="1"/>
  <c r="F1119" i="1"/>
  <c r="F1120" i="1" a="1"/>
  <c r="F1120" i="1"/>
  <c r="F1121" i="1" a="1"/>
  <c r="F1121" i="1" s="1"/>
  <c r="F1122" i="1" a="1"/>
  <c r="F1122" i="1"/>
  <c r="F1123" i="1" a="1"/>
  <c r="F1123" i="1" s="1"/>
  <c r="F1124" i="1" a="1"/>
  <c r="F1124" i="1" s="1"/>
  <c r="F1125" i="1" a="1"/>
  <c r="F1125" i="1" s="1"/>
  <c r="F1126" i="1" a="1"/>
  <c r="F1126" i="1" s="1"/>
  <c r="F1127" i="1" a="1"/>
  <c r="F1127" i="1" s="1"/>
  <c r="F1128" i="1" a="1"/>
  <c r="F1128" i="1"/>
  <c r="F1129" i="1" a="1"/>
  <c r="F1129" i="1" s="1"/>
  <c r="F1130" i="1" a="1"/>
  <c r="F1130" i="1" s="1"/>
  <c r="F1131" i="1" a="1"/>
  <c r="F1131" i="1"/>
  <c r="F1132" i="1" a="1"/>
  <c r="F1132" i="1" s="1"/>
  <c r="F1133" i="1" a="1"/>
  <c r="F1133" i="1" s="1"/>
  <c r="F1134" i="1" a="1"/>
  <c r="F1134" i="1"/>
  <c r="F1135" i="1" a="1"/>
  <c r="F1135" i="1" s="1"/>
  <c r="F1136" i="1" a="1"/>
  <c r="F1136" i="1"/>
  <c r="F1137" i="1" a="1"/>
  <c r="F1137" i="1" s="1"/>
  <c r="F1138" i="1" a="1"/>
  <c r="F1138" i="1" s="1"/>
  <c r="F1139" i="1" a="1"/>
  <c r="F1139" i="1" s="1"/>
  <c r="F1140" i="1" a="1"/>
  <c r="F1140" i="1"/>
  <c r="F1141" i="1" a="1"/>
  <c r="F1141" i="1" s="1"/>
  <c r="F1142" i="1" a="1"/>
  <c r="F1142" i="1"/>
  <c r="F1143" i="1" a="1"/>
  <c r="F1143" i="1" s="1"/>
  <c r="F1144" i="1" a="1"/>
  <c r="F1144" i="1" s="1"/>
  <c r="F1145" i="1" a="1"/>
  <c r="F1145" i="1" s="1"/>
  <c r="F1146" i="1" a="1"/>
  <c r="F1146" i="1" s="1"/>
  <c r="F1147" i="1" a="1"/>
  <c r="F1147" i="1"/>
  <c r="F1148" i="1" a="1"/>
  <c r="F1148" i="1" s="1"/>
  <c r="F1149" i="1" a="1"/>
  <c r="F1149" i="1" s="1"/>
  <c r="F1150" i="1" a="1"/>
  <c r="F1150" i="1"/>
  <c r="F1151" i="1" a="1"/>
  <c r="F1151" i="1"/>
  <c r="F1152" i="1" a="1"/>
  <c r="F1152" i="1"/>
  <c r="F1153" i="1" a="1"/>
  <c r="F1153" i="1" s="1"/>
  <c r="F1154" i="1" a="1"/>
  <c r="F1154" i="1"/>
  <c r="F1155" i="1" a="1"/>
  <c r="F1155" i="1" s="1"/>
  <c r="F1156" i="1" a="1"/>
  <c r="F1156" i="1"/>
  <c r="F1157" i="1" a="1"/>
  <c r="F1157" i="1" s="1"/>
  <c r="F1158" i="1" a="1"/>
  <c r="F1158" i="1" s="1"/>
  <c r="F1159" i="1" a="1"/>
  <c r="F1159" i="1" s="1"/>
  <c r="F1160" i="1" a="1"/>
  <c r="F1160" i="1"/>
  <c r="F1161" i="1" a="1"/>
  <c r="F1161" i="1" s="1"/>
  <c r="F1162" i="1" a="1"/>
  <c r="F1162" i="1" s="1"/>
  <c r="F1163" i="1" a="1"/>
  <c r="F1163" i="1"/>
  <c r="F1164" i="1" a="1"/>
  <c r="F1164" i="1" s="1"/>
  <c r="F1165" i="1" a="1"/>
  <c r="F1165" i="1" s="1"/>
  <c r="F1166" i="1" a="1"/>
  <c r="F1166" i="1"/>
  <c r="F1167" i="1" a="1"/>
  <c r="F1167" i="1" s="1"/>
  <c r="F1168" i="1" a="1"/>
  <c r="F1168" i="1" s="1"/>
  <c r="F1169" i="1" a="1"/>
  <c r="F1169" i="1" s="1"/>
  <c r="F1170" i="1" a="1"/>
  <c r="F1170" i="1"/>
  <c r="F1171" i="1" a="1"/>
  <c r="F1171" i="1" s="1"/>
  <c r="F1172" i="1" a="1"/>
  <c r="F1172" i="1"/>
  <c r="F1173" i="1" a="1"/>
  <c r="F1173" i="1" s="1"/>
  <c r="F1174" i="1" a="1"/>
  <c r="F1174" i="1"/>
  <c r="F1175" i="1" a="1"/>
  <c r="F1175" i="1"/>
  <c r="F1176" i="1" a="1"/>
  <c r="F1176" i="1" s="1"/>
  <c r="F1177" i="1" a="1"/>
  <c r="F1177" i="1" s="1"/>
  <c r="F1178" i="1" a="1"/>
  <c r="F1178" i="1" s="1"/>
  <c r="F1179" i="1" a="1"/>
  <c r="F1179" i="1" s="1"/>
  <c r="F1180" i="1" a="1"/>
  <c r="F1180" i="1" s="1"/>
  <c r="F1181" i="1" a="1"/>
  <c r="F1181" i="1" s="1"/>
  <c r="F1182" i="1" a="1"/>
  <c r="F1182" i="1" s="1"/>
  <c r="F1183" i="1" a="1"/>
  <c r="F1183" i="1"/>
  <c r="F1184" i="1" a="1"/>
  <c r="F1184" i="1" s="1"/>
  <c r="F1185" i="1" a="1"/>
  <c r="F1185" i="1" s="1"/>
  <c r="F1186" i="1" a="1"/>
  <c r="F1186" i="1"/>
  <c r="F1187" i="1" a="1"/>
  <c r="F1187" i="1" s="1"/>
  <c r="F1188" i="1" a="1"/>
  <c r="F1188" i="1"/>
  <c r="F1189" i="1" a="1"/>
  <c r="F1189" i="1" s="1"/>
  <c r="F1190" i="1" a="1"/>
  <c r="F1190" i="1" s="1"/>
  <c r="F1191" i="1" a="1"/>
  <c r="F1191" i="1"/>
  <c r="F1192" i="1" a="1"/>
  <c r="F1192" i="1"/>
  <c r="F1193" i="1" a="1"/>
  <c r="F1193" i="1" s="1"/>
  <c r="F1194" i="1" a="1"/>
  <c r="F1194" i="1" s="1"/>
  <c r="F1195" i="1" a="1"/>
  <c r="F1195" i="1"/>
  <c r="F1196" i="1" a="1"/>
  <c r="F1196" i="1" s="1"/>
  <c r="F1197" i="1" a="1"/>
  <c r="F1197" i="1" s="1"/>
  <c r="F1198" i="1" a="1"/>
  <c r="F1198" i="1" s="1"/>
  <c r="F1199" i="1" a="1"/>
  <c r="F1199" i="1" s="1"/>
  <c r="F1200" i="1" a="1"/>
  <c r="F1200" i="1"/>
  <c r="F1201" i="1" a="1"/>
  <c r="F1201" i="1" s="1"/>
  <c r="F1202" i="1" a="1"/>
  <c r="F1202" i="1"/>
  <c r="F1203" i="1" a="1"/>
  <c r="F1203" i="1" s="1"/>
  <c r="F1204" i="1" a="1"/>
  <c r="F1204" i="1"/>
  <c r="F1205" i="1" a="1"/>
  <c r="F1205" i="1" s="1"/>
  <c r="F1206" i="1" a="1"/>
  <c r="F1206" i="1"/>
  <c r="F1207" i="1" a="1"/>
  <c r="F1207" i="1"/>
  <c r="F1208" i="1" a="1"/>
  <c r="F1208" i="1" s="1"/>
  <c r="F1209" i="1" a="1"/>
  <c r="F1209" i="1" s="1"/>
  <c r="F1210" i="1" a="1"/>
  <c r="F1210" i="1" s="1"/>
  <c r="F1211" i="1" a="1"/>
  <c r="F1211" i="1"/>
  <c r="F1212" i="1" a="1"/>
  <c r="F1212" i="1" s="1"/>
  <c r="F1213" i="1" a="1"/>
  <c r="F1213" i="1" s="1"/>
  <c r="F1214" i="1" a="1"/>
  <c r="F1214" i="1"/>
  <c r="F1215" i="1" a="1"/>
  <c r="F1215" i="1"/>
  <c r="F1216" i="1" a="1"/>
  <c r="F1216" i="1"/>
  <c r="F1217" i="1" a="1"/>
  <c r="F1217" i="1" s="1"/>
  <c r="F1218" i="1" a="1"/>
  <c r="F1218" i="1"/>
  <c r="F1219" i="1" a="1"/>
  <c r="F1219" i="1" s="1"/>
  <c r="F1220" i="1" a="1"/>
  <c r="F1220" i="1"/>
  <c r="F1221" i="1" a="1"/>
  <c r="F1221" i="1" s="1"/>
  <c r="F1222" i="1" a="1"/>
  <c r="F1222" i="1" s="1"/>
  <c r="F1223" i="1" a="1"/>
  <c r="F1223" i="1"/>
  <c r="F1224" i="1" a="1"/>
  <c r="F1224" i="1"/>
  <c r="F1225" i="1" a="1"/>
  <c r="F1225" i="1" s="1"/>
  <c r="F1226" i="1" a="1"/>
  <c r="F1226" i="1" s="1"/>
  <c r="F1227" i="1" a="1"/>
  <c r="F1227" i="1"/>
  <c r="F1228" i="1" a="1"/>
  <c r="F1228" i="1" s="1"/>
  <c r="F1229" i="1" a="1"/>
  <c r="F1229" i="1" s="1"/>
  <c r="F1230" i="1" a="1"/>
  <c r="F1230" i="1"/>
  <c r="F1231" i="1" a="1"/>
  <c r="F1231" i="1" s="1"/>
  <c r="F1232" i="1" a="1"/>
  <c r="F1232" i="1"/>
  <c r="F1233" i="1" a="1"/>
  <c r="F1233" i="1" s="1"/>
  <c r="F1234" i="1" a="1"/>
  <c r="F1234" i="1"/>
  <c r="F1235" i="1" a="1"/>
  <c r="F1235" i="1" s="1"/>
  <c r="F1236" i="1" a="1"/>
  <c r="F1236" i="1"/>
  <c r="F1237" i="1" a="1"/>
  <c r="F1237" i="1" s="1"/>
  <c r="F1238" i="1" a="1"/>
  <c r="F1238" i="1"/>
  <c r="F1239" i="1" a="1"/>
  <c r="F1239" i="1"/>
  <c r="F1240" i="1" a="1"/>
  <c r="F1240" i="1" s="1"/>
  <c r="F1241" i="1" a="1"/>
  <c r="F1241" i="1" s="1"/>
  <c r="F1242" i="1" a="1"/>
  <c r="F1242" i="1" s="1"/>
  <c r="F1243" i="1" a="1"/>
  <c r="F1243" i="1"/>
  <c r="F1244" i="1" a="1"/>
  <c r="F1244" i="1" s="1"/>
  <c r="F1245" i="1" a="1"/>
  <c r="F1245" i="1" s="1"/>
  <c r="F1246" i="1" a="1"/>
  <c r="F1246" i="1"/>
  <c r="F1247" i="1" a="1"/>
  <c r="F1247" i="1"/>
  <c r="F1248" i="1" a="1"/>
  <c r="F1248" i="1"/>
  <c r="F1249" i="1" a="1"/>
  <c r="F1249" i="1" s="1"/>
  <c r="F1250" i="1" a="1"/>
  <c r="F1250" i="1"/>
  <c r="F1251" i="1" a="1"/>
  <c r="F1251" i="1" s="1"/>
  <c r="F1252" i="1" a="1"/>
  <c r="F1252" i="1" s="1"/>
  <c r="F1253" i="1" a="1"/>
  <c r="F1253" i="1" s="1"/>
  <c r="F1254" i="1" a="1"/>
  <c r="F1254" i="1" s="1"/>
  <c r="F1255" i="1" a="1"/>
  <c r="F1255" i="1" s="1"/>
  <c r="F1256" i="1" a="1"/>
  <c r="F1256" i="1"/>
  <c r="F1257" i="1" a="1"/>
  <c r="F1257" i="1" s="1"/>
  <c r="F1258" i="1" a="1"/>
  <c r="F1258" i="1" s="1"/>
  <c r="F1259" i="1" a="1"/>
  <c r="F1259" i="1"/>
  <c r="F1260" i="1" a="1"/>
  <c r="F1260" i="1" s="1"/>
  <c r="F1261" i="1" a="1"/>
  <c r="F1261" i="1" s="1"/>
  <c r="F1262" i="1" a="1"/>
  <c r="F1262" i="1"/>
  <c r="F1263" i="1" a="1"/>
  <c r="F1263" i="1" s="1"/>
  <c r="F1264" i="1" a="1"/>
  <c r="F1264" i="1"/>
  <c r="F1265" i="1" a="1"/>
  <c r="F1265" i="1" s="1"/>
  <c r="F1266" i="1" a="1"/>
  <c r="F1266" i="1" s="1"/>
  <c r="F1267" i="1" a="1"/>
  <c r="F1267" i="1" s="1"/>
  <c r="F1268" i="1" a="1"/>
  <c r="F1268" i="1"/>
  <c r="F1269" i="1" a="1"/>
  <c r="F1269" i="1" s="1"/>
  <c r="F1270" i="1" a="1"/>
  <c r="F1270" i="1"/>
  <c r="F1271" i="1" a="1"/>
  <c r="F1271" i="1" s="1"/>
  <c r="F1272" i="1" a="1"/>
  <c r="F1272" i="1" s="1"/>
  <c r="F1273" i="1" a="1"/>
  <c r="F1273" i="1" s="1"/>
  <c r="F1274" i="1" a="1"/>
  <c r="F1274" i="1" s="1"/>
  <c r="F1275" i="1" a="1"/>
  <c r="F1275" i="1"/>
  <c r="F1276" i="1" a="1"/>
  <c r="F1276" i="1" s="1"/>
  <c r="F1277" i="1" a="1"/>
  <c r="F1277" i="1"/>
  <c r="F1278" i="1" a="1"/>
  <c r="F1278" i="1" s="1"/>
  <c r="F1279" i="1" a="1"/>
  <c r="F1279" i="1"/>
  <c r="F1280" i="1" a="1"/>
  <c r="F1280" i="1" s="1"/>
  <c r="F1281" i="1" a="1"/>
  <c r="F1281" i="1"/>
  <c r="F1282" i="1" a="1"/>
  <c r="F1282" i="1" s="1"/>
  <c r="F1283" i="1" a="1"/>
  <c r="F1283" i="1"/>
  <c r="F1284" i="1" a="1"/>
  <c r="F1284" i="1" s="1"/>
  <c r="F1285" i="1" a="1"/>
  <c r="F1285" i="1"/>
  <c r="F1286" i="1" a="1"/>
  <c r="F1286" i="1" s="1"/>
  <c r="F1287" i="1" a="1"/>
  <c r="F1287" i="1"/>
  <c r="F1288" i="1" a="1"/>
  <c r="F1288" i="1" s="1"/>
  <c r="F1289" i="1" a="1"/>
  <c r="F1289" i="1"/>
  <c r="F1290" i="1" a="1"/>
  <c r="F1290" i="1" s="1"/>
  <c r="F1291" i="1" a="1"/>
  <c r="F1291" i="1"/>
  <c r="F1292" i="1" a="1"/>
  <c r="F1292" i="1" s="1"/>
  <c r="F1293" i="1" a="1"/>
  <c r="F1293" i="1"/>
  <c r="F1294" i="1" a="1"/>
  <c r="F1294" i="1" s="1"/>
  <c r="F1295" i="1" a="1"/>
  <c r="F1295" i="1"/>
  <c r="F1296" i="1" a="1"/>
  <c r="F1296" i="1" s="1"/>
  <c r="F1297" i="1" a="1"/>
  <c r="F1297" i="1"/>
  <c r="F1298" i="1" a="1"/>
  <c r="F1298" i="1" s="1"/>
  <c r="F1299" i="1" a="1"/>
  <c r="F1299" i="1"/>
  <c r="F1300" i="1" a="1"/>
  <c r="F1300" i="1" s="1"/>
  <c r="F1301" i="1" a="1"/>
  <c r="F1301" i="1"/>
  <c r="F1302" i="1" a="1"/>
  <c r="F1302" i="1" s="1"/>
  <c r="F1303" i="1" a="1"/>
  <c r="F1303" i="1"/>
  <c r="F1304" i="1" a="1"/>
  <c r="F1304" i="1" s="1"/>
  <c r="F1305" i="1" a="1"/>
  <c r="F1305" i="1"/>
  <c r="F1306" i="1" a="1"/>
  <c r="F1306" i="1" s="1"/>
  <c r="F1307" i="1" a="1"/>
  <c r="F1307" i="1"/>
  <c r="F1308" i="1" a="1"/>
  <c r="F1308" i="1" s="1"/>
  <c r="F1309" i="1" a="1"/>
  <c r="F1309" i="1"/>
  <c r="F1310" i="1" a="1"/>
  <c r="F1310" i="1" s="1"/>
  <c r="F1311" i="1" a="1"/>
  <c r="F1311" i="1"/>
  <c r="F1312" i="1" a="1"/>
  <c r="F1312" i="1" s="1"/>
  <c r="F1313" i="1" a="1"/>
  <c r="F1313" i="1"/>
  <c r="F1314" i="1" a="1"/>
  <c r="F1314" i="1" s="1"/>
  <c r="F1315" i="1" a="1"/>
  <c r="F1315" i="1"/>
  <c r="F1316" i="1" a="1"/>
  <c r="F1316" i="1" s="1"/>
  <c r="F1317" i="1" a="1"/>
  <c r="F1317" i="1"/>
  <c r="F1318" i="1" a="1"/>
  <c r="F1318" i="1" s="1"/>
  <c r="F1319" i="1" a="1"/>
  <c r="F1319" i="1"/>
  <c r="F1320" i="1" a="1"/>
  <c r="F1320" i="1" s="1"/>
  <c r="F1321" i="1" a="1"/>
  <c r="F1321" i="1"/>
  <c r="F1322" i="1" a="1"/>
  <c r="F1322" i="1" s="1"/>
  <c r="F1323" i="1" a="1"/>
  <c r="F1323" i="1"/>
  <c r="F1324" i="1" a="1"/>
  <c r="F1324" i="1" s="1"/>
  <c r="F1325" i="1" a="1"/>
  <c r="F1325" i="1"/>
  <c r="F1326" i="1" a="1"/>
  <c r="F1326" i="1" s="1"/>
  <c r="F1327" i="1" a="1"/>
  <c r="F1327" i="1"/>
  <c r="F1328" i="1" a="1"/>
  <c r="F1328" i="1" s="1"/>
  <c r="F1329" i="1" a="1"/>
  <c r="F1329" i="1"/>
  <c r="F1330" i="1" a="1"/>
  <c r="F1330" i="1" s="1"/>
  <c r="F1331" i="1" a="1"/>
  <c r="F1331" i="1"/>
  <c r="F1332" i="1" a="1"/>
  <c r="F1332" i="1" s="1"/>
  <c r="F1333" i="1" a="1"/>
  <c r="F1333" i="1"/>
  <c r="F1334" i="1" a="1"/>
  <c r="F1334" i="1" s="1"/>
  <c r="F1335" i="1" a="1"/>
  <c r="F1335" i="1"/>
  <c r="F1336" i="1" a="1"/>
  <c r="F1336" i="1" s="1"/>
  <c r="F1337" i="1" a="1"/>
  <c r="F1337" i="1"/>
  <c r="F1338" i="1" a="1"/>
  <c r="F1338" i="1" s="1"/>
  <c r="F1339" i="1" a="1"/>
  <c r="F1339" i="1"/>
  <c r="F1340" i="1" a="1"/>
  <c r="F1340" i="1" s="1"/>
  <c r="F1341" i="1" a="1"/>
  <c r="F1341" i="1"/>
  <c r="F1342" i="1" a="1"/>
  <c r="F1342" i="1" s="1"/>
  <c r="F1343" i="1" a="1"/>
  <c r="F1343" i="1"/>
  <c r="F1344" i="1" a="1"/>
  <c r="F1344" i="1" s="1"/>
  <c r="F1345" i="1" a="1"/>
  <c r="F1345" i="1"/>
  <c r="F1346" i="1" a="1"/>
  <c r="F1346" i="1" s="1"/>
  <c r="F1347" i="1" a="1"/>
  <c r="F1347" i="1"/>
  <c r="F1348" i="1" a="1"/>
  <c r="F1348" i="1" s="1"/>
  <c r="F1349" i="1" a="1"/>
  <c r="F1349" i="1"/>
  <c r="F1350" i="1" a="1"/>
  <c r="F1350" i="1" s="1"/>
  <c r="F1351" i="1" a="1"/>
  <c r="F1351" i="1"/>
  <c r="F1352" i="1" a="1"/>
  <c r="F1352" i="1" s="1"/>
  <c r="F1353" i="1" a="1"/>
  <c r="F1353" i="1"/>
  <c r="F1354" i="1" a="1"/>
  <c r="F1354" i="1" s="1"/>
  <c r="F1355" i="1" a="1"/>
  <c r="F1355" i="1"/>
  <c r="F1356" i="1" a="1"/>
  <c r="F1356" i="1" s="1"/>
  <c r="F1357" i="1" a="1"/>
  <c r="F1357" i="1"/>
  <c r="F1358" i="1" a="1"/>
  <c r="F1358" i="1" s="1"/>
  <c r="F1359" i="1" a="1"/>
  <c r="F1359" i="1"/>
  <c r="F1360" i="1" a="1"/>
  <c r="F1360" i="1" s="1"/>
  <c r="F1361" i="1" a="1"/>
  <c r="F1361" i="1"/>
  <c r="F1362" i="1" a="1"/>
  <c r="F1362" i="1" s="1"/>
  <c r="F1363" i="1" a="1"/>
  <c r="F1363" i="1"/>
  <c r="F1364" i="1" a="1"/>
  <c r="F1364" i="1" s="1"/>
  <c r="F1365" i="1" a="1"/>
  <c r="F1365" i="1"/>
  <c r="F1366" i="1" a="1"/>
  <c r="F1366" i="1" s="1"/>
  <c r="F1367" i="1" a="1"/>
  <c r="F1367" i="1"/>
  <c r="F1368" i="1" a="1"/>
  <c r="F1368" i="1" s="1"/>
  <c r="F1369" i="1" a="1"/>
  <c r="F1369" i="1"/>
  <c r="F1370" i="1" a="1"/>
  <c r="F1370" i="1" s="1"/>
  <c r="F1371" i="1" a="1"/>
  <c r="F1371" i="1"/>
  <c r="F1372" i="1" a="1"/>
  <c r="F1372" i="1" s="1"/>
  <c r="F1373" i="1" a="1"/>
  <c r="F1373" i="1"/>
  <c r="F1374" i="1" a="1"/>
  <c r="F1374" i="1" s="1"/>
  <c r="F1375" i="1" a="1"/>
  <c r="F1375" i="1"/>
  <c r="F1376" i="1" a="1"/>
  <c r="F1376" i="1" s="1"/>
  <c r="F1377" i="1" a="1"/>
  <c r="F1377" i="1"/>
  <c r="F1378" i="1" a="1"/>
  <c r="F1378" i="1" s="1"/>
  <c r="F1379" i="1" a="1"/>
  <c r="F1379" i="1"/>
  <c r="F1380" i="1" a="1"/>
  <c r="F1380" i="1" s="1"/>
  <c r="F1381" i="1" a="1"/>
  <c r="F1381" i="1"/>
  <c r="F1382" i="1" a="1"/>
  <c r="F1382" i="1" s="1"/>
  <c r="F1383" i="1" a="1"/>
  <c r="F1383" i="1"/>
  <c r="F1384" i="1" a="1"/>
  <c r="F1384" i="1" s="1"/>
  <c r="F1385" i="1" a="1"/>
  <c r="F1385" i="1"/>
  <c r="F1386" i="1" a="1"/>
  <c r="F1386" i="1" s="1"/>
  <c r="F1387" i="1" a="1"/>
  <c r="F1387" i="1"/>
  <c r="F1388" i="1" a="1"/>
  <c r="F1388" i="1" s="1"/>
  <c r="F1389" i="1" a="1"/>
  <c r="F1389" i="1"/>
  <c r="F1390" i="1" a="1"/>
  <c r="F1390" i="1" s="1"/>
  <c r="F1391" i="1" a="1"/>
  <c r="F1391" i="1"/>
  <c r="F1392" i="1" a="1"/>
  <c r="F1392" i="1" s="1"/>
  <c r="F1393" i="1" a="1"/>
  <c r="F1393" i="1"/>
  <c r="F1394" i="1" a="1"/>
  <c r="F1394" i="1" s="1"/>
  <c r="F1395" i="1" a="1"/>
  <c r="F1395" i="1"/>
  <c r="F1396" i="1" a="1"/>
  <c r="F1396" i="1" s="1"/>
  <c r="F1397" i="1" a="1"/>
  <c r="F1397" i="1"/>
  <c r="F1398" i="1" a="1"/>
  <c r="F1398" i="1" s="1"/>
  <c r="F1399" i="1" a="1"/>
  <c r="F1399" i="1"/>
  <c r="F1400" i="1" a="1"/>
  <c r="F1400" i="1" s="1"/>
  <c r="F1401" i="1" a="1"/>
  <c r="F1401" i="1"/>
  <c r="F1402" i="1" a="1"/>
  <c r="F1402" i="1" s="1"/>
  <c r="F1403" i="1" a="1"/>
  <c r="F1403" i="1"/>
  <c r="F1404" i="1" a="1"/>
  <c r="F1404" i="1" s="1"/>
  <c r="F1405" i="1" a="1"/>
  <c r="F1405" i="1"/>
  <c r="F1406" i="1" a="1"/>
  <c r="F1406" i="1" s="1"/>
  <c r="F1407" i="1" a="1"/>
  <c r="F1407" i="1"/>
  <c r="F1408" i="1" a="1"/>
  <c r="F1408" i="1" s="1"/>
  <c r="F1409" i="1" a="1"/>
  <c r="F1409" i="1"/>
  <c r="F1410" i="1" a="1"/>
  <c r="F1410" i="1" s="1"/>
  <c r="F1411" i="1" a="1"/>
  <c r="F1411" i="1"/>
  <c r="F1412" i="1" a="1"/>
  <c r="F1412" i="1" s="1"/>
  <c r="F1413" i="1" a="1"/>
  <c r="F1413" i="1"/>
  <c r="F1414" i="1" a="1"/>
  <c r="F1414" i="1" s="1"/>
  <c r="F1415" i="1" a="1"/>
  <c r="F1415" i="1"/>
  <c r="F1416" i="1" a="1"/>
  <c r="F1416" i="1" s="1"/>
  <c r="F1417" i="1" a="1"/>
  <c r="F1417" i="1"/>
  <c r="F1418" i="1" a="1"/>
  <c r="F1418" i="1" s="1"/>
  <c r="F1419" i="1" a="1"/>
  <c r="F1419" i="1"/>
  <c r="F1420" i="1" a="1"/>
  <c r="F1420" i="1" s="1"/>
  <c r="F1421" i="1" a="1"/>
  <c r="F1421" i="1"/>
  <c r="F1422" i="1" a="1"/>
  <c r="F1422" i="1" s="1"/>
  <c r="F1423" i="1" a="1"/>
  <c r="F1423" i="1"/>
  <c r="F1424" i="1" a="1"/>
  <c r="F1424" i="1" s="1"/>
  <c r="F1425" i="1" a="1"/>
  <c r="F1425" i="1"/>
  <c r="F1426" i="1" a="1"/>
  <c r="F1426" i="1" s="1"/>
  <c r="F1427" i="1" a="1"/>
  <c r="F1427" i="1"/>
  <c r="F1428" i="1" a="1"/>
  <c r="F1428" i="1" s="1"/>
  <c r="F1429" i="1" a="1"/>
  <c r="F1429" i="1"/>
  <c r="F1430" i="1" a="1"/>
  <c r="F1430" i="1" s="1"/>
  <c r="F1431" i="1" a="1"/>
  <c r="F1431" i="1"/>
  <c r="F1432" i="1" a="1"/>
  <c r="F1432" i="1" s="1"/>
  <c r="F1433" i="1" a="1"/>
  <c r="F1433" i="1"/>
  <c r="F1434" i="1" a="1"/>
  <c r="F1434" i="1" s="1"/>
  <c r="F1435" i="1" a="1"/>
  <c r="F1435" i="1"/>
  <c r="F1436" i="1" a="1"/>
  <c r="F1436" i="1" s="1"/>
  <c r="F1437" i="1" a="1"/>
  <c r="F1437" i="1"/>
  <c r="F1438" i="1" a="1"/>
  <c r="F1438" i="1" s="1"/>
  <c r="F1439" i="1" a="1"/>
  <c r="F1439" i="1"/>
  <c r="F1440" i="1" a="1"/>
  <c r="F1440" i="1" s="1"/>
  <c r="F1441" i="1" a="1"/>
  <c r="F1441" i="1"/>
  <c r="F1442" i="1" a="1"/>
  <c r="F1442" i="1" s="1"/>
  <c r="F1443" i="1" a="1"/>
  <c r="F1443" i="1"/>
  <c r="F1444" i="1" a="1"/>
  <c r="F1444" i="1" s="1"/>
  <c r="F1445" i="1" a="1"/>
  <c r="F1445" i="1"/>
  <c r="F1446" i="1" a="1"/>
  <c r="F1446" i="1" s="1"/>
  <c r="F1447" i="1" a="1"/>
  <c r="F1447" i="1"/>
  <c r="F1448" i="1" a="1"/>
  <c r="F1448" i="1" s="1"/>
  <c r="F1449" i="1" a="1"/>
  <c r="F1449" i="1"/>
  <c r="F1450" i="1" a="1"/>
  <c r="F1450" i="1" s="1"/>
  <c r="F1451" i="1" a="1"/>
  <c r="F1451" i="1"/>
  <c r="F1452" i="1" a="1"/>
  <c r="F1452" i="1" s="1"/>
  <c r="F1453" i="1" a="1"/>
  <c r="F1453" i="1"/>
  <c r="F1454" i="1" a="1"/>
  <c r="F1454" i="1" s="1"/>
  <c r="F1455" i="1" a="1"/>
  <c r="F1455" i="1"/>
  <c r="F1456" i="1" a="1"/>
  <c r="F1456" i="1" s="1"/>
  <c r="F1457" i="1" a="1"/>
  <c r="F1457" i="1"/>
  <c r="F1458" i="1" a="1"/>
  <c r="F1458" i="1" s="1"/>
  <c r="F1459" i="1" a="1"/>
  <c r="F1459" i="1"/>
  <c r="F1460" i="1" a="1"/>
  <c r="F1460" i="1" s="1"/>
  <c r="F1461" i="1" a="1"/>
  <c r="F1461" i="1"/>
  <c r="F1462" i="1" a="1"/>
  <c r="F1462" i="1" s="1"/>
  <c r="F1463" i="1" a="1"/>
  <c r="F1463" i="1"/>
  <c r="F1464" i="1" a="1"/>
  <c r="F1464" i="1" s="1"/>
  <c r="F1465" i="1" a="1"/>
  <c r="F1465" i="1"/>
  <c r="F1466" i="1" a="1"/>
  <c r="F1466" i="1" s="1"/>
  <c r="F1467" i="1" a="1"/>
  <c r="F1467" i="1"/>
  <c r="F1468" i="1" a="1"/>
  <c r="F1468" i="1" s="1"/>
  <c r="F1469" i="1" a="1"/>
  <c r="F1469" i="1"/>
  <c r="F1470" i="1" a="1"/>
  <c r="F1470" i="1" s="1"/>
  <c r="F1471" i="1" a="1"/>
  <c r="F1471" i="1"/>
  <c r="F1472" i="1" a="1"/>
  <c r="F1472" i="1" s="1"/>
  <c r="F1473" i="1" a="1"/>
  <c r="F1473" i="1"/>
  <c r="F1474" i="1" a="1"/>
  <c r="F1474" i="1" s="1"/>
  <c r="F1475" i="1" a="1"/>
  <c r="F1475" i="1"/>
  <c r="F1476" i="1" a="1"/>
  <c r="F1476" i="1" s="1"/>
  <c r="F1477" i="1" a="1"/>
  <c r="F1477" i="1" s="1"/>
  <c r="F1478" i="1" a="1"/>
  <c r="F1478" i="1" s="1"/>
  <c r="F1479" i="1" a="1"/>
  <c r="F1479" i="1"/>
  <c r="F1480" i="1" a="1"/>
  <c r="F1480" i="1" s="1"/>
  <c r="F1481" i="1" a="1"/>
  <c r="F1481" i="1"/>
  <c r="F1482" i="1" a="1"/>
  <c r="F1482" i="1" s="1"/>
  <c r="F1483" i="1" a="1"/>
  <c r="F1483" i="1"/>
  <c r="F1484" i="1" a="1"/>
  <c r="F1484" i="1" s="1"/>
  <c r="F1485" i="1" a="1"/>
  <c r="F1485" i="1" s="1"/>
  <c r="F1486" i="1" a="1"/>
  <c r="F1486" i="1" s="1"/>
  <c r="F1487" i="1" a="1"/>
  <c r="F1487" i="1" s="1"/>
  <c r="F1488" i="1" a="1"/>
  <c r="F1488" i="1" s="1"/>
  <c r="F1489" i="1" a="1"/>
  <c r="F1489" i="1"/>
  <c r="F1490" i="1" a="1"/>
  <c r="F1490" i="1" s="1"/>
  <c r="F1491" i="1" a="1"/>
  <c r="F1491" i="1"/>
  <c r="F1492" i="1" a="1"/>
  <c r="F1492" i="1" s="1"/>
  <c r="F1493" i="1" a="1"/>
  <c r="F1493" i="1" s="1"/>
  <c r="F1494" i="1" a="1"/>
  <c r="F1494" i="1" s="1"/>
  <c r="F1495" i="1" a="1"/>
  <c r="F1495" i="1"/>
  <c r="F1496" i="1" a="1"/>
  <c r="F1496" i="1" s="1"/>
  <c r="F1497" i="1" a="1"/>
  <c r="F1497" i="1"/>
  <c r="F1498" i="1" a="1"/>
  <c r="F1498" i="1" s="1"/>
  <c r="F1499" i="1" a="1"/>
  <c r="F1499" i="1"/>
  <c r="F1500" i="1" a="1"/>
  <c r="F1500" i="1" s="1"/>
  <c r="F1501" i="1" a="1"/>
  <c r="F1501" i="1" s="1"/>
  <c r="F1502" i="1" a="1"/>
  <c r="F1502" i="1" s="1"/>
  <c r="F1503" i="1" a="1"/>
  <c r="F1503" i="1"/>
  <c r="F1504" i="1" a="1"/>
  <c r="F1504" i="1" s="1"/>
  <c r="F1505" i="1" a="1"/>
  <c r="F1505" i="1"/>
  <c r="F1506" i="1" a="1"/>
  <c r="F1506" i="1" s="1"/>
  <c r="F1507" i="1" a="1"/>
  <c r="F1507" i="1"/>
  <c r="F1508" i="1" a="1"/>
  <c r="F1508" i="1" s="1"/>
  <c r="F1509" i="1" a="1"/>
  <c r="F1509" i="1" s="1"/>
  <c r="F1510" i="1" a="1"/>
  <c r="F1510" i="1" s="1"/>
  <c r="F1511" i="1" a="1"/>
  <c r="F1511" i="1"/>
  <c r="F1512" i="1" a="1"/>
  <c r="F1512" i="1" s="1"/>
  <c r="F1513" i="1" a="1"/>
  <c r="F1513" i="1"/>
  <c r="F1514" i="1" a="1"/>
  <c r="F1514" i="1" s="1"/>
  <c r="F1515" i="1" a="1"/>
  <c r="F1515" i="1"/>
  <c r="F1516" i="1" a="1"/>
  <c r="F1516" i="1" s="1"/>
  <c r="F1517" i="1" a="1"/>
  <c r="F1517" i="1" s="1"/>
  <c r="F1518" i="1" a="1"/>
  <c r="F1518" i="1" s="1"/>
  <c r="F1519" i="1" a="1"/>
  <c r="F1519" i="1" s="1"/>
  <c r="F1520" i="1" a="1"/>
  <c r="F1520" i="1" s="1"/>
  <c r="F1521" i="1" a="1"/>
  <c r="F1521" i="1"/>
  <c r="F1522" i="1" a="1"/>
  <c r="F1522" i="1" s="1"/>
  <c r="F1523" i="1" a="1"/>
  <c r="F1523" i="1"/>
  <c r="F1524" i="1" a="1"/>
  <c r="F1524" i="1" s="1"/>
  <c r="F1525" i="1" a="1"/>
  <c r="F1525" i="1" s="1"/>
  <c r="F1526" i="1" a="1"/>
  <c r="F1526" i="1" s="1"/>
  <c r="F1527" i="1" a="1"/>
  <c r="F1527" i="1"/>
  <c r="F1528" i="1" a="1"/>
  <c r="F1528" i="1" s="1"/>
  <c r="F1529" i="1" a="1"/>
  <c r="F1529" i="1"/>
  <c r="F1530" i="1" a="1"/>
  <c r="F1530" i="1" s="1"/>
  <c r="F1531" i="1" a="1"/>
  <c r="F1531" i="1" s="1"/>
  <c r="F1532" i="1" a="1"/>
  <c r="F1532" i="1" s="1"/>
  <c r="F1533" i="1" a="1"/>
  <c r="F1533" i="1" s="1"/>
  <c r="F1534" i="1" a="1"/>
  <c r="F1534" i="1" s="1"/>
  <c r="F1535" i="1" a="1"/>
  <c r="F1535" i="1"/>
  <c r="F1536" i="1" a="1"/>
  <c r="F1536" i="1" s="1"/>
  <c r="F1537" i="1" a="1"/>
  <c r="F1537" i="1"/>
  <c r="F1538" i="1" a="1"/>
  <c r="F1538" i="1" s="1"/>
  <c r="F1539" i="1" a="1"/>
  <c r="F1539" i="1"/>
  <c r="F1540" i="1" a="1"/>
  <c r="F1540" i="1" s="1"/>
  <c r="F1541" i="1" a="1"/>
  <c r="F1541" i="1" s="1"/>
  <c r="F1542" i="1" a="1"/>
  <c r="F1542" i="1" s="1"/>
  <c r="F1543" i="1" a="1"/>
  <c r="F1543" i="1"/>
  <c r="F1544" i="1" a="1"/>
  <c r="F1544" i="1" s="1"/>
  <c r="F1545" i="1" a="1"/>
  <c r="F1545" i="1"/>
  <c r="F1546" i="1" a="1"/>
  <c r="F1546" i="1" s="1"/>
  <c r="F1547" i="1" a="1"/>
  <c r="F1547" i="1" s="1"/>
  <c r="F1548" i="1" a="1"/>
  <c r="F1548" i="1" s="1"/>
  <c r="F1549" i="1" a="1"/>
  <c r="F1549" i="1" s="1"/>
  <c r="F1550" i="1" a="1"/>
  <c r="F1550" i="1" s="1"/>
  <c r="F1551" i="1" a="1"/>
  <c r="F1551" i="1"/>
  <c r="F1552" i="1" a="1"/>
  <c r="F1552" i="1" s="1"/>
  <c r="F1553" i="1" a="1"/>
  <c r="F1553" i="1"/>
  <c r="F1554" i="1" a="1"/>
  <c r="F1554" i="1" s="1"/>
  <c r="F1555" i="1" a="1"/>
  <c r="F1555" i="1"/>
  <c r="F1556" i="1" a="1"/>
  <c r="F1556" i="1" s="1"/>
  <c r="F1557" i="1" a="1"/>
  <c r="F1557" i="1" s="1"/>
  <c r="F1558" i="1" a="1"/>
  <c r="F1558" i="1" s="1"/>
  <c r="F1559" i="1" a="1"/>
  <c r="F1559" i="1"/>
  <c r="F1560" i="1" a="1"/>
  <c r="F1560" i="1" s="1"/>
  <c r="F1561" i="1" a="1"/>
  <c r="F1561" i="1"/>
  <c r="F1562" i="1" a="1"/>
  <c r="F1562" i="1" s="1"/>
  <c r="F1563" i="1" a="1"/>
  <c r="F1563" i="1" s="1"/>
  <c r="F1564" i="1" a="1"/>
  <c r="F1564" i="1" s="1"/>
  <c r="F1565" i="1" a="1"/>
  <c r="F1565" i="1" s="1"/>
  <c r="F1566" i="1" a="1"/>
  <c r="F1566" i="1" s="1"/>
  <c r="F1567" i="1" a="1"/>
  <c r="F1567" i="1" s="1"/>
  <c r="F1568" i="1" a="1"/>
  <c r="F1568" i="1" s="1"/>
  <c r="F1569" i="1" a="1"/>
  <c r="F1569" i="1"/>
  <c r="F1570" i="1" a="1"/>
  <c r="F1570" i="1" s="1"/>
  <c r="F1571" i="1" a="1"/>
  <c r="F1571" i="1"/>
  <c r="F1572" i="1" a="1"/>
  <c r="F1572" i="1" s="1"/>
  <c r="F1573" i="1" a="1"/>
  <c r="F1573" i="1" s="1"/>
  <c r="F1574" i="1" a="1"/>
  <c r="F1574" i="1" s="1"/>
  <c r="F1575" i="1" a="1"/>
  <c r="F1575" i="1"/>
  <c r="F1576" i="1" a="1"/>
  <c r="F1576" i="1" s="1"/>
  <c r="F1577" i="1" a="1"/>
  <c r="F1577" i="1"/>
  <c r="F1578" i="1" a="1"/>
  <c r="F1578" i="1" s="1"/>
  <c r="F1579" i="1" a="1"/>
  <c r="F1579" i="1" s="1"/>
  <c r="F1580" i="1" a="1"/>
  <c r="F1580" i="1" s="1"/>
  <c r="F1581" i="1" a="1"/>
  <c r="F1581" i="1" s="1"/>
  <c r="F1582" i="1" a="1"/>
  <c r="F1582" i="1" s="1"/>
  <c r="F1583" i="1" a="1"/>
  <c r="F1583" i="1" s="1"/>
  <c r="F1584" i="1" a="1"/>
  <c r="F1584" i="1" s="1"/>
  <c r="F1585" i="1" a="1"/>
  <c r="F1585" i="1"/>
  <c r="F1586" i="1" a="1"/>
  <c r="F1586" i="1" s="1"/>
  <c r="F1587" i="1" a="1"/>
  <c r="F1587" i="1"/>
  <c r="F1588" i="1" a="1"/>
  <c r="F1588" i="1" s="1"/>
  <c r="F1589" i="1" a="1"/>
  <c r="F1589" i="1" s="1"/>
  <c r="F1590" i="1" a="1"/>
  <c r="F1590" i="1" s="1"/>
  <c r="F1591" i="1" a="1"/>
  <c r="F1591" i="1"/>
  <c r="F1592" i="1" a="1"/>
  <c r="F1592" i="1" s="1"/>
  <c r="F1593" i="1" a="1"/>
  <c r="F1593" i="1"/>
  <c r="F1594" i="1" a="1"/>
  <c r="F1594" i="1" s="1"/>
  <c r="F1595" i="1" a="1"/>
  <c r="F1595" i="1" s="1"/>
  <c r="F1596" i="1" a="1"/>
  <c r="F1596" i="1" s="1"/>
  <c r="F1597" i="1" a="1"/>
  <c r="F1597" i="1" s="1"/>
  <c r="F1598" i="1" a="1"/>
  <c r="F1598" i="1" s="1"/>
  <c r="F1599" i="1" a="1"/>
  <c r="F1599" i="1"/>
  <c r="F1600" i="1" a="1"/>
  <c r="F1600" i="1" s="1"/>
  <c r="F1601" i="1" a="1"/>
  <c r="F1601" i="1"/>
  <c r="F1602" i="1" a="1"/>
  <c r="F1602" i="1" s="1"/>
  <c r="F1603" i="1" a="1"/>
  <c r="F1603" i="1"/>
  <c r="F1604" i="1" a="1"/>
  <c r="F1604" i="1" s="1"/>
  <c r="F1605" i="1" a="1"/>
  <c r="F1605" i="1" s="1"/>
  <c r="F1606" i="1" a="1"/>
  <c r="F1606" i="1" s="1"/>
  <c r="F1607" i="1" a="1"/>
  <c r="F1607" i="1"/>
  <c r="F1608" i="1" a="1"/>
  <c r="F1608" i="1" s="1"/>
  <c r="F1609" i="1" a="1"/>
  <c r="F1609" i="1"/>
  <c r="F1610" i="1" a="1"/>
  <c r="F1610" i="1" s="1"/>
  <c r="F1611" i="1" a="1"/>
  <c r="F1611" i="1" s="1"/>
  <c r="F1612" i="1" a="1"/>
  <c r="F1612" i="1" s="1"/>
  <c r="F1613" i="1" a="1"/>
  <c r="F1613" i="1" s="1"/>
  <c r="F1614" i="1" a="1"/>
  <c r="F1614" i="1" s="1"/>
  <c r="F1615" i="1" a="1"/>
  <c r="F1615" i="1"/>
  <c r="F1616" i="1" a="1"/>
  <c r="F1616" i="1" s="1"/>
  <c r="F1617" i="1" a="1"/>
  <c r="F1617" i="1"/>
  <c r="F1618" i="1" a="1"/>
  <c r="F1618" i="1" s="1"/>
  <c r="F1619" i="1" a="1"/>
  <c r="F1619" i="1"/>
  <c r="F1620" i="1" a="1"/>
  <c r="F1620" i="1" s="1"/>
  <c r="F1621" i="1" a="1"/>
  <c r="F1621" i="1" s="1"/>
  <c r="F1622" i="1" a="1"/>
  <c r="F1622" i="1" s="1"/>
  <c r="F1623" i="1" a="1"/>
  <c r="F1623" i="1"/>
  <c r="F1624" i="1" a="1"/>
  <c r="F1624" i="1" s="1"/>
  <c r="F1625" i="1" a="1"/>
  <c r="F1625" i="1"/>
  <c r="F1626" i="1" a="1"/>
  <c r="F1626" i="1" s="1"/>
  <c r="F1627" i="1" a="1"/>
  <c r="F1627" i="1" s="1"/>
  <c r="F1628" i="1" a="1"/>
  <c r="F1628" i="1" s="1"/>
  <c r="F1629" i="1" a="1"/>
  <c r="F1629" i="1" s="1"/>
  <c r="F1630" i="1" a="1"/>
  <c r="F1630" i="1" s="1"/>
  <c r="F1631" i="1" a="1"/>
  <c r="F1631" i="1"/>
  <c r="F1632" i="1" a="1"/>
  <c r="F1632" i="1" s="1"/>
  <c r="F1633" i="1" a="1"/>
  <c r="F1633" i="1"/>
  <c r="F1634" i="1" a="1"/>
  <c r="F1634" i="1" s="1"/>
  <c r="F1635" i="1" a="1"/>
  <c r="F1635" i="1"/>
  <c r="F1636" i="1" a="1"/>
  <c r="F1636" i="1" s="1"/>
  <c r="F1637" i="1" a="1"/>
  <c r="F1637" i="1" s="1"/>
  <c r="F1638" i="1" a="1"/>
  <c r="F1638" i="1" s="1"/>
  <c r="F1639" i="1" a="1"/>
  <c r="F1639" i="1"/>
  <c r="F1640" i="1" a="1"/>
  <c r="F1640" i="1" s="1"/>
  <c r="F1641" i="1" a="1"/>
  <c r="F1641" i="1"/>
  <c r="F1642" i="1" a="1"/>
  <c r="F1642" i="1" s="1"/>
  <c r="F1643" i="1" a="1"/>
  <c r="F1643" i="1" s="1"/>
  <c r="F1644" i="1" a="1"/>
  <c r="F1644" i="1"/>
  <c r="F1645" i="1" a="1"/>
  <c r="F1645" i="1"/>
  <c r="F1646" i="1" a="1"/>
  <c r="F1646" i="1" s="1"/>
  <c r="F1647" i="1" a="1"/>
  <c r="F1647" i="1" s="1"/>
  <c r="F1648" i="1" a="1"/>
  <c r="F1648" i="1"/>
  <c r="F1649" i="1" a="1"/>
  <c r="F1649" i="1" s="1"/>
  <c r="F1650" i="1" a="1"/>
  <c r="F1650" i="1" s="1"/>
  <c r="F1651" i="1" a="1"/>
  <c r="F1651" i="1" s="1"/>
  <c r="F1652" i="1" a="1"/>
  <c r="F1652" i="1" s="1"/>
  <c r="F1653" i="1" a="1"/>
  <c r="F1653" i="1"/>
  <c r="F1654" i="1" a="1"/>
  <c r="F1654" i="1" s="1"/>
  <c r="F1655" i="1" a="1"/>
  <c r="F1655" i="1"/>
  <c r="F1656" i="1" a="1"/>
  <c r="F1656" i="1" s="1"/>
  <c r="F1657" i="1" a="1"/>
  <c r="F1657" i="1"/>
  <c r="F1658" i="1" a="1"/>
  <c r="F1658" i="1" s="1"/>
  <c r="F1659" i="1" a="1"/>
  <c r="F1659" i="1"/>
  <c r="F1660" i="1" a="1"/>
  <c r="F1660" i="1"/>
  <c r="F1661" i="1" a="1"/>
  <c r="F1661" i="1" s="1"/>
  <c r="F1662" i="1" a="1"/>
  <c r="F1662" i="1" s="1"/>
  <c r="F1663" i="1" a="1"/>
  <c r="F1663" i="1" s="1"/>
  <c r="F1664" i="1" a="1"/>
  <c r="F1664" i="1"/>
  <c r="F1665" i="1" a="1"/>
  <c r="F1665" i="1" s="1"/>
  <c r="F1666" i="1" a="1"/>
  <c r="F1666" i="1" s="1"/>
  <c r="F1667" i="1" a="1"/>
  <c r="F1667" i="1"/>
  <c r="F1668" i="1" a="1"/>
  <c r="F1668" i="1"/>
  <c r="F1669" i="1" a="1"/>
  <c r="F1669" i="1" s="1"/>
  <c r="F1670" i="1" a="1"/>
  <c r="F1670" i="1" s="1"/>
  <c r="F1671" i="1" a="1"/>
  <c r="F1671" i="1"/>
  <c r="F1672" i="1" a="1"/>
  <c r="F1672" i="1" s="1"/>
  <c r="F1673" i="1" a="1"/>
  <c r="F1673" i="1"/>
  <c r="F1674" i="1" a="1"/>
  <c r="F1674" i="1" s="1"/>
  <c r="F1675" i="1" a="1"/>
  <c r="F1675" i="1" s="1"/>
  <c r="F1676" i="1" a="1"/>
  <c r="F1676" i="1"/>
  <c r="F1677" i="1" a="1"/>
  <c r="F1677" i="1"/>
  <c r="F1678" i="1" a="1"/>
  <c r="F1678" i="1" s="1"/>
  <c r="F1679" i="1" a="1"/>
  <c r="F1679" i="1" s="1"/>
  <c r="F1680" i="1" a="1"/>
  <c r="F1680" i="1"/>
  <c r="F1681" i="1" a="1"/>
  <c r="F1681" i="1" s="1"/>
  <c r="F1682" i="1" a="1"/>
  <c r="F1682" i="1" s="1"/>
  <c r="F1683" i="1" a="1"/>
  <c r="F1683" i="1"/>
  <c r="F1684" i="1" a="1"/>
  <c r="F1684" i="1" s="1"/>
  <c r="F1685" i="1" a="1"/>
  <c r="F1685" i="1"/>
  <c r="F1686" i="1" a="1"/>
  <c r="F1686" i="1" s="1"/>
  <c r="F1687" i="1" a="1"/>
  <c r="F1687" i="1"/>
  <c r="F1688" i="1" a="1"/>
  <c r="F1688" i="1" s="1"/>
  <c r="F1689" i="1" a="1"/>
  <c r="F1689" i="1"/>
  <c r="F1690" i="1" a="1"/>
  <c r="F1690" i="1" s="1"/>
  <c r="F1691" i="1" a="1"/>
  <c r="F1691" i="1"/>
  <c r="F1692" i="1" a="1"/>
  <c r="F1692" i="1" s="1"/>
  <c r="F1693" i="1" a="1"/>
  <c r="F1693" i="1" s="1"/>
  <c r="F1694" i="1" a="1"/>
  <c r="F1694" i="1" s="1"/>
  <c r="F1695" i="1" a="1"/>
  <c r="F1695" i="1" s="1"/>
  <c r="F1696" i="1" a="1"/>
  <c r="F1696" i="1"/>
  <c r="F1697" i="1" a="1"/>
  <c r="F1697" i="1" s="1"/>
  <c r="F1698" i="1" a="1"/>
  <c r="F1698" i="1" s="1"/>
  <c r="F1699" i="1" a="1"/>
  <c r="F1699" i="1"/>
  <c r="F1700" i="1" a="1"/>
  <c r="F1700" i="1"/>
  <c r="F1701" i="1" a="1"/>
  <c r="F1701" i="1"/>
  <c r="F1702" i="1" a="1"/>
  <c r="F1702" i="1" s="1"/>
  <c r="F1703" i="1" a="1"/>
  <c r="F1703" i="1"/>
  <c r="F1704" i="1" a="1"/>
  <c r="F1704" i="1" s="1"/>
  <c r="F1705" i="1" a="1"/>
  <c r="F1705" i="1"/>
  <c r="F1706" i="1" a="1"/>
  <c r="F1706" i="1" s="1"/>
  <c r="F1707" i="1" a="1"/>
  <c r="F1707" i="1" s="1"/>
  <c r="F1708" i="1" a="1"/>
  <c r="F1708" i="1"/>
  <c r="F1709" i="1" a="1"/>
  <c r="F1709" i="1"/>
  <c r="F1710" i="1" a="1"/>
  <c r="F1710" i="1" s="1"/>
  <c r="F1711" i="1" a="1"/>
  <c r="F1711" i="1" s="1"/>
  <c r="F1712" i="1" a="1"/>
  <c r="F1712" i="1"/>
  <c r="F1713" i="1" a="1"/>
  <c r="F1713" i="1" s="1"/>
  <c r="F1714" i="1" a="1"/>
  <c r="F1714" i="1" s="1"/>
  <c r="F1715" i="1" a="1"/>
  <c r="F1715" i="1"/>
  <c r="F1716" i="1" a="1"/>
  <c r="F1716" i="1" s="1"/>
  <c r="F1717" i="1" a="1"/>
  <c r="F1717" i="1"/>
  <c r="F1718" i="1" a="1"/>
  <c r="F1718" i="1" s="1"/>
  <c r="F1719" i="1" a="1"/>
  <c r="F1719" i="1"/>
  <c r="F1720" i="1" a="1"/>
  <c r="F1720" i="1" s="1"/>
  <c r="F1721" i="1" a="1"/>
  <c r="F1721" i="1"/>
  <c r="F1722" i="1" a="1"/>
  <c r="F1722" i="1" s="1"/>
  <c r="F1723" i="1" a="1"/>
  <c r="F1723" i="1"/>
  <c r="F1724" i="1" a="1"/>
  <c r="F1724" i="1"/>
  <c r="F1725" i="1" a="1"/>
  <c r="F1725" i="1" s="1"/>
  <c r="F1726" i="1" a="1"/>
  <c r="F1726" i="1" s="1"/>
  <c r="F1727" i="1" a="1"/>
  <c r="F1727" i="1" s="1"/>
  <c r="F1728" i="1" a="1"/>
  <c r="F1728" i="1"/>
  <c r="F1729" i="1" a="1"/>
  <c r="F1729" i="1" s="1"/>
  <c r="F1730" i="1" a="1"/>
  <c r="F1730" i="1" s="1"/>
  <c r="F1731" i="1" a="1"/>
  <c r="F1731" i="1"/>
  <c r="F1732" i="1" a="1"/>
  <c r="F1732" i="1"/>
  <c r="F1733" i="1" a="1"/>
  <c r="F1733" i="1" s="1"/>
  <c r="F1734" i="1" a="1"/>
  <c r="F1734" i="1" s="1"/>
  <c r="F1735" i="1" a="1"/>
  <c r="F1735" i="1"/>
  <c r="F1736" i="1" a="1"/>
  <c r="F1736" i="1" s="1"/>
  <c r="F1737" i="1" a="1"/>
  <c r="F1737" i="1"/>
  <c r="F1738" i="1" a="1"/>
  <c r="F1738" i="1" s="1"/>
  <c r="F1739" i="1" a="1"/>
  <c r="F1739" i="1" s="1"/>
  <c r="F1740" i="1" a="1"/>
  <c r="F1740" i="1"/>
  <c r="F1741" i="1" a="1"/>
  <c r="F1741" i="1"/>
  <c r="F1742" i="1" a="1"/>
  <c r="F1742" i="1" s="1"/>
  <c r="F1743" i="1" a="1"/>
  <c r="F1743" i="1" s="1"/>
  <c r="F1744" i="1" a="1"/>
  <c r="F1744" i="1"/>
  <c r="F1745" i="1" a="1"/>
  <c r="F1745" i="1" s="1"/>
  <c r="F1746" i="1" a="1"/>
  <c r="F1746" i="1" s="1"/>
  <c r="F1747" i="1" a="1"/>
  <c r="F1747" i="1" s="1"/>
  <c r="F1748" i="1" a="1"/>
  <c r="F1748" i="1" s="1"/>
  <c r="F1749" i="1" a="1"/>
  <c r="F1749" i="1"/>
  <c r="F1750" i="1" a="1"/>
  <c r="F1750" i="1" s="1"/>
  <c r="F1751" i="1" a="1"/>
  <c r="F1751" i="1"/>
  <c r="F1752" i="1" a="1"/>
  <c r="F1752" i="1" s="1"/>
  <c r="F1753" i="1" a="1"/>
  <c r="F1753" i="1"/>
  <c r="F1754" i="1" a="1"/>
  <c r="F1754" i="1" s="1"/>
  <c r="F1755" i="1" a="1"/>
  <c r="F1755" i="1"/>
  <c r="F1756" i="1" a="1"/>
  <c r="F1756" i="1" s="1"/>
  <c r="F1757" i="1" a="1"/>
  <c r="F1757" i="1" s="1"/>
  <c r="F1758" i="1" a="1"/>
  <c r="F1758" i="1" s="1"/>
  <c r="F1759" i="1" a="1"/>
  <c r="F1759" i="1" s="1"/>
  <c r="F1760" i="1" a="1"/>
  <c r="F1760" i="1"/>
  <c r="F1761" i="1" a="1"/>
  <c r="F1761" i="1" s="1"/>
  <c r="F1762" i="1" a="1"/>
  <c r="F1762" i="1" s="1"/>
  <c r="F1763" i="1" a="1"/>
  <c r="F1763" i="1"/>
  <c r="F1764" i="1" a="1"/>
  <c r="F1764" i="1"/>
  <c r="F1765" i="1" a="1"/>
  <c r="F1765" i="1" s="1"/>
  <c r="F1766" i="1" a="1"/>
  <c r="F1766" i="1" s="1"/>
  <c r="F1767" i="1" a="1"/>
  <c r="F1767" i="1"/>
  <c r="F1768" i="1" a="1"/>
  <c r="F1768" i="1" s="1"/>
  <c r="F1769" i="1" a="1"/>
  <c r="F1769" i="1"/>
  <c r="F1770" i="1" a="1"/>
  <c r="F1770" i="1" s="1"/>
  <c r="F1771" i="1" a="1"/>
  <c r="F1771" i="1" s="1"/>
  <c r="F1772" i="1" a="1"/>
  <c r="F1772" i="1"/>
  <c r="F1773" i="1" a="1"/>
  <c r="F1773" i="1"/>
  <c r="F1774" i="1" a="1"/>
  <c r="F1774" i="1" s="1"/>
  <c r="F1775" i="1" a="1"/>
  <c r="F1775" i="1" s="1"/>
  <c r="F1776" i="1" a="1"/>
  <c r="F1776" i="1"/>
  <c r="F1777" i="1" a="1"/>
  <c r="F1777" i="1" s="1"/>
  <c r="F1778" i="1" a="1"/>
  <c r="F1778" i="1" s="1"/>
  <c r="F1779" i="1" a="1"/>
  <c r="F1779" i="1"/>
  <c r="F1780" i="1" a="1"/>
  <c r="F1780" i="1" s="1"/>
  <c r="F1781" i="1" a="1"/>
  <c r="F1781" i="1"/>
  <c r="F1782" i="1" a="1"/>
  <c r="F1782" i="1" s="1"/>
  <c r="F1783" i="1" a="1"/>
  <c r="F1783" i="1"/>
  <c r="F1784" i="1" a="1"/>
  <c r="F1784" i="1" s="1"/>
  <c r="F1785" i="1" a="1"/>
  <c r="F1785" i="1"/>
  <c r="F1786" i="1" a="1"/>
  <c r="F1786" i="1" s="1"/>
  <c r="F1787" i="1" a="1"/>
  <c r="F1787" i="1"/>
  <c r="F1788" i="1" a="1"/>
  <c r="F1788" i="1"/>
  <c r="F1789" i="1" a="1"/>
  <c r="F1789" i="1" s="1"/>
  <c r="F1790" i="1" a="1"/>
  <c r="F1790" i="1" s="1"/>
  <c r="F1791" i="1" a="1"/>
  <c r="F1791" i="1" s="1"/>
  <c r="F1792" i="1" a="1"/>
  <c r="F1792" i="1"/>
  <c r="F1793" i="1" a="1"/>
  <c r="F1793" i="1" s="1"/>
  <c r="F1794" i="1" a="1"/>
  <c r="F1794" i="1" s="1"/>
  <c r="F1795" i="1" a="1"/>
  <c r="F1795" i="1"/>
  <c r="F1796" i="1" a="1"/>
  <c r="F1796" i="1"/>
  <c r="F1797" i="1" a="1"/>
  <c r="F1797" i="1"/>
  <c r="F1798" i="1" a="1"/>
  <c r="F1798" i="1" s="1"/>
  <c r="F1799" i="1" a="1"/>
  <c r="F1799" i="1"/>
  <c r="F1800" i="1" a="1"/>
  <c r="F1800" i="1" s="1"/>
  <c r="F1801" i="1" a="1"/>
  <c r="F1801" i="1"/>
  <c r="F1802" i="1" a="1"/>
  <c r="F1802" i="1" s="1"/>
  <c r="F1803" i="1" a="1"/>
  <c r="F1803" i="1" s="1"/>
  <c r="F1804" i="1" a="1"/>
  <c r="F1804" i="1"/>
  <c r="F1805" i="1" a="1"/>
  <c r="F1805" i="1"/>
  <c r="F1806" i="1" a="1"/>
  <c r="F1806" i="1" s="1"/>
  <c r="F1807" i="1" a="1"/>
  <c r="F1807" i="1" s="1"/>
  <c r="F1808" i="1" a="1"/>
  <c r="F1808" i="1"/>
  <c r="F1809" i="1" a="1"/>
  <c r="F1809" i="1" s="1"/>
  <c r="F1810" i="1" a="1"/>
  <c r="F1810" i="1" s="1"/>
  <c r="F1811" i="1" a="1"/>
  <c r="F1811" i="1" s="1"/>
  <c r="F1812" i="1" a="1"/>
  <c r="F1812" i="1" s="1"/>
  <c r="F1813" i="1" a="1"/>
  <c r="F1813" i="1"/>
  <c r="F1814" i="1" a="1"/>
  <c r="F1814" i="1" s="1"/>
  <c r="F1815" i="1" a="1"/>
  <c r="F1815" i="1"/>
  <c r="F1816" i="1" a="1"/>
  <c r="F1816" i="1" s="1"/>
  <c r="F1817" i="1" a="1"/>
  <c r="F1817" i="1"/>
  <c r="F1818" i="1" a="1"/>
  <c r="F1818" i="1" s="1"/>
  <c r="F1819" i="1" a="1"/>
  <c r="F1819" i="1"/>
  <c r="F1820" i="1" a="1"/>
  <c r="F1820" i="1" s="1"/>
  <c r="F1821" i="1" a="1"/>
  <c r="F1821" i="1" s="1"/>
  <c r="F1822" i="1" a="1"/>
  <c r="F1822" i="1" s="1"/>
  <c r="F1823" i="1" a="1"/>
  <c r="F1823" i="1" s="1"/>
  <c r="F1824" i="1" a="1"/>
  <c r="F1824" i="1"/>
  <c r="F1825" i="1" a="1"/>
  <c r="F1825" i="1" s="1"/>
  <c r="F1826" i="1" a="1"/>
  <c r="F1826" i="1" s="1"/>
  <c r="F1827" i="1" a="1"/>
  <c r="F1827" i="1"/>
  <c r="F1828" i="1" a="1"/>
  <c r="F1828" i="1"/>
  <c r="F1829" i="1" a="1"/>
  <c r="F1829" i="1"/>
  <c r="F1830" i="1" a="1"/>
  <c r="F1830" i="1" s="1"/>
  <c r="F1831" i="1" a="1"/>
  <c r="F1831" i="1"/>
  <c r="F1832" i="1" a="1"/>
  <c r="F1832" i="1" s="1"/>
  <c r="F1833" i="1" a="1"/>
  <c r="F1833" i="1"/>
  <c r="F1834" i="1" a="1"/>
  <c r="F1834" i="1" s="1"/>
  <c r="F1835" i="1" a="1"/>
  <c r="F1835" i="1" s="1"/>
  <c r="F1836" i="1" a="1"/>
  <c r="F1836" i="1"/>
  <c r="F1837" i="1" a="1"/>
  <c r="F1837" i="1"/>
  <c r="F1838" i="1" a="1"/>
  <c r="F1838" i="1" s="1"/>
  <c r="F1839" i="1" a="1"/>
  <c r="F1839" i="1" s="1"/>
  <c r="F1840" i="1" a="1"/>
  <c r="F1840" i="1"/>
  <c r="F1841" i="1" a="1"/>
  <c r="F1841" i="1" s="1"/>
  <c r="F1842" i="1" a="1"/>
  <c r="F1842" i="1" s="1"/>
  <c r="F1843" i="1" a="1"/>
  <c r="F1843" i="1"/>
  <c r="F1844" i="1" a="1"/>
  <c r="F1844" i="1" s="1"/>
  <c r="F1845" i="1" a="1"/>
  <c r="F1845" i="1"/>
  <c r="F1846" i="1" a="1"/>
  <c r="F1846" i="1" s="1"/>
  <c r="F1847" i="1" a="1"/>
  <c r="F1847" i="1"/>
  <c r="F1848" i="1" a="1"/>
  <c r="F1848" i="1" s="1"/>
  <c r="F1849" i="1" a="1"/>
  <c r="F1849" i="1"/>
  <c r="F1850" i="1" a="1"/>
  <c r="F1850" i="1" s="1"/>
  <c r="F1851" i="1" a="1"/>
  <c r="F1851" i="1"/>
  <c r="F1852" i="1" a="1"/>
  <c r="F1852" i="1" s="1"/>
  <c r="F1853" i="1" a="1"/>
  <c r="F1853" i="1" s="1"/>
  <c r="F1854" i="1" a="1"/>
  <c r="F1854" i="1" s="1"/>
  <c r="F1855" i="1" a="1"/>
  <c r="F1855" i="1" s="1"/>
  <c r="F1856" i="1" a="1"/>
  <c r="F1856" i="1"/>
  <c r="F1857" i="1" a="1"/>
  <c r="F1857" i="1" s="1"/>
  <c r="F1858" i="1" a="1"/>
  <c r="F1858" i="1" s="1"/>
  <c r="F1859" i="1" a="1"/>
  <c r="F1859" i="1"/>
  <c r="F1860" i="1" a="1"/>
  <c r="F1860" i="1"/>
  <c r="F1861" i="1" a="1"/>
  <c r="F1861" i="1" s="1"/>
  <c r="F1862" i="1" a="1"/>
  <c r="F1862" i="1" s="1"/>
  <c r="F1863" i="1" a="1"/>
  <c r="F1863" i="1"/>
  <c r="F1864" i="1" a="1"/>
  <c r="F1864" i="1" s="1"/>
  <c r="F1865" i="1" a="1"/>
  <c r="F1865" i="1"/>
  <c r="F1866" i="1" a="1"/>
  <c r="F1866" i="1" s="1"/>
  <c r="F1867" i="1" a="1"/>
  <c r="F1867" i="1" s="1"/>
  <c r="F1868" i="1" a="1"/>
  <c r="F1868" i="1"/>
  <c r="F1869" i="1" a="1"/>
  <c r="F1869" i="1"/>
  <c r="F1870" i="1" a="1"/>
  <c r="F1870" i="1" s="1"/>
  <c r="F1871" i="1" a="1"/>
  <c r="F1871" i="1" s="1"/>
  <c r="F1872" i="1" a="1"/>
  <c r="F1872" i="1"/>
  <c r="F1873" i="1" a="1"/>
  <c r="F1873" i="1" s="1"/>
  <c r="F1874" i="1" a="1"/>
  <c r="F1874" i="1" s="1"/>
  <c r="F1875" i="1" a="1"/>
  <c r="F1875" i="1" s="1"/>
  <c r="F1876" i="1" a="1"/>
  <c r="F1876" i="1" s="1"/>
  <c r="F1877" i="1" a="1"/>
  <c r="F1877" i="1"/>
  <c r="F1878" i="1" a="1"/>
  <c r="F1878" i="1" s="1"/>
  <c r="F1879" i="1" a="1"/>
  <c r="F1879" i="1"/>
  <c r="F1880" i="1" a="1"/>
  <c r="F1880" i="1" s="1"/>
  <c r="F1881" i="1" a="1"/>
  <c r="F1881" i="1"/>
  <c r="F1882" i="1" a="1"/>
  <c r="F1882" i="1" s="1"/>
  <c r="F1883" i="1" a="1"/>
  <c r="F1883" i="1"/>
  <c r="F1884" i="1" a="1"/>
  <c r="F1884" i="1"/>
  <c r="F1885" i="1" a="1"/>
  <c r="F1885" i="1" s="1"/>
  <c r="F1886" i="1" a="1"/>
  <c r="F1886" i="1" s="1"/>
  <c r="F1887" i="1" a="1"/>
  <c r="F1887" i="1" s="1"/>
  <c r="F1888" i="1" a="1"/>
  <c r="F1888" i="1"/>
  <c r="F1889" i="1" a="1"/>
  <c r="F1889" i="1" s="1"/>
  <c r="F1890" i="1" a="1"/>
  <c r="F1890" i="1" s="1"/>
  <c r="F1891" i="1" a="1"/>
  <c r="F1891" i="1"/>
  <c r="F1892" i="1" a="1"/>
  <c r="F1892" i="1"/>
  <c r="F1893" i="1" a="1"/>
  <c r="F1893" i="1"/>
  <c r="F1894" i="1" a="1"/>
  <c r="F1894" i="1" s="1"/>
  <c r="F1895" i="1" a="1"/>
  <c r="F1895" i="1"/>
  <c r="F1896" i="1" a="1"/>
  <c r="F1896" i="1" s="1"/>
  <c r="F1897" i="1" a="1"/>
  <c r="F1897" i="1"/>
  <c r="F1898" i="1" a="1"/>
  <c r="F1898" i="1" s="1"/>
  <c r="F1899" i="1" a="1"/>
  <c r="F1899" i="1" s="1"/>
  <c r="F1900" i="1" a="1"/>
  <c r="F1900" i="1"/>
  <c r="F1901" i="1" a="1"/>
  <c r="F1901" i="1"/>
  <c r="F1902" i="1" a="1"/>
  <c r="F1902" i="1" s="1"/>
  <c r="F1903" i="1" a="1"/>
  <c r="F1903" i="1" s="1"/>
  <c r="F1904" i="1" a="1"/>
  <c r="F1904" i="1"/>
  <c r="F1905" i="1" a="1"/>
  <c r="F1905" i="1" s="1"/>
  <c r="F1906" i="1" a="1"/>
  <c r="F1906" i="1" s="1"/>
  <c r="F1907" i="1" a="1"/>
  <c r="F1907" i="1" s="1"/>
  <c r="F1908" i="1" a="1"/>
  <c r="F1908" i="1" s="1"/>
  <c r="F1909" i="1" a="1"/>
  <c r="F1909" i="1"/>
  <c r="F1910" i="1" a="1"/>
  <c r="F1910" i="1" s="1"/>
  <c r="F1911" i="1" a="1"/>
  <c r="F1911" i="1"/>
  <c r="F1912" i="1" a="1"/>
  <c r="F1912" i="1" s="1"/>
  <c r="F1913" i="1" a="1"/>
  <c r="F1913" i="1"/>
  <c r="F1914" i="1" a="1"/>
  <c r="F1914" i="1" s="1"/>
  <c r="F1915" i="1" a="1"/>
  <c r="F1915" i="1"/>
  <c r="F1916" i="1" a="1"/>
  <c r="F1916" i="1"/>
  <c r="F1917" i="1" a="1"/>
  <c r="F1917" i="1" s="1"/>
  <c r="F1918" i="1" a="1"/>
  <c r="F1918" i="1" s="1"/>
  <c r="F1919" i="1" a="1"/>
  <c r="F1919" i="1" s="1"/>
  <c r="F1920" i="1" a="1"/>
  <c r="F1920" i="1"/>
  <c r="F1921" i="1" a="1"/>
  <c r="F1921" i="1" s="1"/>
  <c r="F1922" i="1" a="1"/>
  <c r="F1922" i="1" s="1"/>
  <c r="F1923" i="1" a="1"/>
  <c r="F1923" i="1"/>
  <c r="F1924" i="1" a="1"/>
  <c r="F1924" i="1"/>
  <c r="F1925" i="1" a="1"/>
  <c r="F1925" i="1" s="1"/>
  <c r="F1926" i="1" a="1"/>
  <c r="F1926" i="1" s="1"/>
  <c r="F1927" i="1" a="1"/>
  <c r="F1927" i="1"/>
  <c r="F1928" i="1" a="1"/>
  <c r="F1928" i="1" s="1"/>
  <c r="F1929" i="1" a="1"/>
  <c r="F1929" i="1"/>
  <c r="F1930" i="1" a="1"/>
  <c r="F1930" i="1" s="1"/>
  <c r="F1931" i="1" a="1"/>
  <c r="F1931" i="1" s="1"/>
  <c r="F1932" i="1" a="1"/>
  <c r="F1932" i="1"/>
  <c r="F1933" i="1" a="1"/>
  <c r="F1933" i="1"/>
  <c r="F1934" i="1" a="1"/>
  <c r="F1934" i="1" s="1"/>
  <c r="F1935" i="1" a="1"/>
  <c r="F1935" i="1" s="1"/>
  <c r="F1936" i="1" a="1"/>
  <c r="F1936" i="1"/>
  <c r="F1937" i="1" a="1"/>
  <c r="F1937" i="1" s="1"/>
  <c r="F1938" i="1" a="1"/>
  <c r="F1938" i="1" s="1"/>
  <c r="F1939" i="1" a="1"/>
  <c r="F1939" i="1"/>
  <c r="F1940" i="1" a="1"/>
  <c r="F1940" i="1" s="1"/>
  <c r="F1941" i="1" a="1"/>
  <c r="F1941" i="1"/>
  <c r="F1942" i="1" a="1"/>
  <c r="F1942" i="1" s="1"/>
  <c r="F1943" i="1" a="1"/>
  <c r="F1943" i="1"/>
  <c r="F1944" i="1" a="1"/>
  <c r="F1944" i="1" s="1"/>
  <c r="F1945" i="1" a="1"/>
  <c r="F1945" i="1"/>
  <c r="F1946" i="1" a="1"/>
  <c r="F1946" i="1" s="1"/>
  <c r="F1947" i="1" a="1"/>
  <c r="F1947" i="1"/>
  <c r="F1948" i="1" a="1"/>
  <c r="F1948" i="1" s="1"/>
  <c r="F1949" i="1" a="1"/>
  <c r="F1949" i="1" s="1"/>
  <c r="F1950" i="1" a="1"/>
  <c r="F1950" i="1" s="1"/>
  <c r="F1951" i="1" a="1"/>
  <c r="F1951" i="1" s="1"/>
  <c r="F1952" i="1" a="1"/>
  <c r="F1952" i="1"/>
  <c r="F1953" i="1" a="1"/>
  <c r="F1953" i="1" s="1"/>
  <c r="F1954" i="1" a="1"/>
  <c r="F1954" i="1" s="1"/>
  <c r="F1955" i="1" a="1"/>
  <c r="F1955" i="1"/>
  <c r="F1956" i="1" a="1"/>
  <c r="F1956" i="1"/>
  <c r="F1957" i="1" a="1"/>
  <c r="F1957" i="1"/>
  <c r="F1958" i="1" a="1"/>
  <c r="F1958" i="1" s="1"/>
  <c r="F1959" i="1" a="1"/>
  <c r="F1959" i="1"/>
  <c r="F1960" i="1" a="1"/>
  <c r="F1960" i="1" s="1"/>
  <c r="F1961" i="1" a="1"/>
  <c r="F1961" i="1"/>
  <c r="F1962" i="1" a="1"/>
  <c r="F1962" i="1" s="1"/>
  <c r="F1963" i="1" a="1"/>
  <c r="F1963" i="1" s="1"/>
  <c r="F1964" i="1" a="1"/>
  <c r="F1964" i="1"/>
  <c r="F1965" i="1" a="1"/>
  <c r="F1965" i="1"/>
  <c r="F1966" i="1" a="1"/>
  <c r="F1966" i="1" s="1"/>
  <c r="F1967" i="1" a="1"/>
  <c r="F1967" i="1" s="1"/>
  <c r="F1968" i="1" a="1"/>
  <c r="F1968" i="1"/>
  <c r="F1969" i="1" a="1"/>
  <c r="F1969" i="1" s="1"/>
  <c r="F1970" i="1" a="1"/>
  <c r="F1970" i="1" s="1"/>
  <c r="F1971" i="1" a="1"/>
  <c r="F1971" i="1"/>
  <c r="F1972" i="1" a="1"/>
  <c r="F1972" i="1" s="1"/>
  <c r="F1973" i="1" a="1"/>
  <c r="F1973" i="1"/>
  <c r="F1974" i="1" a="1"/>
  <c r="F1974" i="1" s="1"/>
  <c r="F1975" i="1" a="1"/>
  <c r="F1975" i="1"/>
  <c r="F1976" i="1" a="1"/>
  <c r="F1976" i="1" s="1"/>
  <c r="F1977" i="1" a="1"/>
  <c r="F1977" i="1"/>
  <c r="F1978" i="1" a="1"/>
  <c r="F1978" i="1" s="1"/>
  <c r="F1979" i="1" a="1"/>
  <c r="F1979" i="1"/>
  <c r="F1980" i="1" a="1"/>
  <c r="F1980" i="1"/>
  <c r="F1981" i="1" a="1"/>
  <c r="F1981" i="1" s="1"/>
  <c r="F1982" i="1" a="1"/>
  <c r="F1982" i="1" s="1"/>
  <c r="F1983" i="1" a="1"/>
  <c r="F1983" i="1" s="1"/>
  <c r="F1984" i="1" a="1"/>
  <c r="F1984" i="1"/>
  <c r="F1985" i="1" a="1"/>
  <c r="F1985" i="1" s="1"/>
  <c r="F1986" i="1" a="1"/>
  <c r="F1986" i="1" s="1"/>
  <c r="F1987" i="1" a="1"/>
  <c r="F1987" i="1"/>
  <c r="F1988" i="1" a="1"/>
  <c r="F1988" i="1"/>
  <c r="F1989" i="1" a="1"/>
  <c r="F1989" i="1" s="1"/>
  <c r="F1990" i="1" a="1"/>
  <c r="F1990" i="1" s="1"/>
  <c r="F1991" i="1" a="1"/>
  <c r="F1991" i="1"/>
  <c r="F1992" i="1" a="1"/>
  <c r="F1992" i="1" s="1"/>
  <c r="F1993" i="1" a="1"/>
  <c r="F1993" i="1"/>
  <c r="F1994" i="1" a="1"/>
  <c r="F1994" i="1" s="1"/>
  <c r="F1995" i="1" a="1"/>
  <c r="F1995" i="1" s="1"/>
  <c r="F1996" i="1" a="1"/>
  <c r="F1996" i="1"/>
  <c r="F1997" i="1" a="1"/>
  <c r="F1997" i="1"/>
  <c r="F1998" i="1" a="1"/>
  <c r="F1998" i="1" s="1"/>
  <c r="F1999" i="1" a="1"/>
  <c r="F1999" i="1" s="1"/>
  <c r="F2000" i="1" a="1"/>
  <c r="F2000" i="1"/>
  <c r="F2001" i="1" a="1"/>
  <c r="F2001" i="1" s="1"/>
  <c r="A13" i="4"/>
  <c r="V9" i="1" a="1"/>
  <c r="V9"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C183" i="1"/>
  <c r="M183" i="1"/>
  <c r="N183" i="1"/>
  <c r="C252" i="1"/>
  <c r="M252" i="1"/>
  <c r="N252" i="1"/>
  <c r="C906" i="1"/>
  <c r="M906" i="1"/>
  <c r="N906" i="1"/>
  <c r="C1087" i="1"/>
  <c r="M1087" i="1"/>
  <c r="N1087" i="1"/>
  <c r="C1104" i="1"/>
  <c r="M1104" i="1"/>
  <c r="N1104" i="1"/>
  <c r="C1202" i="1"/>
  <c r="M1202" i="1"/>
  <c r="N1202" i="1"/>
  <c r="C1568" i="1"/>
  <c r="M1568" i="1"/>
  <c r="N1568" i="1"/>
  <c r="C1654" i="1"/>
  <c r="M1654" i="1"/>
  <c r="N1654" i="1"/>
  <c r="C1826" i="1"/>
  <c r="M1826" i="1"/>
  <c r="N1826" i="1"/>
  <c r="C1852" i="1"/>
  <c r="M1852" i="1"/>
  <c r="N1852" i="1"/>
  <c r="C1918" i="1"/>
  <c r="M1918" i="1"/>
  <c r="N1918" i="1"/>
  <c r="C12" i="1"/>
  <c r="M12" i="1"/>
  <c r="N12" i="1"/>
  <c r="C13" i="1"/>
  <c r="M13" i="1"/>
  <c r="N13" i="1"/>
  <c r="C14" i="1"/>
  <c r="M14" i="1"/>
  <c r="N14" i="1"/>
  <c r="C15" i="1"/>
  <c r="M15" i="1"/>
  <c r="N15" i="1"/>
  <c r="C16" i="1"/>
  <c r="M16" i="1"/>
  <c r="N16" i="1"/>
  <c r="C17" i="1"/>
  <c r="M17" i="1"/>
  <c r="N17" i="1"/>
  <c r="K7" i="4"/>
  <c r="N3" i="1"/>
  <c r="N4" i="1"/>
  <c r="N5" i="1"/>
  <c r="N6" i="1"/>
  <c r="N7" i="1"/>
  <c r="N8" i="1"/>
  <c r="N9" i="1"/>
  <c r="N10" i="1"/>
  <c r="N11"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8" i="1"/>
  <c r="N1089" i="1"/>
  <c r="N1090" i="1"/>
  <c r="N1091" i="1"/>
  <c r="N1092" i="1"/>
  <c r="N1093" i="1"/>
  <c r="N1094" i="1"/>
  <c r="N1095" i="1"/>
  <c r="N1096" i="1"/>
  <c r="N1097" i="1"/>
  <c r="N1098" i="1"/>
  <c r="N1099" i="1"/>
  <c r="N1100" i="1"/>
  <c r="N1101" i="1"/>
  <c r="N1102" i="1"/>
  <c r="N1103"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 r="M3" i="1"/>
  <c r="M4" i="1"/>
  <c r="M5" i="1"/>
  <c r="M6" i="1"/>
  <c r="M7" i="1"/>
  <c r="M8" i="1"/>
  <c r="M9" i="1"/>
  <c r="M10" i="1"/>
  <c r="M11"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8" i="1"/>
  <c r="M1089" i="1"/>
  <c r="M1090" i="1"/>
  <c r="M1091" i="1"/>
  <c r="M1092" i="1"/>
  <c r="M1093" i="1"/>
  <c r="M1094" i="1"/>
  <c r="M1095" i="1"/>
  <c r="M1096" i="1"/>
  <c r="M1097" i="1"/>
  <c r="M1098" i="1"/>
  <c r="M1099" i="1"/>
  <c r="M1100" i="1"/>
  <c r="M1101" i="1"/>
  <c r="M1102" i="1"/>
  <c r="M1103"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 r="C3" i="1"/>
  <c r="C4" i="1"/>
  <c r="C5" i="1"/>
  <c r="C6" i="1"/>
  <c r="C7" i="1"/>
  <c r="C8" i="1"/>
  <c r="C9" i="1"/>
  <c r="C10" i="1"/>
  <c r="C11"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8" i="1"/>
  <c r="C1089" i="1"/>
  <c r="C1090" i="1"/>
  <c r="C1091" i="1"/>
  <c r="C1092" i="1"/>
  <c r="C1093" i="1"/>
  <c r="C1094" i="1"/>
  <c r="C1095" i="1"/>
  <c r="C1096" i="1"/>
  <c r="C1097" i="1"/>
  <c r="C1098" i="1"/>
  <c r="C1099" i="1"/>
  <c r="C1100" i="1"/>
  <c r="C1101" i="1"/>
  <c r="C1102" i="1"/>
  <c r="C1103"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 i="1"/>
  <c r="A3" i="3"/>
  <c r="O1087" i="1" l="1"/>
  <c r="S1087" i="1" s="1"/>
  <c r="O1654" i="1"/>
  <c r="S1654" i="1" s="1"/>
  <c r="O1202" i="1"/>
  <c r="S1202" i="1" s="1"/>
  <c r="O1826" i="1"/>
  <c r="S1826" i="1" s="1"/>
  <c r="O1568" i="1"/>
  <c r="S1568" i="1" s="1"/>
  <c r="O1104" i="1"/>
  <c r="S1104" i="1" s="1"/>
  <c r="O1852" i="1"/>
  <c r="S1852" i="1" s="1"/>
  <c r="O1918" i="1"/>
  <c r="S1918" i="1" s="1"/>
  <c r="O252" i="1"/>
  <c r="S252" i="1" s="1"/>
  <c r="O183" i="1"/>
  <c r="S183" i="1" s="1"/>
  <c r="O906" i="1"/>
  <c r="S906" i="1" s="1"/>
  <c r="O12" i="1"/>
  <c r="S12" i="1" s="1"/>
  <c r="O15" i="1"/>
  <c r="S15" i="1" s="1"/>
  <c r="O13" i="1"/>
  <c r="S13" i="1" s="1"/>
  <c r="O14" i="1"/>
  <c r="S14" i="1" s="1"/>
  <c r="O16" i="1"/>
  <c r="S16" i="1" s="1"/>
  <c r="O17" i="1"/>
  <c r="S17" i="1" s="1"/>
  <c r="O1383" i="1"/>
  <c r="S1383" i="1" s="1"/>
  <c r="O1008" i="1"/>
  <c r="S1008" i="1" s="1"/>
  <c r="O881" i="1"/>
  <c r="S881" i="1" s="1"/>
  <c r="O825" i="1"/>
  <c r="S825" i="1" s="1"/>
  <c r="O809" i="1"/>
  <c r="S809" i="1" s="1"/>
  <c r="O714" i="1"/>
  <c r="S714" i="1" s="1"/>
  <c r="O706" i="1"/>
  <c r="S706" i="1" s="1"/>
  <c r="O515" i="1"/>
  <c r="S515" i="1" s="1"/>
  <c r="O491" i="1"/>
  <c r="S491" i="1" s="1"/>
  <c r="O419" i="1"/>
  <c r="S419" i="1" s="1"/>
  <c r="O387" i="1"/>
  <c r="S387" i="1" s="1"/>
  <c r="O363" i="1"/>
  <c r="S363" i="1" s="1"/>
  <c r="O211" i="1"/>
  <c r="S211" i="1" s="1"/>
  <c r="O131" i="1"/>
  <c r="S131" i="1" s="1"/>
  <c r="O2" i="1"/>
  <c r="S2" i="1" s="1"/>
  <c r="O1994" i="1"/>
  <c r="S1994" i="1" s="1"/>
  <c r="O1986" i="1"/>
  <c r="S1986" i="1" s="1"/>
  <c r="O1978" i="1"/>
  <c r="S1978" i="1" s="1"/>
  <c r="O1970" i="1"/>
  <c r="S1970" i="1" s="1"/>
  <c r="O1962" i="1"/>
  <c r="S1962" i="1" s="1"/>
  <c r="O1954" i="1"/>
  <c r="S1954" i="1" s="1"/>
  <c r="O1946" i="1"/>
  <c r="S1946" i="1" s="1"/>
  <c r="O1938" i="1"/>
  <c r="S1938" i="1" s="1"/>
  <c r="O1930" i="1"/>
  <c r="S1930" i="1" s="1"/>
  <c r="O1923" i="1"/>
  <c r="S1923" i="1" s="1"/>
  <c r="O1915" i="1"/>
  <c r="S1915" i="1" s="1"/>
  <c r="O1908" i="1"/>
  <c r="S1908" i="1" s="1"/>
  <c r="O1900" i="1"/>
  <c r="S1900" i="1" s="1"/>
  <c r="O1892" i="1"/>
  <c r="S1892" i="1" s="1"/>
  <c r="O1884" i="1"/>
  <c r="S1884" i="1" s="1"/>
  <c r="O1876" i="1"/>
  <c r="S1876" i="1" s="1"/>
  <c r="O1869" i="1"/>
  <c r="S1869" i="1" s="1"/>
  <c r="O1861" i="1"/>
  <c r="S1861" i="1" s="1"/>
  <c r="O1853" i="1"/>
  <c r="S1853" i="1" s="1"/>
  <c r="O1846" i="1"/>
  <c r="S1846" i="1" s="1"/>
  <c r="O1838" i="1"/>
  <c r="S1838" i="1" s="1"/>
  <c r="O1830" i="1"/>
  <c r="S1830" i="1" s="1"/>
  <c r="O1822" i="1"/>
  <c r="S1822" i="1" s="1"/>
  <c r="O1814" i="1"/>
  <c r="S1814" i="1" s="1"/>
  <c r="O1806" i="1"/>
  <c r="S1806" i="1" s="1"/>
  <c r="O1798" i="1"/>
  <c r="S1798" i="1" s="1"/>
  <c r="O1791" i="1"/>
  <c r="S1791" i="1" s="1"/>
  <c r="O1783" i="1"/>
  <c r="S1783" i="1" s="1"/>
  <c r="O1775" i="1"/>
  <c r="S1775" i="1" s="1"/>
  <c r="O1767" i="1"/>
  <c r="S1767" i="1" s="1"/>
  <c r="O1759" i="1"/>
  <c r="S1759" i="1" s="1"/>
  <c r="O1751" i="1"/>
  <c r="S1751" i="1" s="1"/>
  <c r="O1743" i="1"/>
  <c r="S1743" i="1" s="1"/>
  <c r="O1735" i="1"/>
  <c r="S1735" i="1" s="1"/>
  <c r="O1727" i="1"/>
  <c r="S1727" i="1" s="1"/>
  <c r="O1720" i="1"/>
  <c r="S1720" i="1" s="1"/>
  <c r="O1712" i="1"/>
  <c r="S1712" i="1" s="1"/>
  <c r="O1704" i="1"/>
  <c r="S1704" i="1" s="1"/>
  <c r="O1696" i="1"/>
  <c r="S1696" i="1" s="1"/>
  <c r="O1681" i="1"/>
  <c r="S1681" i="1" s="1"/>
  <c r="O1673" i="1"/>
  <c r="S1673" i="1" s="1"/>
  <c r="O1666" i="1"/>
  <c r="S1666" i="1" s="1"/>
  <c r="O1658" i="1"/>
  <c r="S1658" i="1" s="1"/>
  <c r="O1650" i="1"/>
  <c r="S1650" i="1" s="1"/>
  <c r="O1642" i="1"/>
  <c r="S1642" i="1" s="1"/>
  <c r="O1635" i="1"/>
  <c r="S1635" i="1" s="1"/>
  <c r="O1627" i="1"/>
  <c r="S1627" i="1" s="1"/>
  <c r="O1619" i="1"/>
  <c r="S1619" i="1" s="1"/>
  <c r="O1611" i="1"/>
  <c r="S1611" i="1" s="1"/>
  <c r="O1603" i="1"/>
  <c r="S1603" i="1" s="1"/>
  <c r="O1595" i="1"/>
  <c r="S1595" i="1" s="1"/>
  <c r="O1587" i="1"/>
  <c r="S1587" i="1" s="1"/>
  <c r="O1579" i="1"/>
  <c r="S1579" i="1" s="1"/>
  <c r="O1571" i="1"/>
  <c r="S1571" i="1" s="1"/>
  <c r="O1563" i="1"/>
  <c r="S1563" i="1" s="1"/>
  <c r="O1555" i="1"/>
  <c r="S1555" i="1" s="1"/>
  <c r="O1540" i="1"/>
  <c r="S1540" i="1" s="1"/>
  <c r="O1532" i="1"/>
  <c r="S1532" i="1" s="1"/>
  <c r="O1524" i="1"/>
  <c r="S1524" i="1" s="1"/>
  <c r="O1516" i="1"/>
  <c r="S1516" i="1" s="1"/>
  <c r="O1508" i="1"/>
  <c r="S1508" i="1" s="1"/>
  <c r="O1500" i="1"/>
  <c r="S1500" i="1" s="1"/>
  <c r="O1492" i="1"/>
  <c r="S1492" i="1" s="1"/>
  <c r="O1484" i="1"/>
  <c r="S1484" i="1" s="1"/>
  <c r="O1477" i="1"/>
  <c r="S1477" i="1" s="1"/>
  <c r="O1469" i="1"/>
  <c r="S1469" i="1" s="1"/>
  <c r="O1461" i="1"/>
  <c r="S1461" i="1" s="1"/>
  <c r="O1453" i="1"/>
  <c r="S1453" i="1" s="1"/>
  <c r="O1445" i="1"/>
  <c r="S1445" i="1" s="1"/>
  <c r="O1437" i="1"/>
  <c r="S1437" i="1" s="1"/>
  <c r="O1429" i="1"/>
  <c r="S1429" i="1" s="1"/>
  <c r="O1421" i="1"/>
  <c r="S1421" i="1" s="1"/>
  <c r="O1413" i="1"/>
  <c r="S1413" i="1" s="1"/>
  <c r="O1405" i="1"/>
  <c r="S1405" i="1" s="1"/>
  <c r="O1397" i="1"/>
  <c r="S1397" i="1" s="1"/>
  <c r="O1389" i="1"/>
  <c r="S1389" i="1" s="1"/>
  <c r="O1381" i="1"/>
  <c r="S1381" i="1" s="1"/>
  <c r="O1373" i="1"/>
  <c r="S1373" i="1" s="1"/>
  <c r="O1365" i="1"/>
  <c r="S1365" i="1" s="1"/>
  <c r="O1358" i="1"/>
  <c r="S1358" i="1" s="1"/>
  <c r="O1350" i="1"/>
  <c r="S1350" i="1" s="1"/>
  <c r="O1342" i="1"/>
  <c r="S1342" i="1" s="1"/>
  <c r="O1334" i="1"/>
  <c r="S1334" i="1" s="1"/>
  <c r="O1326" i="1"/>
  <c r="S1326" i="1" s="1"/>
  <c r="O1318" i="1"/>
  <c r="S1318" i="1" s="1"/>
  <c r="O1310" i="1"/>
  <c r="S1310" i="1" s="1"/>
  <c r="O1277" i="1"/>
  <c r="S1277" i="1" s="1"/>
  <c r="O1021" i="1"/>
  <c r="S1021" i="1" s="1"/>
  <c r="O910" i="1"/>
  <c r="S910" i="1" s="1"/>
  <c r="O798" i="1"/>
  <c r="S798" i="1" s="1"/>
  <c r="O727" i="1"/>
  <c r="S727" i="1" s="1"/>
  <c r="O1935" i="1"/>
  <c r="S1935" i="1" s="1"/>
  <c r="O1873" i="1"/>
  <c r="S1873" i="1" s="1"/>
  <c r="O1811" i="1"/>
  <c r="S1811" i="1" s="1"/>
  <c r="O1529" i="1"/>
  <c r="S1529" i="1" s="1"/>
  <c r="O1363" i="1"/>
  <c r="S1363" i="1" s="1"/>
  <c r="O1331" i="1"/>
  <c r="S1331" i="1" s="1"/>
  <c r="O1291" i="1"/>
  <c r="S1291" i="1" s="1"/>
  <c r="O1275" i="1"/>
  <c r="S1275" i="1" s="1"/>
  <c r="O1075" i="1"/>
  <c r="S1075" i="1" s="1"/>
  <c r="O1027" i="1"/>
  <c r="S1027" i="1" s="1"/>
  <c r="O1019" i="1"/>
  <c r="S1019" i="1" s="1"/>
  <c r="O971" i="1"/>
  <c r="S971" i="1" s="1"/>
  <c r="O852" i="1"/>
  <c r="S852" i="1" s="1"/>
  <c r="O828" i="1"/>
  <c r="S828" i="1" s="1"/>
  <c r="O820" i="1"/>
  <c r="S820" i="1" s="1"/>
  <c r="O621" i="1"/>
  <c r="S621" i="1" s="1"/>
  <c r="O566" i="1"/>
  <c r="S566" i="1" s="1"/>
  <c r="O558" i="1"/>
  <c r="S558" i="1" s="1"/>
  <c r="O502" i="1"/>
  <c r="S502" i="1" s="1"/>
  <c r="O406" i="1"/>
  <c r="S406" i="1" s="1"/>
  <c r="O342" i="1"/>
  <c r="S342" i="1" s="1"/>
  <c r="O310" i="1"/>
  <c r="S310" i="1" s="1"/>
  <c r="O246" i="1"/>
  <c r="S246" i="1" s="1"/>
  <c r="O182" i="1"/>
  <c r="S182" i="1" s="1"/>
  <c r="O158" i="1"/>
  <c r="S158" i="1" s="1"/>
  <c r="O126" i="1"/>
  <c r="S126" i="1" s="1"/>
  <c r="O86" i="1"/>
  <c r="S86" i="1" s="1"/>
  <c r="O217" i="1"/>
  <c r="S217" i="1" s="1"/>
  <c r="O369" i="1"/>
  <c r="S369" i="1" s="1"/>
  <c r="O281" i="1"/>
  <c r="S281" i="1" s="1"/>
  <c r="O193" i="1"/>
  <c r="S193" i="1" s="1"/>
  <c r="O345" i="1"/>
  <c r="S345" i="1" s="1"/>
  <c r="O305" i="1"/>
  <c r="S305" i="1" s="1"/>
  <c r="O241" i="1"/>
  <c r="S241" i="1" s="1"/>
  <c r="O538" i="1"/>
  <c r="S538" i="1" s="1"/>
  <c r="O309" i="1"/>
  <c r="S309" i="1" s="1"/>
  <c r="O1995" i="1"/>
  <c r="S1995" i="1" s="1"/>
  <c r="O1987" i="1"/>
  <c r="S1987" i="1" s="1"/>
  <c r="O1979" i="1"/>
  <c r="S1979" i="1" s="1"/>
  <c r="O1971" i="1"/>
  <c r="S1971" i="1" s="1"/>
  <c r="O1963" i="1"/>
  <c r="S1963" i="1" s="1"/>
  <c r="O1955" i="1"/>
  <c r="S1955" i="1" s="1"/>
  <c r="O1947" i="1"/>
  <c r="S1947" i="1" s="1"/>
  <c r="O1939" i="1"/>
  <c r="S1939" i="1" s="1"/>
  <c r="O1931" i="1"/>
  <c r="S1931" i="1" s="1"/>
  <c r="O1924" i="1"/>
  <c r="S1924" i="1" s="1"/>
  <c r="O1302" i="1"/>
  <c r="S1302" i="1" s="1"/>
  <c r="O1294" i="1"/>
  <c r="S1294" i="1" s="1"/>
  <c r="O1286" i="1"/>
  <c r="S1286" i="1" s="1"/>
  <c r="O1278" i="1"/>
  <c r="S1278" i="1" s="1"/>
  <c r="O1270" i="1"/>
  <c r="S1270" i="1" s="1"/>
  <c r="O1262" i="1"/>
  <c r="S1262" i="1" s="1"/>
  <c r="O1254" i="1"/>
  <c r="S1254" i="1" s="1"/>
  <c r="O1246" i="1"/>
  <c r="S1246" i="1" s="1"/>
  <c r="O1238" i="1"/>
  <c r="S1238" i="1" s="1"/>
  <c r="O1230" i="1"/>
  <c r="S1230" i="1" s="1"/>
  <c r="O1222" i="1"/>
  <c r="S1222" i="1" s="1"/>
  <c r="O1214" i="1"/>
  <c r="S1214" i="1" s="1"/>
  <c r="O1206" i="1"/>
  <c r="S1206" i="1" s="1"/>
  <c r="O1198" i="1"/>
  <c r="S1198" i="1" s="1"/>
  <c r="O1190" i="1"/>
  <c r="S1190" i="1" s="1"/>
  <c r="O1182" i="1"/>
  <c r="S1182" i="1" s="1"/>
  <c r="O1174" i="1"/>
  <c r="S1174" i="1" s="1"/>
  <c r="O1166" i="1"/>
  <c r="S1166" i="1" s="1"/>
  <c r="O1158" i="1"/>
  <c r="S1158" i="1" s="1"/>
  <c r="O1150" i="1"/>
  <c r="S1150" i="1" s="1"/>
  <c r="O1142" i="1"/>
  <c r="S1142" i="1" s="1"/>
  <c r="O1134" i="1"/>
  <c r="S1134" i="1" s="1"/>
  <c r="O1126" i="1"/>
  <c r="S1126" i="1" s="1"/>
  <c r="O1118" i="1"/>
  <c r="S1118" i="1" s="1"/>
  <c r="O1110" i="1"/>
  <c r="S1110" i="1" s="1"/>
  <c r="O1102" i="1"/>
  <c r="S1102" i="1" s="1"/>
  <c r="O1094" i="1"/>
  <c r="S1094" i="1" s="1"/>
  <c r="O1086" i="1"/>
  <c r="S1086" i="1" s="1"/>
  <c r="O1078" i="1"/>
  <c r="S1078" i="1" s="1"/>
  <c r="O1070" i="1"/>
  <c r="S1070" i="1" s="1"/>
  <c r="O1062" i="1"/>
  <c r="S1062" i="1" s="1"/>
  <c r="O1054" i="1"/>
  <c r="S1054" i="1" s="1"/>
  <c r="O1046" i="1"/>
  <c r="S1046" i="1" s="1"/>
  <c r="O1944" i="1"/>
  <c r="S1944" i="1" s="1"/>
  <c r="O1921" i="1"/>
  <c r="S1921" i="1" s="1"/>
  <c r="O1906" i="1"/>
  <c r="S1906" i="1" s="1"/>
  <c r="O1812" i="1"/>
  <c r="S1812" i="1" s="1"/>
  <c r="O1796" i="1"/>
  <c r="S1796" i="1" s="1"/>
  <c r="O1435" i="1"/>
  <c r="S1435" i="1" s="1"/>
  <c r="O1757" i="1"/>
  <c r="S1757" i="1" s="1"/>
  <c r="O1749" i="1"/>
  <c r="S1749" i="1" s="1"/>
  <c r="O1718" i="1"/>
  <c r="S1718" i="1" s="1"/>
  <c r="O1702" i="1"/>
  <c r="S1702" i="1" s="1"/>
  <c r="O1694" i="1"/>
  <c r="S1694" i="1" s="1"/>
  <c r="O1664" i="1"/>
  <c r="S1664" i="1" s="1"/>
  <c r="O1656" i="1"/>
  <c r="S1656" i="1" s="1"/>
  <c r="O1625" i="1"/>
  <c r="S1625" i="1" s="1"/>
  <c r="O1601" i="1"/>
  <c r="S1601" i="1" s="1"/>
  <c r="O1553" i="1"/>
  <c r="S1553" i="1" s="1"/>
  <c r="O1459" i="1"/>
  <c r="S1459" i="1" s="1"/>
  <c r="O1403" i="1"/>
  <c r="S1403" i="1" s="1"/>
  <c r="O853" i="1"/>
  <c r="S853" i="1" s="1"/>
  <c r="O1916" i="1"/>
  <c r="S1916" i="1" s="1"/>
  <c r="O1909" i="1"/>
  <c r="S1909" i="1" s="1"/>
  <c r="O1901" i="1"/>
  <c r="S1901" i="1" s="1"/>
  <c r="O1893" i="1"/>
  <c r="S1893" i="1" s="1"/>
  <c r="O1885" i="1"/>
  <c r="S1885" i="1" s="1"/>
  <c r="O1877" i="1"/>
  <c r="S1877" i="1" s="1"/>
  <c r="O1870" i="1"/>
  <c r="S1870" i="1" s="1"/>
  <c r="O1862" i="1"/>
  <c r="S1862" i="1" s="1"/>
  <c r="O1854" i="1"/>
  <c r="S1854" i="1" s="1"/>
  <c r="O1847" i="1"/>
  <c r="S1847" i="1" s="1"/>
  <c r="O1839" i="1"/>
  <c r="S1839" i="1" s="1"/>
  <c r="O1831" i="1"/>
  <c r="S1831" i="1" s="1"/>
  <c r="O1823" i="1"/>
  <c r="S1823" i="1" s="1"/>
  <c r="O1815" i="1"/>
  <c r="S1815" i="1" s="1"/>
  <c r="O1807" i="1"/>
  <c r="S1807" i="1" s="1"/>
  <c r="O1799" i="1"/>
  <c r="S1799" i="1" s="1"/>
  <c r="O1792" i="1"/>
  <c r="S1792" i="1" s="1"/>
  <c r="O1784" i="1"/>
  <c r="S1784" i="1" s="1"/>
  <c r="O1776" i="1"/>
  <c r="S1776" i="1" s="1"/>
  <c r="O1768" i="1"/>
  <c r="S1768" i="1" s="1"/>
  <c r="O1760" i="1"/>
  <c r="S1760" i="1" s="1"/>
  <c r="O1752" i="1"/>
  <c r="S1752" i="1" s="1"/>
  <c r="O1744" i="1"/>
  <c r="S1744" i="1" s="1"/>
  <c r="O1736" i="1"/>
  <c r="S1736" i="1" s="1"/>
  <c r="O1728" i="1"/>
  <c r="S1728" i="1" s="1"/>
  <c r="O1713" i="1"/>
  <c r="S1713" i="1" s="1"/>
  <c r="O1705" i="1"/>
  <c r="S1705" i="1" s="1"/>
  <c r="O1697" i="1"/>
  <c r="S1697" i="1" s="1"/>
  <c r="O1689" i="1"/>
  <c r="S1689" i="1" s="1"/>
  <c r="O1682" i="1"/>
  <c r="S1682" i="1" s="1"/>
  <c r="O1674" i="1"/>
  <c r="S1674" i="1" s="1"/>
  <c r="O1667" i="1"/>
  <c r="S1667" i="1" s="1"/>
  <c r="O1659" i="1"/>
  <c r="S1659" i="1" s="1"/>
  <c r="O1651" i="1"/>
  <c r="S1651" i="1" s="1"/>
  <c r="O1643" i="1"/>
  <c r="S1643" i="1" s="1"/>
  <c r="O1628" i="1"/>
  <c r="S1628" i="1" s="1"/>
  <c r="O1620" i="1"/>
  <c r="S1620" i="1" s="1"/>
  <c r="O1612" i="1"/>
  <c r="S1612" i="1" s="1"/>
  <c r="O1604" i="1"/>
  <c r="S1604" i="1" s="1"/>
  <c r="O1596" i="1"/>
  <c r="S1596" i="1" s="1"/>
  <c r="O1588" i="1"/>
  <c r="S1588" i="1" s="1"/>
  <c r="O1580" i="1"/>
  <c r="S1580" i="1" s="1"/>
  <c r="O1572" i="1"/>
  <c r="S1572" i="1" s="1"/>
  <c r="O1564" i="1"/>
  <c r="S1564" i="1" s="1"/>
  <c r="O1556" i="1"/>
  <c r="S1556" i="1" s="1"/>
  <c r="O1548" i="1"/>
  <c r="S1548" i="1" s="1"/>
  <c r="O1541" i="1"/>
  <c r="S1541" i="1" s="1"/>
  <c r="O1533" i="1"/>
  <c r="S1533" i="1" s="1"/>
  <c r="O1525" i="1"/>
  <c r="S1525" i="1" s="1"/>
  <c r="O1517" i="1"/>
  <c r="S1517" i="1" s="1"/>
  <c r="O1509" i="1"/>
  <c r="S1509" i="1" s="1"/>
  <c r="O1501" i="1"/>
  <c r="S1501" i="1" s="1"/>
  <c r="O1493" i="1"/>
  <c r="S1493" i="1" s="1"/>
  <c r="O1485" i="1"/>
  <c r="S1485" i="1" s="1"/>
  <c r="O1478" i="1"/>
  <c r="S1478" i="1" s="1"/>
  <c r="O1470" i="1"/>
  <c r="S1470" i="1" s="1"/>
  <c r="O1462" i="1"/>
  <c r="S1462" i="1" s="1"/>
  <c r="O1454" i="1"/>
  <c r="S1454" i="1" s="1"/>
  <c r="O1446" i="1"/>
  <c r="S1446" i="1" s="1"/>
  <c r="O1438" i="1"/>
  <c r="S1438" i="1" s="1"/>
  <c r="O1430" i="1"/>
  <c r="S1430" i="1" s="1"/>
  <c r="O1422" i="1"/>
  <c r="S1422" i="1" s="1"/>
  <c r="O1414" i="1"/>
  <c r="S1414" i="1" s="1"/>
  <c r="O1406" i="1"/>
  <c r="S1406" i="1" s="1"/>
  <c r="O1398" i="1"/>
  <c r="S1398" i="1" s="1"/>
  <c r="O1390" i="1"/>
  <c r="S1390" i="1" s="1"/>
  <c r="O1382" i="1"/>
  <c r="S1382" i="1" s="1"/>
  <c r="O1374" i="1"/>
  <c r="S1374" i="1" s="1"/>
  <c r="O1366" i="1"/>
  <c r="S1366" i="1" s="1"/>
  <c r="O1359" i="1"/>
  <c r="S1359" i="1" s="1"/>
  <c r="O1351" i="1"/>
  <c r="S1351" i="1" s="1"/>
  <c r="O1343" i="1"/>
  <c r="S1343" i="1" s="1"/>
  <c r="O1335" i="1"/>
  <c r="S1335" i="1" s="1"/>
  <c r="O1327" i="1"/>
  <c r="S1327" i="1" s="1"/>
  <c r="O1319" i="1"/>
  <c r="S1319" i="1" s="1"/>
  <c r="O1311" i="1"/>
  <c r="S1311" i="1" s="1"/>
  <c r="O1303" i="1"/>
  <c r="S1303" i="1" s="1"/>
  <c r="O1295" i="1"/>
  <c r="S1295" i="1" s="1"/>
  <c r="O1287" i="1"/>
  <c r="S1287" i="1" s="1"/>
  <c r="O1279" i="1"/>
  <c r="S1279" i="1" s="1"/>
  <c r="O1271" i="1"/>
  <c r="S1271" i="1" s="1"/>
  <c r="O1263" i="1"/>
  <c r="S1263" i="1" s="1"/>
  <c r="O1255" i="1"/>
  <c r="S1255" i="1" s="1"/>
  <c r="O1247" i="1"/>
  <c r="S1247" i="1" s="1"/>
  <c r="O1239" i="1"/>
  <c r="S1239" i="1" s="1"/>
  <c r="O1231" i="1"/>
  <c r="S1231" i="1" s="1"/>
  <c r="O1223" i="1"/>
  <c r="S1223" i="1" s="1"/>
  <c r="O1215" i="1"/>
  <c r="S1215" i="1" s="1"/>
  <c r="O1207" i="1"/>
  <c r="S1207" i="1" s="1"/>
  <c r="O1199" i="1"/>
  <c r="S1199" i="1" s="1"/>
  <c r="O1191" i="1"/>
  <c r="S1191" i="1" s="1"/>
  <c r="O1183" i="1"/>
  <c r="S1183" i="1" s="1"/>
  <c r="O1175" i="1"/>
  <c r="S1175" i="1" s="1"/>
  <c r="O1167" i="1"/>
  <c r="S1167" i="1" s="1"/>
  <c r="O1159" i="1"/>
  <c r="S1159" i="1" s="1"/>
  <c r="O1151" i="1"/>
  <c r="S1151" i="1" s="1"/>
  <c r="O1143" i="1"/>
  <c r="S1143" i="1" s="1"/>
  <c r="O1135" i="1"/>
  <c r="S1135" i="1" s="1"/>
  <c r="O1127" i="1"/>
  <c r="S1127" i="1" s="1"/>
  <c r="O1119" i="1"/>
  <c r="S1119" i="1" s="1"/>
  <c r="O1111" i="1"/>
  <c r="S1111" i="1" s="1"/>
  <c r="O1103" i="1"/>
  <c r="S1103" i="1" s="1"/>
  <c r="O1095" i="1"/>
  <c r="S1095" i="1" s="1"/>
  <c r="O1079" i="1"/>
  <c r="S1079" i="1" s="1"/>
  <c r="O1071" i="1"/>
  <c r="S1071" i="1" s="1"/>
  <c r="O1063" i="1"/>
  <c r="S1063" i="1" s="1"/>
  <c r="O1055" i="1"/>
  <c r="S1055" i="1" s="1"/>
  <c r="O1047" i="1"/>
  <c r="S1047" i="1" s="1"/>
  <c r="O1039" i="1"/>
  <c r="S1039" i="1" s="1"/>
  <c r="O1031" i="1"/>
  <c r="S1031" i="1" s="1"/>
  <c r="O1023" i="1"/>
  <c r="S1023" i="1" s="1"/>
  <c r="O1015" i="1"/>
  <c r="S1015" i="1" s="1"/>
  <c r="O1007" i="1"/>
  <c r="S1007" i="1" s="1"/>
  <c r="O999" i="1"/>
  <c r="S999" i="1" s="1"/>
  <c r="O991" i="1"/>
  <c r="S991" i="1" s="1"/>
  <c r="O983" i="1"/>
  <c r="S983" i="1" s="1"/>
  <c r="O975" i="1"/>
  <c r="S975" i="1" s="1"/>
  <c r="O960" i="1"/>
  <c r="S960" i="1" s="1"/>
  <c r="O952" i="1"/>
  <c r="S952" i="1" s="1"/>
  <c r="O944" i="1"/>
  <c r="S944" i="1" s="1"/>
  <c r="O936" i="1"/>
  <c r="S936" i="1" s="1"/>
  <c r="O928" i="1"/>
  <c r="S928" i="1" s="1"/>
  <c r="O920" i="1"/>
  <c r="S920" i="1" s="1"/>
  <c r="O912" i="1"/>
  <c r="S912" i="1" s="1"/>
  <c r="O904" i="1"/>
  <c r="S904" i="1" s="1"/>
  <c r="O896" i="1"/>
  <c r="S896" i="1" s="1"/>
  <c r="O888" i="1"/>
  <c r="S888" i="1" s="1"/>
  <c r="O880" i="1"/>
  <c r="S880" i="1" s="1"/>
  <c r="O872" i="1"/>
  <c r="S872" i="1" s="1"/>
  <c r="O864" i="1"/>
  <c r="S864" i="1" s="1"/>
  <c r="O856" i="1"/>
  <c r="S856" i="1" s="1"/>
  <c r="O848" i="1"/>
  <c r="S848" i="1" s="1"/>
  <c r="O840" i="1"/>
  <c r="S840" i="1" s="1"/>
  <c r="O832" i="1"/>
  <c r="S832" i="1" s="1"/>
  <c r="O824" i="1"/>
  <c r="S824" i="1" s="1"/>
  <c r="O816" i="1"/>
  <c r="S816" i="1" s="1"/>
  <c r="O808" i="1"/>
  <c r="S808" i="1" s="1"/>
  <c r="O800" i="1"/>
  <c r="S800" i="1" s="1"/>
  <c r="O793" i="1"/>
  <c r="S793" i="1" s="1"/>
  <c r="O785" i="1"/>
  <c r="S785" i="1" s="1"/>
  <c r="O777" i="1"/>
  <c r="S777" i="1" s="1"/>
  <c r="O769" i="1"/>
  <c r="S769" i="1" s="1"/>
  <c r="O761" i="1"/>
  <c r="S761" i="1" s="1"/>
  <c r="O753" i="1"/>
  <c r="S753" i="1" s="1"/>
  <c r="O745" i="1"/>
  <c r="S745" i="1" s="1"/>
  <c r="O737" i="1"/>
  <c r="S737" i="1" s="1"/>
  <c r="O729" i="1"/>
  <c r="S729" i="1" s="1"/>
  <c r="O721" i="1"/>
  <c r="S721" i="1" s="1"/>
  <c r="O713" i="1"/>
  <c r="S713" i="1" s="1"/>
  <c r="O705" i="1"/>
  <c r="S705" i="1" s="1"/>
  <c r="O697" i="1"/>
  <c r="S697" i="1" s="1"/>
  <c r="O689" i="1"/>
  <c r="S689" i="1" s="1"/>
  <c r="O681" i="1"/>
  <c r="S681" i="1" s="1"/>
  <c r="O673" i="1"/>
  <c r="S673" i="1" s="1"/>
  <c r="O665" i="1"/>
  <c r="S665" i="1" s="1"/>
  <c r="O657" i="1"/>
  <c r="S657" i="1" s="1"/>
  <c r="O649" i="1"/>
  <c r="S649" i="1" s="1"/>
  <c r="O641" i="1"/>
  <c r="S641" i="1" s="1"/>
  <c r="O633" i="1"/>
  <c r="S633" i="1" s="1"/>
  <c r="O625" i="1"/>
  <c r="S625" i="1" s="1"/>
  <c r="O617" i="1"/>
  <c r="S617" i="1" s="1"/>
  <c r="O609" i="1"/>
  <c r="S609" i="1" s="1"/>
  <c r="O601" i="1"/>
  <c r="S601" i="1" s="1"/>
  <c r="O593" i="1"/>
  <c r="S593" i="1" s="1"/>
  <c r="O586" i="1"/>
  <c r="S586" i="1" s="1"/>
  <c r="O1038" i="1"/>
  <c r="S1038" i="1" s="1"/>
  <c r="O1030" i="1"/>
  <c r="S1030" i="1" s="1"/>
  <c r="O1022" i="1"/>
  <c r="S1022" i="1" s="1"/>
  <c r="O1014" i="1"/>
  <c r="S1014" i="1" s="1"/>
  <c r="O1006" i="1"/>
  <c r="S1006" i="1" s="1"/>
  <c r="O998" i="1"/>
  <c r="S998" i="1" s="1"/>
  <c r="O990" i="1"/>
  <c r="S990" i="1" s="1"/>
  <c r="O982" i="1"/>
  <c r="S982" i="1" s="1"/>
  <c r="O974" i="1"/>
  <c r="S974" i="1" s="1"/>
  <c r="O967" i="1"/>
  <c r="S967" i="1" s="1"/>
  <c r="O959" i="1"/>
  <c r="S959" i="1" s="1"/>
  <c r="O951" i="1"/>
  <c r="S951" i="1" s="1"/>
  <c r="O943" i="1"/>
  <c r="S943" i="1" s="1"/>
  <c r="O935" i="1"/>
  <c r="S935" i="1" s="1"/>
  <c r="O927" i="1"/>
  <c r="S927" i="1" s="1"/>
  <c r="O919" i="1"/>
  <c r="S919" i="1" s="1"/>
  <c r="O911" i="1"/>
  <c r="S911" i="1" s="1"/>
  <c r="O903" i="1"/>
  <c r="S903" i="1" s="1"/>
  <c r="O895" i="1"/>
  <c r="S895" i="1" s="1"/>
  <c r="O887" i="1"/>
  <c r="S887" i="1" s="1"/>
  <c r="O879" i="1"/>
  <c r="S879" i="1" s="1"/>
  <c r="O871" i="1"/>
  <c r="S871" i="1" s="1"/>
  <c r="O863" i="1"/>
  <c r="S863" i="1" s="1"/>
  <c r="O855" i="1"/>
  <c r="S855" i="1" s="1"/>
  <c r="O847" i="1"/>
  <c r="S847" i="1" s="1"/>
  <c r="O839" i="1"/>
  <c r="S839" i="1" s="1"/>
  <c r="O831" i="1"/>
  <c r="S831" i="1" s="1"/>
  <c r="O823" i="1"/>
  <c r="S823" i="1" s="1"/>
  <c r="O815" i="1"/>
  <c r="S815" i="1" s="1"/>
  <c r="O807" i="1"/>
  <c r="S807" i="1" s="1"/>
  <c r="O799" i="1"/>
  <c r="S799" i="1" s="1"/>
  <c r="O792" i="1"/>
  <c r="S792" i="1" s="1"/>
  <c r="O784" i="1"/>
  <c r="S784" i="1" s="1"/>
  <c r="O776" i="1"/>
  <c r="S776" i="1" s="1"/>
  <c r="O768" i="1"/>
  <c r="S768" i="1" s="1"/>
  <c r="O760" i="1"/>
  <c r="S760" i="1" s="1"/>
  <c r="O752" i="1"/>
  <c r="S752" i="1" s="1"/>
  <c r="O744" i="1"/>
  <c r="S744" i="1" s="1"/>
  <c r="O736" i="1"/>
  <c r="S736" i="1" s="1"/>
  <c r="O728" i="1"/>
  <c r="S728" i="1" s="1"/>
  <c r="O720" i="1"/>
  <c r="S720" i="1" s="1"/>
  <c r="O712" i="1"/>
  <c r="S712" i="1" s="1"/>
  <c r="O704" i="1"/>
  <c r="S704" i="1" s="1"/>
  <c r="O696" i="1"/>
  <c r="S696" i="1" s="1"/>
  <c r="O688" i="1"/>
  <c r="S688" i="1" s="1"/>
  <c r="O680" i="1"/>
  <c r="S680" i="1" s="1"/>
  <c r="O672" i="1"/>
  <c r="S672" i="1" s="1"/>
  <c r="O664" i="1"/>
  <c r="S664" i="1" s="1"/>
  <c r="O656" i="1"/>
  <c r="S656" i="1" s="1"/>
  <c r="O648" i="1"/>
  <c r="S648" i="1" s="1"/>
  <c r="O640" i="1"/>
  <c r="S640" i="1" s="1"/>
  <c r="O632" i="1"/>
  <c r="S632" i="1" s="1"/>
  <c r="O624" i="1"/>
  <c r="S624" i="1" s="1"/>
  <c r="O616" i="1"/>
  <c r="S616" i="1" s="1"/>
  <c r="O608" i="1"/>
  <c r="S608" i="1" s="1"/>
  <c r="O600" i="1"/>
  <c r="S600" i="1" s="1"/>
  <c r="O585" i="1"/>
  <c r="S585" i="1" s="1"/>
  <c r="O577" i="1"/>
  <c r="S577" i="1" s="1"/>
  <c r="O569" i="1"/>
  <c r="S569" i="1" s="1"/>
  <c r="O561" i="1"/>
  <c r="S561" i="1" s="1"/>
  <c r="O553" i="1"/>
  <c r="S553" i="1" s="1"/>
  <c r="O545" i="1"/>
  <c r="S545" i="1" s="1"/>
  <c r="O537" i="1"/>
  <c r="S537" i="1" s="1"/>
  <c r="O529" i="1"/>
  <c r="S529" i="1" s="1"/>
  <c r="O521" i="1"/>
  <c r="S521" i="1" s="1"/>
  <c r="O513" i="1"/>
  <c r="S513" i="1" s="1"/>
  <c r="O505" i="1"/>
  <c r="S505" i="1" s="1"/>
  <c r="O497" i="1"/>
  <c r="S497" i="1" s="1"/>
  <c r="O489" i="1"/>
  <c r="S489" i="1" s="1"/>
  <c r="O481" i="1"/>
  <c r="S481" i="1" s="1"/>
  <c r="O473" i="1"/>
  <c r="S473" i="1" s="1"/>
  <c r="O465" i="1"/>
  <c r="S465" i="1" s="1"/>
  <c r="O457" i="1"/>
  <c r="S457" i="1" s="1"/>
  <c r="O449" i="1"/>
  <c r="S449" i="1" s="1"/>
  <c r="O441" i="1"/>
  <c r="S441" i="1" s="1"/>
  <c r="O433" i="1"/>
  <c r="S433" i="1" s="1"/>
  <c r="O425" i="1"/>
  <c r="S425" i="1" s="1"/>
  <c r="O417" i="1"/>
  <c r="S417" i="1" s="1"/>
  <c r="O409" i="1"/>
  <c r="S409" i="1" s="1"/>
  <c r="O329" i="1"/>
  <c r="S329" i="1" s="1"/>
  <c r="O321" i="1"/>
  <c r="S321" i="1" s="1"/>
  <c r="O113" i="1"/>
  <c r="S113" i="1" s="1"/>
  <c r="O65" i="1"/>
  <c r="S65" i="1" s="1"/>
  <c r="O2001" i="1"/>
  <c r="S2001" i="1" s="1"/>
  <c r="O1985" i="1"/>
  <c r="S1985" i="1" s="1"/>
  <c r="O1969" i="1"/>
  <c r="S1969" i="1" s="1"/>
  <c r="O1961" i="1"/>
  <c r="S1961" i="1" s="1"/>
  <c r="O1953" i="1"/>
  <c r="S1953" i="1" s="1"/>
  <c r="O1937" i="1"/>
  <c r="S1937" i="1" s="1"/>
  <c r="O1929" i="1"/>
  <c r="S1929" i="1" s="1"/>
  <c r="O1922" i="1"/>
  <c r="S1922" i="1" s="1"/>
  <c r="O1914" i="1"/>
  <c r="S1914" i="1" s="1"/>
  <c r="O1899" i="1"/>
  <c r="S1899" i="1" s="1"/>
  <c r="O1891" i="1"/>
  <c r="S1891" i="1" s="1"/>
  <c r="O1883" i="1"/>
  <c r="S1883" i="1" s="1"/>
  <c r="O1875" i="1"/>
  <c r="S1875" i="1" s="1"/>
  <c r="O1868" i="1"/>
  <c r="S1868" i="1" s="1"/>
  <c r="O1860" i="1"/>
  <c r="S1860" i="1" s="1"/>
  <c r="O1837" i="1"/>
  <c r="S1837" i="1" s="1"/>
  <c r="O1821" i="1"/>
  <c r="S1821" i="1" s="1"/>
  <c r="O1813" i="1"/>
  <c r="S1813" i="1" s="1"/>
  <c r="O1805" i="1"/>
  <c r="S1805" i="1" s="1"/>
  <c r="O1797" i="1"/>
  <c r="S1797" i="1" s="1"/>
  <c r="O1993" i="1"/>
  <c r="S1993" i="1" s="1"/>
  <c r="O1977" i="1"/>
  <c r="S1977" i="1" s="1"/>
  <c r="O1945" i="1"/>
  <c r="S1945" i="1" s="1"/>
  <c r="O1829" i="1"/>
  <c r="S1829" i="1" s="1"/>
  <c r="O1996" i="1"/>
  <c r="S1996" i="1" s="1"/>
  <c r="O1988" i="1"/>
  <c r="S1988" i="1" s="1"/>
  <c r="O1980" i="1"/>
  <c r="S1980" i="1" s="1"/>
  <c r="O1972" i="1"/>
  <c r="S1972" i="1" s="1"/>
  <c r="O1964" i="1"/>
  <c r="S1964" i="1" s="1"/>
  <c r="O1956" i="1"/>
  <c r="S1956" i="1" s="1"/>
  <c r="O1948" i="1"/>
  <c r="S1948" i="1" s="1"/>
  <c r="O1940" i="1"/>
  <c r="S1940" i="1" s="1"/>
  <c r="O1932" i="1"/>
  <c r="S1932" i="1" s="1"/>
  <c r="O1925" i="1"/>
  <c r="S1925" i="1" s="1"/>
  <c r="O1917" i="1"/>
  <c r="S1917" i="1" s="1"/>
  <c r="O1910" i="1"/>
  <c r="S1910" i="1" s="1"/>
  <c r="O1902" i="1"/>
  <c r="S1902" i="1" s="1"/>
  <c r="O1894" i="1"/>
  <c r="S1894" i="1" s="1"/>
  <c r="O1886" i="1"/>
  <c r="S1886" i="1" s="1"/>
  <c r="O1878" i="1"/>
  <c r="S1878" i="1" s="1"/>
  <c r="O1871" i="1"/>
  <c r="S1871" i="1" s="1"/>
  <c r="O1863" i="1"/>
  <c r="S1863" i="1" s="1"/>
  <c r="O1855" i="1"/>
  <c r="S1855" i="1" s="1"/>
  <c r="O1840" i="1"/>
  <c r="S1840" i="1" s="1"/>
  <c r="O1832" i="1"/>
  <c r="S1832" i="1" s="1"/>
  <c r="O1824" i="1"/>
  <c r="S1824" i="1" s="1"/>
  <c r="O1816" i="1"/>
  <c r="S1816" i="1" s="1"/>
  <c r="O1808" i="1"/>
  <c r="S1808" i="1" s="1"/>
  <c r="O1800" i="1"/>
  <c r="S1800" i="1" s="1"/>
  <c r="O1785" i="1"/>
  <c r="S1785" i="1" s="1"/>
  <c r="O1777" i="1"/>
  <c r="S1777" i="1" s="1"/>
  <c r="O1769" i="1"/>
  <c r="S1769" i="1" s="1"/>
  <c r="O1761" i="1"/>
  <c r="S1761" i="1" s="1"/>
  <c r="O1753" i="1"/>
  <c r="S1753" i="1" s="1"/>
  <c r="O1745" i="1"/>
  <c r="S1745" i="1" s="1"/>
  <c r="O1737" i="1"/>
  <c r="S1737" i="1" s="1"/>
  <c r="O1729" i="1"/>
  <c r="S1729" i="1" s="1"/>
  <c r="O1721" i="1"/>
  <c r="S1721" i="1" s="1"/>
  <c r="O1714" i="1"/>
  <c r="S1714" i="1" s="1"/>
  <c r="O1706" i="1"/>
  <c r="S1706" i="1" s="1"/>
  <c r="O1698" i="1"/>
  <c r="S1698" i="1" s="1"/>
  <c r="O1690" i="1"/>
  <c r="S1690" i="1" s="1"/>
  <c r="O1683" i="1"/>
  <c r="S1683" i="1" s="1"/>
  <c r="O1675" i="1"/>
  <c r="S1675" i="1" s="1"/>
  <c r="O1668" i="1"/>
  <c r="S1668" i="1" s="1"/>
  <c r="O1660" i="1"/>
  <c r="S1660" i="1" s="1"/>
  <c r="O1652" i="1"/>
  <c r="S1652" i="1" s="1"/>
  <c r="O1644" i="1"/>
  <c r="S1644" i="1" s="1"/>
  <c r="O1636" i="1"/>
  <c r="S1636" i="1" s="1"/>
  <c r="O1629" i="1"/>
  <c r="S1629" i="1" s="1"/>
  <c r="O1621" i="1"/>
  <c r="S1621" i="1" s="1"/>
  <c r="O1613" i="1"/>
  <c r="S1613" i="1" s="1"/>
  <c r="O1605" i="1"/>
  <c r="S1605" i="1" s="1"/>
  <c r="O1597" i="1"/>
  <c r="S1597" i="1" s="1"/>
  <c r="O1589" i="1"/>
  <c r="S1589" i="1" s="1"/>
  <c r="O1581" i="1"/>
  <c r="S1581" i="1" s="1"/>
  <c r="O1573" i="1"/>
  <c r="S1573" i="1" s="1"/>
  <c r="O1565" i="1"/>
  <c r="S1565" i="1" s="1"/>
  <c r="O1557" i="1"/>
  <c r="S1557" i="1" s="1"/>
  <c r="O1549" i="1"/>
  <c r="S1549" i="1" s="1"/>
  <c r="O1542" i="1"/>
  <c r="S1542" i="1" s="1"/>
  <c r="O1534" i="1"/>
  <c r="S1534" i="1" s="1"/>
  <c r="O1526" i="1"/>
  <c r="S1526" i="1" s="1"/>
  <c r="O1518" i="1"/>
  <c r="S1518" i="1" s="1"/>
  <c r="O1510" i="1"/>
  <c r="S1510" i="1" s="1"/>
  <c r="O1502" i="1"/>
  <c r="S1502" i="1" s="1"/>
  <c r="O1494" i="1"/>
  <c r="S1494" i="1" s="1"/>
  <c r="O1486" i="1"/>
  <c r="S1486" i="1" s="1"/>
  <c r="O1471" i="1"/>
  <c r="S1471" i="1" s="1"/>
  <c r="O1463" i="1"/>
  <c r="S1463" i="1" s="1"/>
  <c r="O1455" i="1"/>
  <c r="S1455" i="1" s="1"/>
  <c r="O1447" i="1"/>
  <c r="S1447" i="1" s="1"/>
  <c r="O1439" i="1"/>
  <c r="S1439" i="1" s="1"/>
  <c r="O1431" i="1"/>
  <c r="S1431" i="1" s="1"/>
  <c r="O1423" i="1"/>
  <c r="S1423" i="1" s="1"/>
  <c r="O1415" i="1"/>
  <c r="S1415" i="1" s="1"/>
  <c r="O1336" i="1"/>
  <c r="S1336" i="1" s="1"/>
  <c r="O1320" i="1"/>
  <c r="S1320" i="1" s="1"/>
  <c r="O1264" i="1"/>
  <c r="S1264" i="1" s="1"/>
  <c r="O1192" i="1"/>
  <c r="S1192" i="1" s="1"/>
  <c r="O1176" i="1"/>
  <c r="S1176" i="1" s="1"/>
  <c r="O1136" i="1"/>
  <c r="S1136" i="1" s="1"/>
  <c r="O1080" i="1"/>
  <c r="S1080" i="1" s="1"/>
  <c r="O984" i="1"/>
  <c r="S984" i="1" s="1"/>
  <c r="O937" i="1"/>
  <c r="S937" i="1" s="1"/>
  <c r="O929" i="1"/>
  <c r="S929" i="1" s="1"/>
  <c r="O147" i="1"/>
  <c r="S147" i="1" s="1"/>
  <c r="O1790" i="1"/>
  <c r="S1790" i="1" s="1"/>
  <c r="O1782" i="1"/>
  <c r="S1782" i="1" s="1"/>
  <c r="O1774" i="1"/>
  <c r="S1774" i="1" s="1"/>
  <c r="O1766" i="1"/>
  <c r="S1766" i="1" s="1"/>
  <c r="O1758" i="1"/>
  <c r="S1758" i="1" s="1"/>
  <c r="O1750" i="1"/>
  <c r="S1750" i="1" s="1"/>
  <c r="O1742" i="1"/>
  <c r="S1742" i="1" s="1"/>
  <c r="O1734" i="1"/>
  <c r="S1734" i="1" s="1"/>
  <c r="O1726" i="1"/>
  <c r="S1726" i="1" s="1"/>
  <c r="O1719" i="1"/>
  <c r="S1719" i="1" s="1"/>
  <c r="O1711" i="1"/>
  <c r="S1711" i="1" s="1"/>
  <c r="O1703" i="1"/>
  <c r="S1703" i="1" s="1"/>
  <c r="O1695" i="1"/>
  <c r="S1695" i="1" s="1"/>
  <c r="O1688" i="1"/>
  <c r="S1688" i="1" s="1"/>
  <c r="O1680" i="1"/>
  <c r="S1680" i="1" s="1"/>
  <c r="O1672" i="1"/>
  <c r="S1672" i="1" s="1"/>
  <c r="O1665" i="1"/>
  <c r="S1665" i="1" s="1"/>
  <c r="O1657" i="1"/>
  <c r="S1657" i="1" s="1"/>
  <c r="O1649" i="1"/>
  <c r="S1649" i="1" s="1"/>
  <c r="O1641" i="1"/>
  <c r="S1641" i="1" s="1"/>
  <c r="O1634" i="1"/>
  <c r="S1634" i="1" s="1"/>
  <c r="O1626" i="1"/>
  <c r="S1626" i="1" s="1"/>
  <c r="O1618" i="1"/>
  <c r="S1618" i="1" s="1"/>
  <c r="O1610" i="1"/>
  <c r="S1610" i="1" s="1"/>
  <c r="O1602" i="1"/>
  <c r="S1602" i="1" s="1"/>
  <c r="O1594" i="1"/>
  <c r="S1594" i="1" s="1"/>
  <c r="O1562" i="1"/>
  <c r="S1562" i="1" s="1"/>
  <c r="O1554" i="1"/>
  <c r="S1554" i="1" s="1"/>
  <c r="O1547" i="1"/>
  <c r="S1547" i="1" s="1"/>
  <c r="O1539" i="1"/>
  <c r="S1539" i="1" s="1"/>
  <c r="O1531" i="1"/>
  <c r="S1531" i="1" s="1"/>
  <c r="O1507" i="1"/>
  <c r="S1507" i="1" s="1"/>
  <c r="O1499" i="1"/>
  <c r="S1499" i="1" s="1"/>
  <c r="O1491" i="1"/>
  <c r="S1491" i="1" s="1"/>
  <c r="O1483" i="1"/>
  <c r="S1483" i="1" s="1"/>
  <c r="O1476" i="1"/>
  <c r="S1476" i="1" s="1"/>
  <c r="O1468" i="1"/>
  <c r="S1468" i="1" s="1"/>
  <c r="O1444" i="1"/>
  <c r="S1444" i="1" s="1"/>
  <c r="O1436" i="1"/>
  <c r="S1436" i="1" s="1"/>
  <c r="O1428" i="1"/>
  <c r="S1428" i="1" s="1"/>
  <c r="O1420" i="1"/>
  <c r="S1420" i="1" s="1"/>
  <c r="O1404" i="1"/>
  <c r="S1404" i="1" s="1"/>
  <c r="O1380" i="1"/>
  <c r="S1380" i="1" s="1"/>
  <c r="O1372" i="1"/>
  <c r="S1372" i="1" s="1"/>
  <c r="O1357" i="1"/>
  <c r="S1357" i="1" s="1"/>
  <c r="O1349" i="1"/>
  <c r="S1349" i="1" s="1"/>
  <c r="O1341" i="1"/>
  <c r="S1341" i="1" s="1"/>
  <c r="O1309" i="1"/>
  <c r="S1309" i="1" s="1"/>
  <c r="O1301" i="1"/>
  <c r="S1301" i="1" s="1"/>
  <c r="O1293" i="1"/>
  <c r="S1293" i="1" s="1"/>
  <c r="O1285" i="1"/>
  <c r="S1285" i="1" s="1"/>
  <c r="O1253" i="1"/>
  <c r="S1253" i="1" s="1"/>
  <c r="O1245" i="1"/>
  <c r="S1245" i="1" s="1"/>
  <c r="O1237" i="1"/>
  <c r="S1237" i="1" s="1"/>
  <c r="O1229" i="1"/>
  <c r="S1229" i="1" s="1"/>
  <c r="O1221" i="1"/>
  <c r="S1221" i="1" s="1"/>
  <c r="O1213" i="1"/>
  <c r="S1213" i="1" s="1"/>
  <c r="O1189" i="1"/>
  <c r="S1189" i="1" s="1"/>
  <c r="O1181" i="1"/>
  <c r="S1181" i="1" s="1"/>
  <c r="O1173" i="1"/>
  <c r="S1173" i="1" s="1"/>
  <c r="O1165" i="1"/>
  <c r="S1165" i="1" s="1"/>
  <c r="O1149" i="1"/>
  <c r="S1149" i="1" s="1"/>
  <c r="O1125" i="1"/>
  <c r="S1125" i="1" s="1"/>
  <c r="O1117" i="1"/>
  <c r="S1117" i="1" s="1"/>
  <c r="O1101" i="1"/>
  <c r="S1101" i="1" s="1"/>
  <c r="O1093" i="1"/>
  <c r="S1093" i="1" s="1"/>
  <c r="O1085" i="1"/>
  <c r="S1085" i="1" s="1"/>
  <c r="O1053" i="1"/>
  <c r="S1053" i="1" s="1"/>
  <c r="O1045" i="1"/>
  <c r="S1045" i="1" s="1"/>
  <c r="O1037" i="1"/>
  <c r="S1037" i="1" s="1"/>
  <c r="O1029" i="1"/>
  <c r="S1029" i="1" s="1"/>
  <c r="O997" i="1"/>
  <c r="S997" i="1" s="1"/>
  <c r="O989" i="1"/>
  <c r="S989" i="1" s="1"/>
  <c r="O981" i="1"/>
  <c r="S981" i="1" s="1"/>
  <c r="O973" i="1"/>
  <c r="S973" i="1" s="1"/>
  <c r="O966" i="1"/>
  <c r="S966" i="1" s="1"/>
  <c r="O958" i="1"/>
  <c r="S958" i="1" s="1"/>
  <c r="O1997" i="1"/>
  <c r="S1997" i="1" s="1"/>
  <c r="O1989" i="1"/>
  <c r="S1989" i="1" s="1"/>
  <c r="O1981" i="1"/>
  <c r="S1981" i="1" s="1"/>
  <c r="O1973" i="1"/>
  <c r="S1973" i="1" s="1"/>
  <c r="O1965" i="1"/>
  <c r="S1965" i="1" s="1"/>
  <c r="O1957" i="1"/>
  <c r="S1957" i="1" s="1"/>
  <c r="O1949" i="1"/>
  <c r="S1949" i="1" s="1"/>
  <c r="O1941" i="1"/>
  <c r="S1941" i="1" s="1"/>
  <c r="O1933" i="1"/>
  <c r="S1933" i="1" s="1"/>
  <c r="O1926" i="1"/>
  <c r="S1926" i="1" s="1"/>
  <c r="O1911" i="1"/>
  <c r="S1911" i="1" s="1"/>
  <c r="O1903" i="1"/>
  <c r="S1903" i="1" s="1"/>
  <c r="O1895" i="1"/>
  <c r="S1895" i="1" s="1"/>
  <c r="O1887" i="1"/>
  <c r="S1887" i="1" s="1"/>
  <c r="O1879" i="1"/>
  <c r="S1879" i="1" s="1"/>
  <c r="O1864" i="1"/>
  <c r="S1864" i="1" s="1"/>
  <c r="O1856" i="1"/>
  <c r="S1856" i="1" s="1"/>
  <c r="O1848" i="1"/>
  <c r="S1848" i="1" s="1"/>
  <c r="O1841" i="1"/>
  <c r="S1841" i="1" s="1"/>
  <c r="O1833" i="1"/>
  <c r="S1833" i="1" s="1"/>
  <c r="O1825" i="1"/>
  <c r="S1825" i="1" s="1"/>
  <c r="O1817" i="1"/>
  <c r="S1817" i="1" s="1"/>
  <c r="O1809" i="1"/>
  <c r="S1809" i="1" s="1"/>
  <c r="O1801" i="1"/>
  <c r="S1801" i="1" s="1"/>
  <c r="O1793" i="1"/>
  <c r="S1793" i="1" s="1"/>
  <c r="O1786" i="1"/>
  <c r="S1786" i="1" s="1"/>
  <c r="O1778" i="1"/>
  <c r="S1778" i="1" s="1"/>
  <c r="O1770" i="1"/>
  <c r="S1770" i="1" s="1"/>
  <c r="O1762" i="1"/>
  <c r="S1762" i="1" s="1"/>
  <c r="O1754" i="1"/>
  <c r="S1754" i="1" s="1"/>
  <c r="O1746" i="1"/>
  <c r="S1746" i="1" s="1"/>
  <c r="O1738" i="1"/>
  <c r="S1738" i="1" s="1"/>
  <c r="O1730" i="1"/>
  <c r="S1730" i="1" s="1"/>
  <c r="O1722" i="1"/>
  <c r="S1722" i="1" s="1"/>
  <c r="O1715" i="1"/>
  <c r="S1715" i="1" s="1"/>
  <c r="O1707" i="1"/>
  <c r="S1707" i="1" s="1"/>
  <c r="O1699" i="1"/>
  <c r="S1699" i="1" s="1"/>
  <c r="O1691" i="1"/>
  <c r="S1691" i="1" s="1"/>
  <c r="O1684" i="1"/>
  <c r="S1684" i="1" s="1"/>
  <c r="O1676" i="1"/>
  <c r="S1676" i="1" s="1"/>
  <c r="O1669" i="1"/>
  <c r="S1669" i="1" s="1"/>
  <c r="O1661" i="1"/>
  <c r="S1661" i="1" s="1"/>
  <c r="O1653" i="1"/>
  <c r="S1653" i="1" s="1"/>
  <c r="O1645" i="1"/>
  <c r="S1645" i="1" s="1"/>
  <c r="O1637" i="1"/>
  <c r="S1637" i="1" s="1"/>
  <c r="O1630" i="1"/>
  <c r="S1630" i="1" s="1"/>
  <c r="O1622" i="1"/>
  <c r="S1622" i="1" s="1"/>
  <c r="O1614" i="1"/>
  <c r="S1614" i="1" s="1"/>
  <c r="O1606" i="1"/>
  <c r="S1606" i="1" s="1"/>
  <c r="O1598" i="1"/>
  <c r="S1598" i="1" s="1"/>
  <c r="O1590" i="1"/>
  <c r="S1590" i="1" s="1"/>
  <c r="O1582" i="1"/>
  <c r="S1582" i="1" s="1"/>
  <c r="O1574" i="1"/>
  <c r="S1574" i="1" s="1"/>
  <c r="O1566" i="1"/>
  <c r="S1566" i="1" s="1"/>
  <c r="O1558" i="1"/>
  <c r="S1558" i="1" s="1"/>
  <c r="O1550" i="1"/>
  <c r="S1550" i="1" s="1"/>
  <c r="O1543" i="1"/>
  <c r="S1543" i="1" s="1"/>
  <c r="O1535" i="1"/>
  <c r="S1535" i="1" s="1"/>
  <c r="O1527" i="1"/>
  <c r="S1527" i="1" s="1"/>
  <c r="O1519" i="1"/>
  <c r="S1519" i="1" s="1"/>
  <c r="O1511" i="1"/>
  <c r="S1511" i="1" s="1"/>
  <c r="O1503" i="1"/>
  <c r="S1503" i="1" s="1"/>
  <c r="O1495" i="1"/>
  <c r="S1495" i="1" s="1"/>
  <c r="O1487" i="1"/>
  <c r="S1487" i="1" s="1"/>
  <c r="O1479" i="1"/>
  <c r="S1479" i="1" s="1"/>
  <c r="O1472" i="1"/>
  <c r="S1472" i="1" s="1"/>
  <c r="O1464" i="1"/>
  <c r="S1464" i="1" s="1"/>
  <c r="O1456" i="1"/>
  <c r="S1456" i="1" s="1"/>
  <c r="O1448" i="1"/>
  <c r="S1448" i="1" s="1"/>
  <c r="O1440" i="1"/>
  <c r="S1440" i="1" s="1"/>
  <c r="O1432" i="1"/>
  <c r="S1432" i="1" s="1"/>
  <c r="O1424" i="1"/>
  <c r="S1424" i="1" s="1"/>
  <c r="O1416" i="1"/>
  <c r="S1416" i="1" s="1"/>
  <c r="O1408" i="1"/>
  <c r="S1408" i="1" s="1"/>
  <c r="O1400" i="1"/>
  <c r="S1400" i="1" s="1"/>
  <c r="O1392" i="1"/>
  <c r="S1392" i="1" s="1"/>
  <c r="O1384" i="1"/>
  <c r="S1384" i="1" s="1"/>
  <c r="O1376" i="1"/>
  <c r="S1376" i="1" s="1"/>
  <c r="O1368" i="1"/>
  <c r="S1368" i="1" s="1"/>
  <c r="O1361" i="1"/>
  <c r="S1361" i="1" s="1"/>
  <c r="O1353" i="1"/>
  <c r="S1353" i="1" s="1"/>
  <c r="O1345" i="1"/>
  <c r="S1345" i="1" s="1"/>
  <c r="O1337" i="1"/>
  <c r="S1337" i="1" s="1"/>
  <c r="O1329" i="1"/>
  <c r="S1329" i="1" s="1"/>
  <c r="O1321" i="1"/>
  <c r="S1321" i="1" s="1"/>
  <c r="O1313" i="1"/>
  <c r="S1313" i="1" s="1"/>
  <c r="O1305" i="1"/>
  <c r="S1305" i="1" s="1"/>
  <c r="O1297" i="1"/>
  <c r="S1297" i="1" s="1"/>
  <c r="O1289" i="1"/>
  <c r="S1289" i="1" s="1"/>
  <c r="O1281" i="1"/>
  <c r="S1281" i="1" s="1"/>
  <c r="O1273" i="1"/>
  <c r="S1273" i="1" s="1"/>
  <c r="O1265" i="1"/>
  <c r="S1265" i="1" s="1"/>
  <c r="O1257" i="1"/>
  <c r="S1257" i="1" s="1"/>
  <c r="O1249" i="1"/>
  <c r="S1249" i="1" s="1"/>
  <c r="O1241" i="1"/>
  <c r="S1241" i="1" s="1"/>
  <c r="O1233" i="1"/>
  <c r="S1233" i="1" s="1"/>
  <c r="O1225" i="1"/>
  <c r="S1225" i="1" s="1"/>
  <c r="O1217" i="1"/>
  <c r="S1217" i="1" s="1"/>
  <c r="O1209" i="1"/>
  <c r="S1209" i="1" s="1"/>
  <c r="O1201" i="1"/>
  <c r="S1201" i="1" s="1"/>
  <c r="O1193" i="1"/>
  <c r="S1193" i="1" s="1"/>
  <c r="O1185" i="1"/>
  <c r="S1185" i="1" s="1"/>
  <c r="O1177" i="1"/>
  <c r="S1177" i="1" s="1"/>
  <c r="O1169" i="1"/>
  <c r="S1169" i="1" s="1"/>
  <c r="O1161" i="1"/>
  <c r="S1161" i="1" s="1"/>
  <c r="O1153" i="1"/>
  <c r="S1153" i="1" s="1"/>
  <c r="O1145" i="1"/>
  <c r="S1145" i="1" s="1"/>
  <c r="O1137" i="1"/>
  <c r="S1137" i="1" s="1"/>
  <c r="O1129" i="1"/>
  <c r="S1129" i="1" s="1"/>
  <c r="O1121" i="1"/>
  <c r="S1121" i="1" s="1"/>
  <c r="O1113" i="1"/>
  <c r="S1113" i="1" s="1"/>
  <c r="O1105" i="1"/>
  <c r="S1105" i="1" s="1"/>
  <c r="O1097" i="1"/>
  <c r="S1097" i="1" s="1"/>
  <c r="O1089" i="1"/>
  <c r="S1089" i="1" s="1"/>
  <c r="O1081" i="1"/>
  <c r="S1081" i="1" s="1"/>
  <c r="O1073" i="1"/>
  <c r="S1073" i="1" s="1"/>
  <c r="O1065" i="1"/>
  <c r="S1065" i="1" s="1"/>
  <c r="O1057" i="1"/>
  <c r="S1057" i="1" s="1"/>
  <c r="O1049" i="1"/>
  <c r="S1049" i="1" s="1"/>
  <c r="O1041" i="1"/>
  <c r="S1041" i="1" s="1"/>
  <c r="O1033" i="1"/>
  <c r="S1033" i="1" s="1"/>
  <c r="O1025" i="1"/>
  <c r="S1025" i="1" s="1"/>
  <c r="O1017" i="1"/>
  <c r="S1017" i="1" s="1"/>
  <c r="O1009" i="1"/>
  <c r="S1009" i="1" s="1"/>
  <c r="O1001" i="1"/>
  <c r="S1001" i="1" s="1"/>
  <c r="O993" i="1"/>
  <c r="S993" i="1" s="1"/>
  <c r="O985" i="1"/>
  <c r="S985" i="1" s="1"/>
  <c r="O977" i="1"/>
  <c r="S977" i="1" s="1"/>
  <c r="O969" i="1"/>
  <c r="S969" i="1" s="1"/>
  <c r="O962" i="1"/>
  <c r="S962" i="1" s="1"/>
  <c r="O954" i="1"/>
  <c r="S954" i="1" s="1"/>
  <c r="O946" i="1"/>
  <c r="S946" i="1" s="1"/>
  <c r="O938" i="1"/>
  <c r="S938" i="1" s="1"/>
  <c r="O930" i="1"/>
  <c r="S930" i="1" s="1"/>
  <c r="O922" i="1"/>
  <c r="S922" i="1" s="1"/>
  <c r="O914" i="1"/>
  <c r="S914" i="1" s="1"/>
  <c r="O898" i="1"/>
  <c r="S898" i="1" s="1"/>
  <c r="O890" i="1"/>
  <c r="S890" i="1" s="1"/>
  <c r="O882" i="1"/>
  <c r="S882" i="1" s="1"/>
  <c r="O874" i="1"/>
  <c r="S874" i="1" s="1"/>
  <c r="O866" i="1"/>
  <c r="S866" i="1" s="1"/>
  <c r="O858" i="1"/>
  <c r="S858" i="1" s="1"/>
  <c r="O850" i="1"/>
  <c r="S850" i="1" s="1"/>
  <c r="O842" i="1"/>
  <c r="S842" i="1" s="1"/>
  <c r="O834" i="1"/>
  <c r="S834" i="1" s="1"/>
  <c r="O826" i="1"/>
  <c r="S826" i="1" s="1"/>
  <c r="O818" i="1"/>
  <c r="S818" i="1" s="1"/>
  <c r="O810" i="1"/>
  <c r="S810" i="1" s="1"/>
  <c r="O802" i="1"/>
  <c r="S802" i="1" s="1"/>
  <c r="O795" i="1"/>
  <c r="S795" i="1" s="1"/>
  <c r="O787" i="1"/>
  <c r="S787" i="1" s="1"/>
  <c r="O779" i="1"/>
  <c r="S779" i="1" s="1"/>
  <c r="O771" i="1"/>
  <c r="S771" i="1" s="1"/>
  <c r="O763" i="1"/>
  <c r="S763" i="1" s="1"/>
  <c r="O755" i="1"/>
  <c r="S755" i="1" s="1"/>
  <c r="O747" i="1"/>
  <c r="S747" i="1" s="1"/>
  <c r="O739" i="1"/>
  <c r="S739" i="1" s="1"/>
  <c r="O731" i="1"/>
  <c r="S731" i="1" s="1"/>
  <c r="O723" i="1"/>
  <c r="S723" i="1" s="1"/>
  <c r="O715" i="1"/>
  <c r="S715" i="1" s="1"/>
  <c r="O707" i="1"/>
  <c r="S707" i="1" s="1"/>
  <c r="O699" i="1"/>
  <c r="S699" i="1" s="1"/>
  <c r="O691" i="1"/>
  <c r="S691" i="1" s="1"/>
  <c r="O683" i="1"/>
  <c r="S683" i="1" s="1"/>
  <c r="O675" i="1"/>
  <c r="S675" i="1" s="1"/>
  <c r="O667" i="1"/>
  <c r="S667" i="1" s="1"/>
  <c r="O659" i="1"/>
  <c r="S659" i="1" s="1"/>
  <c r="O651" i="1"/>
  <c r="S651" i="1" s="1"/>
  <c r="O643" i="1"/>
  <c r="S643" i="1" s="1"/>
  <c r="O635" i="1"/>
  <c r="S635" i="1" s="1"/>
  <c r="O627" i="1"/>
  <c r="S627" i="1" s="1"/>
  <c r="O619" i="1"/>
  <c r="S619" i="1" s="1"/>
  <c r="O611" i="1"/>
  <c r="S611" i="1" s="1"/>
  <c r="O603" i="1"/>
  <c r="S603" i="1" s="1"/>
  <c r="O595" i="1"/>
  <c r="S595" i="1" s="1"/>
  <c r="O588" i="1"/>
  <c r="S588" i="1" s="1"/>
  <c r="O580" i="1"/>
  <c r="S580" i="1" s="1"/>
  <c r="O572" i="1"/>
  <c r="S572" i="1" s="1"/>
  <c r="O564" i="1"/>
  <c r="S564" i="1" s="1"/>
  <c r="O556" i="1"/>
  <c r="S556" i="1" s="1"/>
  <c r="O548" i="1"/>
  <c r="S548" i="1" s="1"/>
  <c r="O540" i="1"/>
  <c r="S540" i="1" s="1"/>
  <c r="O532" i="1"/>
  <c r="S532" i="1" s="1"/>
  <c r="O524" i="1"/>
  <c r="S524" i="1" s="1"/>
  <c r="O516" i="1"/>
  <c r="S516" i="1" s="1"/>
  <c r="O508" i="1"/>
  <c r="S508" i="1" s="1"/>
  <c r="O500" i="1"/>
  <c r="S500" i="1" s="1"/>
  <c r="O492" i="1"/>
  <c r="S492" i="1" s="1"/>
  <c r="O484" i="1"/>
  <c r="S484" i="1" s="1"/>
  <c r="O476" i="1"/>
  <c r="S476" i="1" s="1"/>
  <c r="O468" i="1"/>
  <c r="S468" i="1" s="1"/>
  <c r="O460" i="1"/>
  <c r="S460" i="1" s="1"/>
  <c r="O452" i="1"/>
  <c r="S452" i="1" s="1"/>
  <c r="O444" i="1"/>
  <c r="S444" i="1" s="1"/>
  <c r="O436" i="1"/>
  <c r="S436" i="1" s="1"/>
  <c r="O428" i="1"/>
  <c r="S428" i="1" s="1"/>
  <c r="O420" i="1"/>
  <c r="S420" i="1" s="1"/>
  <c r="O412" i="1"/>
  <c r="S412" i="1" s="1"/>
  <c r="O404" i="1"/>
  <c r="S404" i="1" s="1"/>
  <c r="O396" i="1"/>
  <c r="S396" i="1" s="1"/>
  <c r="O388" i="1"/>
  <c r="S388" i="1" s="1"/>
  <c r="O380" i="1"/>
  <c r="S380" i="1" s="1"/>
  <c r="O372" i="1"/>
  <c r="S372" i="1" s="1"/>
  <c r="O364" i="1"/>
  <c r="S364" i="1" s="1"/>
  <c r="O356" i="1"/>
  <c r="S356" i="1" s="1"/>
  <c r="O348" i="1"/>
  <c r="S348" i="1" s="1"/>
  <c r="O340" i="1"/>
  <c r="S340" i="1" s="1"/>
  <c r="O332" i="1"/>
  <c r="S332" i="1" s="1"/>
  <c r="O324" i="1"/>
  <c r="S324" i="1" s="1"/>
  <c r="O316" i="1"/>
  <c r="S316" i="1" s="1"/>
  <c r="O308" i="1"/>
  <c r="S308" i="1" s="1"/>
  <c r="O300" i="1"/>
  <c r="S300" i="1" s="1"/>
  <c r="O292" i="1"/>
  <c r="S292" i="1" s="1"/>
  <c r="O284" i="1"/>
  <c r="S284" i="1" s="1"/>
  <c r="O276" i="1"/>
  <c r="S276" i="1" s="1"/>
  <c r="O268" i="1"/>
  <c r="S268" i="1" s="1"/>
  <c r="O260" i="1"/>
  <c r="S260" i="1" s="1"/>
  <c r="O244" i="1"/>
  <c r="S244" i="1" s="1"/>
  <c r="O236" i="1"/>
  <c r="S236" i="1" s="1"/>
  <c r="O228" i="1"/>
  <c r="S228" i="1" s="1"/>
  <c r="O220" i="1"/>
  <c r="S220" i="1" s="1"/>
  <c r="O212" i="1"/>
  <c r="S212" i="1" s="1"/>
  <c r="O204" i="1"/>
  <c r="S204" i="1" s="1"/>
  <c r="O196" i="1"/>
  <c r="S196" i="1" s="1"/>
  <c r="O188" i="1"/>
  <c r="S188" i="1" s="1"/>
  <c r="O180" i="1"/>
  <c r="S180" i="1" s="1"/>
  <c r="O172" i="1"/>
  <c r="S172" i="1" s="1"/>
  <c r="O164" i="1"/>
  <c r="S164" i="1" s="1"/>
  <c r="O156" i="1"/>
  <c r="S156" i="1" s="1"/>
  <c r="O148" i="1"/>
  <c r="S148" i="1" s="1"/>
  <c r="O140" i="1"/>
  <c r="S140" i="1" s="1"/>
  <c r="O132" i="1"/>
  <c r="S132" i="1" s="1"/>
  <c r="O124" i="1"/>
  <c r="S124" i="1" s="1"/>
  <c r="O116" i="1"/>
  <c r="S116" i="1" s="1"/>
  <c r="O108" i="1"/>
  <c r="S108" i="1" s="1"/>
  <c r="O100" i="1"/>
  <c r="S100" i="1" s="1"/>
  <c r="O92" i="1"/>
  <c r="S92" i="1" s="1"/>
  <c r="O84" i="1"/>
  <c r="S84" i="1" s="1"/>
  <c r="O76" i="1"/>
  <c r="S76" i="1" s="1"/>
  <c r="O68" i="1"/>
  <c r="S68" i="1" s="1"/>
  <c r="O60" i="1"/>
  <c r="S60" i="1" s="1"/>
  <c r="O52" i="1"/>
  <c r="S52" i="1" s="1"/>
  <c r="O44" i="1"/>
  <c r="S44" i="1" s="1"/>
  <c r="O36" i="1"/>
  <c r="S36" i="1" s="1"/>
  <c r="O28" i="1"/>
  <c r="S28" i="1" s="1"/>
  <c r="O20" i="1"/>
  <c r="S20" i="1" s="1"/>
  <c r="O4" i="1"/>
  <c r="S4" i="1" s="1"/>
  <c r="O655" i="1"/>
  <c r="S655" i="1" s="1"/>
  <c r="O647" i="1"/>
  <c r="S647" i="1" s="1"/>
  <c r="O631" i="1"/>
  <c r="S631" i="1" s="1"/>
  <c r="O584" i="1"/>
  <c r="S584" i="1" s="1"/>
  <c r="O552" i="1"/>
  <c r="S552" i="1" s="1"/>
  <c r="O504" i="1"/>
  <c r="S504" i="1" s="1"/>
  <c r="O488" i="1"/>
  <c r="S488" i="1" s="1"/>
  <c r="O456" i="1"/>
  <c r="S456" i="1" s="1"/>
  <c r="O440" i="1"/>
  <c r="S440" i="1" s="1"/>
  <c r="O424" i="1"/>
  <c r="S424" i="1" s="1"/>
  <c r="O392" i="1"/>
  <c r="S392" i="1" s="1"/>
  <c r="O376" i="1"/>
  <c r="S376" i="1" s="1"/>
  <c r="O368" i="1"/>
  <c r="S368" i="1" s="1"/>
  <c r="O328" i="1"/>
  <c r="S328" i="1" s="1"/>
  <c r="O320" i="1"/>
  <c r="S320" i="1" s="1"/>
  <c r="O304" i="1"/>
  <c r="S304" i="1" s="1"/>
  <c r="O296" i="1"/>
  <c r="S296" i="1" s="1"/>
  <c r="O256" i="1"/>
  <c r="S256" i="1" s="1"/>
  <c r="O248" i="1"/>
  <c r="S248" i="1" s="1"/>
  <c r="O240" i="1"/>
  <c r="S240" i="1" s="1"/>
  <c r="O232" i="1"/>
  <c r="S232" i="1" s="1"/>
  <c r="O200" i="1"/>
  <c r="S200" i="1" s="1"/>
  <c r="O192" i="1"/>
  <c r="S192" i="1" s="1"/>
  <c r="O184" i="1"/>
  <c r="S184" i="1" s="1"/>
  <c r="O168" i="1"/>
  <c r="S168" i="1" s="1"/>
  <c r="O136" i="1"/>
  <c r="S136" i="1" s="1"/>
  <c r="O120" i="1"/>
  <c r="S120" i="1" s="1"/>
  <c r="O112" i="1"/>
  <c r="S112" i="1" s="1"/>
  <c r="O72" i="1"/>
  <c r="S72" i="1" s="1"/>
  <c r="O64" i="1"/>
  <c r="S64" i="1" s="1"/>
  <c r="O48" i="1"/>
  <c r="S48" i="1" s="1"/>
  <c r="O774" i="1"/>
  <c r="S774" i="1" s="1"/>
  <c r="O766" i="1"/>
  <c r="S766" i="1" s="1"/>
  <c r="O758" i="1"/>
  <c r="S758" i="1" s="1"/>
  <c r="O734" i="1"/>
  <c r="S734" i="1" s="1"/>
  <c r="O678" i="1"/>
  <c r="S678" i="1" s="1"/>
  <c r="O646" i="1"/>
  <c r="S646" i="1" s="1"/>
  <c r="O199" i="1"/>
  <c r="S199" i="1" s="1"/>
  <c r="O95" i="1"/>
  <c r="S95" i="1" s="1"/>
  <c r="O934" i="1"/>
  <c r="S934" i="1" s="1"/>
  <c r="O926" i="1"/>
  <c r="S926" i="1" s="1"/>
  <c r="O918" i="1"/>
  <c r="S918" i="1" s="1"/>
  <c r="O894" i="1"/>
  <c r="S894" i="1" s="1"/>
  <c r="O870" i="1"/>
  <c r="S870" i="1" s="1"/>
  <c r="O862" i="1"/>
  <c r="S862" i="1" s="1"/>
  <c r="O846" i="1"/>
  <c r="S846" i="1" s="1"/>
  <c r="O838" i="1"/>
  <c r="S838" i="1" s="1"/>
  <c r="O830" i="1"/>
  <c r="S830" i="1" s="1"/>
  <c r="O791" i="1"/>
  <c r="S791" i="1" s="1"/>
  <c r="O783" i="1"/>
  <c r="S783" i="1" s="1"/>
  <c r="O775" i="1"/>
  <c r="S775" i="1" s="1"/>
  <c r="O759" i="1"/>
  <c r="S759" i="1" s="1"/>
  <c r="O751" i="1"/>
  <c r="S751" i="1" s="1"/>
  <c r="O735" i="1"/>
  <c r="S735" i="1" s="1"/>
  <c r="O711" i="1"/>
  <c r="S711" i="1" s="1"/>
  <c r="O695" i="1"/>
  <c r="S695" i="1" s="1"/>
  <c r="O679" i="1"/>
  <c r="S679" i="1" s="1"/>
  <c r="O1998" i="1"/>
  <c r="S1998" i="1" s="1"/>
  <c r="O1990" i="1"/>
  <c r="S1990" i="1" s="1"/>
  <c r="O1982" i="1"/>
  <c r="S1982" i="1" s="1"/>
  <c r="O1974" i="1"/>
  <c r="S1974" i="1" s="1"/>
  <c r="O1966" i="1"/>
  <c r="S1966" i="1" s="1"/>
  <c r="O1958" i="1"/>
  <c r="S1958" i="1" s="1"/>
  <c r="O1950" i="1"/>
  <c r="S1950" i="1" s="1"/>
  <c r="O1942" i="1"/>
  <c r="S1942" i="1" s="1"/>
  <c r="O1934" i="1"/>
  <c r="S1934" i="1" s="1"/>
  <c r="O1927" i="1"/>
  <c r="S1927" i="1" s="1"/>
  <c r="O1919" i="1"/>
  <c r="S1919" i="1" s="1"/>
  <c r="O1904" i="1"/>
  <c r="S1904" i="1" s="1"/>
  <c r="O1896" i="1"/>
  <c r="S1896" i="1" s="1"/>
  <c r="O1888" i="1"/>
  <c r="S1888" i="1" s="1"/>
  <c r="O1880" i="1"/>
  <c r="S1880" i="1" s="1"/>
  <c r="O1872" i="1"/>
  <c r="S1872" i="1" s="1"/>
  <c r="O1865" i="1"/>
  <c r="S1865" i="1" s="1"/>
  <c r="O1857" i="1"/>
  <c r="S1857" i="1" s="1"/>
  <c r="O1849" i="1"/>
  <c r="S1849" i="1" s="1"/>
  <c r="O1842" i="1"/>
  <c r="S1842" i="1" s="1"/>
  <c r="O1834" i="1"/>
  <c r="S1834" i="1" s="1"/>
  <c r="O1818" i="1"/>
  <c r="S1818" i="1" s="1"/>
  <c r="O1810" i="1"/>
  <c r="S1810" i="1" s="1"/>
  <c r="O1802" i="1"/>
  <c r="S1802" i="1" s="1"/>
  <c r="O1794" i="1"/>
  <c r="S1794" i="1" s="1"/>
  <c r="O1787" i="1"/>
  <c r="S1787" i="1" s="1"/>
  <c r="O1779" i="1"/>
  <c r="S1779" i="1" s="1"/>
  <c r="O1771" i="1"/>
  <c r="S1771" i="1" s="1"/>
  <c r="O1763" i="1"/>
  <c r="S1763" i="1" s="1"/>
  <c r="O1755" i="1"/>
  <c r="S1755" i="1" s="1"/>
  <c r="O1747" i="1"/>
  <c r="S1747" i="1" s="1"/>
  <c r="O1739" i="1"/>
  <c r="S1739" i="1" s="1"/>
  <c r="O1731" i="1"/>
  <c r="S1731" i="1" s="1"/>
  <c r="O1723" i="1"/>
  <c r="S1723" i="1" s="1"/>
  <c r="O1716" i="1"/>
  <c r="S1716" i="1" s="1"/>
  <c r="O1708" i="1"/>
  <c r="S1708" i="1" s="1"/>
  <c r="O1700" i="1"/>
  <c r="S1700" i="1" s="1"/>
  <c r="O1692" i="1"/>
  <c r="S1692" i="1" s="1"/>
  <c r="O1685" i="1"/>
  <c r="S1685" i="1" s="1"/>
  <c r="O1677" i="1"/>
  <c r="S1677" i="1" s="1"/>
  <c r="O1670" i="1"/>
  <c r="S1670" i="1" s="1"/>
  <c r="O1662" i="1"/>
  <c r="S1662" i="1" s="1"/>
  <c r="O1646" i="1"/>
  <c r="S1646" i="1" s="1"/>
  <c r="O1638" i="1"/>
  <c r="S1638" i="1" s="1"/>
  <c r="O1631" i="1"/>
  <c r="S1631" i="1" s="1"/>
  <c r="O1623" i="1"/>
  <c r="S1623" i="1" s="1"/>
  <c r="O1615" i="1"/>
  <c r="S1615" i="1" s="1"/>
  <c r="O1607" i="1"/>
  <c r="S1607" i="1" s="1"/>
  <c r="O1599" i="1"/>
  <c r="S1599" i="1" s="1"/>
  <c r="O1591" i="1"/>
  <c r="S1591" i="1" s="1"/>
  <c r="O1583" i="1"/>
  <c r="S1583" i="1" s="1"/>
  <c r="O1575" i="1"/>
  <c r="S1575" i="1" s="1"/>
  <c r="O1567" i="1"/>
  <c r="S1567" i="1" s="1"/>
  <c r="O1559" i="1"/>
  <c r="S1559" i="1" s="1"/>
  <c r="O1551" i="1"/>
  <c r="S1551" i="1" s="1"/>
  <c r="O1544" i="1"/>
  <c r="S1544" i="1" s="1"/>
  <c r="O1536" i="1"/>
  <c r="S1536" i="1" s="1"/>
  <c r="O1528" i="1"/>
  <c r="S1528" i="1" s="1"/>
  <c r="O1520" i="1"/>
  <c r="S1520" i="1" s="1"/>
  <c r="O1512" i="1"/>
  <c r="S1512" i="1" s="1"/>
  <c r="O1504" i="1"/>
  <c r="S1504" i="1" s="1"/>
  <c r="O1496" i="1"/>
  <c r="S1496" i="1" s="1"/>
  <c r="O1488" i="1"/>
  <c r="S1488" i="1" s="1"/>
  <c r="O1480" i="1"/>
  <c r="S1480" i="1" s="1"/>
  <c r="O1473" i="1"/>
  <c r="S1473" i="1" s="1"/>
  <c r="O1465" i="1"/>
  <c r="S1465" i="1" s="1"/>
  <c r="O1457" i="1"/>
  <c r="S1457" i="1" s="1"/>
  <c r="O1449" i="1"/>
  <c r="S1449" i="1" s="1"/>
  <c r="O1441" i="1"/>
  <c r="S1441" i="1" s="1"/>
  <c r="O1433" i="1"/>
  <c r="S1433" i="1" s="1"/>
  <c r="O1425" i="1"/>
  <c r="S1425" i="1" s="1"/>
  <c r="O1417" i="1"/>
  <c r="S1417" i="1" s="1"/>
  <c r="O1409" i="1"/>
  <c r="S1409" i="1" s="1"/>
  <c r="O1401" i="1"/>
  <c r="S1401" i="1" s="1"/>
  <c r="O1393" i="1"/>
  <c r="S1393" i="1" s="1"/>
  <c r="O1385" i="1"/>
  <c r="S1385" i="1" s="1"/>
  <c r="O1377" i="1"/>
  <c r="S1377" i="1" s="1"/>
  <c r="O1369" i="1"/>
  <c r="S1369" i="1" s="1"/>
  <c r="O1362" i="1"/>
  <c r="S1362" i="1" s="1"/>
  <c r="O1354" i="1"/>
  <c r="S1354" i="1" s="1"/>
  <c r="O1346" i="1"/>
  <c r="S1346" i="1" s="1"/>
  <c r="O1338" i="1"/>
  <c r="S1338" i="1" s="1"/>
  <c r="O1330" i="1"/>
  <c r="S1330" i="1" s="1"/>
  <c r="O1322" i="1"/>
  <c r="S1322" i="1" s="1"/>
  <c r="O1314" i="1"/>
  <c r="S1314" i="1" s="1"/>
  <c r="O1306" i="1"/>
  <c r="S1306" i="1" s="1"/>
  <c r="O1298" i="1"/>
  <c r="S1298" i="1" s="1"/>
  <c r="O1290" i="1"/>
  <c r="S1290" i="1" s="1"/>
  <c r="O1282" i="1"/>
  <c r="S1282" i="1" s="1"/>
  <c r="O1274" i="1"/>
  <c r="S1274" i="1" s="1"/>
  <c r="O1266" i="1"/>
  <c r="S1266" i="1" s="1"/>
  <c r="O1258" i="1"/>
  <c r="S1258" i="1" s="1"/>
  <c r="O1250" i="1"/>
  <c r="S1250" i="1" s="1"/>
  <c r="O1242" i="1"/>
  <c r="S1242" i="1" s="1"/>
  <c r="O1234" i="1"/>
  <c r="S1234" i="1" s="1"/>
  <c r="O1226" i="1"/>
  <c r="S1226" i="1" s="1"/>
  <c r="O1218" i="1"/>
  <c r="S1218" i="1" s="1"/>
  <c r="O1210" i="1"/>
  <c r="S1210" i="1" s="1"/>
  <c r="O1194" i="1"/>
  <c r="S1194" i="1" s="1"/>
  <c r="O1186" i="1"/>
  <c r="S1186" i="1" s="1"/>
  <c r="O1178" i="1"/>
  <c r="S1178" i="1" s="1"/>
  <c r="O1170" i="1"/>
  <c r="S1170" i="1" s="1"/>
  <c r="O1162" i="1"/>
  <c r="S1162" i="1" s="1"/>
  <c r="O1154" i="1"/>
  <c r="S1154" i="1" s="1"/>
  <c r="O1146" i="1"/>
  <c r="S1146" i="1" s="1"/>
  <c r="O1138" i="1"/>
  <c r="S1138" i="1" s="1"/>
  <c r="O1130" i="1"/>
  <c r="S1130" i="1" s="1"/>
  <c r="O1122" i="1"/>
  <c r="S1122" i="1" s="1"/>
  <c r="O1114" i="1"/>
  <c r="S1114" i="1" s="1"/>
  <c r="O1106" i="1"/>
  <c r="S1106" i="1" s="1"/>
  <c r="O1098" i="1"/>
  <c r="S1098" i="1" s="1"/>
  <c r="O1090" i="1"/>
  <c r="S1090" i="1" s="1"/>
  <c r="O1082" i="1"/>
  <c r="S1082" i="1" s="1"/>
  <c r="O1074" i="1"/>
  <c r="S1074" i="1" s="1"/>
  <c r="O1066" i="1"/>
  <c r="S1066" i="1" s="1"/>
  <c r="O1058" i="1"/>
  <c r="S1058" i="1" s="1"/>
  <c r="O1050" i="1"/>
  <c r="S1050" i="1" s="1"/>
  <c r="O1042" i="1"/>
  <c r="S1042" i="1" s="1"/>
  <c r="O1034" i="1"/>
  <c r="S1034" i="1" s="1"/>
  <c r="O1026" i="1"/>
  <c r="S1026" i="1" s="1"/>
  <c r="O1018" i="1"/>
  <c r="S1018" i="1" s="1"/>
  <c r="O1010" i="1"/>
  <c r="S1010" i="1" s="1"/>
  <c r="O1002" i="1"/>
  <c r="S1002" i="1" s="1"/>
  <c r="O994" i="1"/>
  <c r="S994" i="1" s="1"/>
  <c r="O986" i="1"/>
  <c r="S986" i="1" s="1"/>
  <c r="O978" i="1"/>
  <c r="S978" i="1" s="1"/>
  <c r="O970" i="1"/>
  <c r="S970" i="1" s="1"/>
  <c r="O963" i="1"/>
  <c r="S963" i="1" s="1"/>
  <c r="O955" i="1"/>
  <c r="S955" i="1" s="1"/>
  <c r="O947" i="1"/>
  <c r="S947" i="1" s="1"/>
  <c r="O939" i="1"/>
  <c r="S939" i="1" s="1"/>
  <c r="O931" i="1"/>
  <c r="S931" i="1" s="1"/>
  <c r="O923" i="1"/>
  <c r="S923" i="1" s="1"/>
  <c r="O915" i="1"/>
  <c r="S915" i="1" s="1"/>
  <c r="O907" i="1"/>
  <c r="S907" i="1" s="1"/>
  <c r="O899" i="1"/>
  <c r="S899" i="1" s="1"/>
  <c r="O891" i="1"/>
  <c r="S891" i="1" s="1"/>
  <c r="O883" i="1"/>
  <c r="S883" i="1" s="1"/>
  <c r="O578" i="1"/>
  <c r="S578" i="1" s="1"/>
  <c r="O570" i="1"/>
  <c r="S570" i="1" s="1"/>
  <c r="O562" i="1"/>
  <c r="S562" i="1" s="1"/>
  <c r="O554" i="1"/>
  <c r="S554" i="1" s="1"/>
  <c r="O546" i="1"/>
  <c r="S546" i="1" s="1"/>
  <c r="O530" i="1"/>
  <c r="S530" i="1" s="1"/>
  <c r="O522" i="1"/>
  <c r="S522" i="1" s="1"/>
  <c r="O514" i="1"/>
  <c r="S514" i="1" s="1"/>
  <c r="O506" i="1"/>
  <c r="S506" i="1" s="1"/>
  <c r="O498" i="1"/>
  <c r="S498" i="1" s="1"/>
  <c r="O490" i="1"/>
  <c r="S490" i="1" s="1"/>
  <c r="O482" i="1"/>
  <c r="S482" i="1" s="1"/>
  <c r="O474" i="1"/>
  <c r="S474" i="1" s="1"/>
  <c r="O466" i="1"/>
  <c r="S466" i="1" s="1"/>
  <c r="O458" i="1"/>
  <c r="S458" i="1" s="1"/>
  <c r="O450" i="1"/>
  <c r="S450" i="1" s="1"/>
  <c r="O442" i="1"/>
  <c r="S442" i="1" s="1"/>
  <c r="O434" i="1"/>
  <c r="S434" i="1" s="1"/>
  <c r="O426" i="1"/>
  <c r="S426" i="1" s="1"/>
  <c r="O418" i="1"/>
  <c r="S418" i="1" s="1"/>
  <c r="O410" i="1"/>
  <c r="S410" i="1" s="1"/>
  <c r="O402" i="1"/>
  <c r="S402" i="1" s="1"/>
  <c r="O394" i="1"/>
  <c r="S394" i="1" s="1"/>
  <c r="O386" i="1"/>
  <c r="S386" i="1" s="1"/>
  <c r="O378" i="1"/>
  <c r="S378" i="1" s="1"/>
  <c r="O370" i="1"/>
  <c r="S370" i="1" s="1"/>
  <c r="O362" i="1"/>
  <c r="S362" i="1" s="1"/>
  <c r="O354" i="1"/>
  <c r="S354" i="1" s="1"/>
  <c r="O346" i="1"/>
  <c r="S346" i="1" s="1"/>
  <c r="O338" i="1"/>
  <c r="S338" i="1" s="1"/>
  <c r="O330" i="1"/>
  <c r="S330" i="1" s="1"/>
  <c r="O322" i="1"/>
  <c r="S322" i="1" s="1"/>
  <c r="O314" i="1"/>
  <c r="S314" i="1" s="1"/>
  <c r="O306" i="1"/>
  <c r="S306" i="1" s="1"/>
  <c r="O298" i="1"/>
  <c r="S298" i="1" s="1"/>
  <c r="O290" i="1"/>
  <c r="S290" i="1" s="1"/>
  <c r="O282" i="1"/>
  <c r="S282" i="1" s="1"/>
  <c r="O274" i="1"/>
  <c r="S274" i="1" s="1"/>
  <c r="O266" i="1"/>
  <c r="S266" i="1" s="1"/>
  <c r="O258" i="1"/>
  <c r="S258" i="1" s="1"/>
  <c r="O250" i="1"/>
  <c r="S250" i="1" s="1"/>
  <c r="O242" i="1"/>
  <c r="S242" i="1" s="1"/>
  <c r="O234" i="1"/>
  <c r="S234" i="1" s="1"/>
  <c r="O226" i="1"/>
  <c r="S226" i="1" s="1"/>
  <c r="O218" i="1"/>
  <c r="S218" i="1" s="1"/>
  <c r="O210" i="1"/>
  <c r="S210" i="1" s="1"/>
  <c r="O202" i="1"/>
  <c r="S202" i="1" s="1"/>
  <c r="O194" i="1"/>
  <c r="S194" i="1" s="1"/>
  <c r="O186" i="1"/>
  <c r="S186" i="1" s="1"/>
  <c r="O178" i="1"/>
  <c r="S178" i="1" s="1"/>
  <c r="O170" i="1"/>
  <c r="S170" i="1" s="1"/>
  <c r="O162" i="1"/>
  <c r="S162" i="1" s="1"/>
  <c r="O154" i="1"/>
  <c r="S154" i="1" s="1"/>
  <c r="O146" i="1"/>
  <c r="S146" i="1" s="1"/>
  <c r="O138" i="1"/>
  <c r="S138" i="1" s="1"/>
  <c r="O130" i="1"/>
  <c r="S130" i="1" s="1"/>
  <c r="O122" i="1"/>
  <c r="S122" i="1" s="1"/>
  <c r="O114" i="1"/>
  <c r="S114" i="1" s="1"/>
  <c r="O106" i="1"/>
  <c r="S106" i="1" s="1"/>
  <c r="O98" i="1"/>
  <c r="S98" i="1" s="1"/>
  <c r="O90" i="1"/>
  <c r="S90" i="1" s="1"/>
  <c r="O82" i="1"/>
  <c r="S82" i="1" s="1"/>
  <c r="O74" i="1"/>
  <c r="S74" i="1" s="1"/>
  <c r="O66" i="1"/>
  <c r="S66" i="1" s="1"/>
  <c r="O58" i="1"/>
  <c r="S58" i="1" s="1"/>
  <c r="O50" i="1"/>
  <c r="S50" i="1" s="1"/>
  <c r="O42" i="1"/>
  <c r="S42" i="1" s="1"/>
  <c r="O34" i="1"/>
  <c r="S34" i="1" s="1"/>
  <c r="O26" i="1"/>
  <c r="S26" i="1" s="1"/>
  <c r="O18" i="1"/>
  <c r="S18" i="1" s="1"/>
  <c r="O10" i="1"/>
  <c r="S10" i="1" s="1"/>
  <c r="O401" i="1"/>
  <c r="S401" i="1" s="1"/>
  <c r="O393" i="1"/>
  <c r="S393" i="1" s="1"/>
  <c r="O385" i="1"/>
  <c r="S385" i="1" s="1"/>
  <c r="O377" i="1"/>
  <c r="S377" i="1" s="1"/>
  <c r="O361" i="1"/>
  <c r="S361" i="1" s="1"/>
  <c r="O353" i="1"/>
  <c r="S353" i="1" s="1"/>
  <c r="O337" i="1"/>
  <c r="S337" i="1" s="1"/>
  <c r="O313" i="1"/>
  <c r="S313" i="1" s="1"/>
  <c r="O297" i="1"/>
  <c r="S297" i="1" s="1"/>
  <c r="O289" i="1"/>
  <c r="S289" i="1" s="1"/>
  <c r="O273" i="1"/>
  <c r="S273" i="1" s="1"/>
  <c r="O265" i="1"/>
  <c r="S265" i="1" s="1"/>
  <c r="O257" i="1"/>
  <c r="S257" i="1" s="1"/>
  <c r="O249" i="1"/>
  <c r="S249" i="1" s="1"/>
  <c r="O233" i="1"/>
  <c r="S233" i="1" s="1"/>
  <c r="O225" i="1"/>
  <c r="S225" i="1" s="1"/>
  <c r="O209" i="1"/>
  <c r="S209" i="1" s="1"/>
  <c r="O201" i="1"/>
  <c r="S201" i="1" s="1"/>
  <c r="O185" i="1"/>
  <c r="S185" i="1" s="1"/>
  <c r="O177" i="1"/>
  <c r="S177" i="1" s="1"/>
  <c r="O169" i="1"/>
  <c r="S169" i="1" s="1"/>
  <c r="O161" i="1"/>
  <c r="S161" i="1" s="1"/>
  <c r="O153" i="1"/>
  <c r="S153" i="1" s="1"/>
  <c r="O145" i="1"/>
  <c r="S145" i="1" s="1"/>
  <c r="O137" i="1"/>
  <c r="S137" i="1" s="1"/>
  <c r="O129" i="1"/>
  <c r="S129" i="1" s="1"/>
  <c r="O121" i="1"/>
  <c r="S121" i="1" s="1"/>
  <c r="O105" i="1"/>
  <c r="S105" i="1" s="1"/>
  <c r="O97" i="1"/>
  <c r="S97" i="1" s="1"/>
  <c r="O89" i="1"/>
  <c r="S89" i="1" s="1"/>
  <c r="O81" i="1"/>
  <c r="S81" i="1" s="1"/>
  <c r="O73" i="1"/>
  <c r="S73" i="1" s="1"/>
  <c r="O57" i="1"/>
  <c r="S57" i="1" s="1"/>
  <c r="O49" i="1"/>
  <c r="S49" i="1" s="1"/>
  <c r="O41" i="1"/>
  <c r="S41" i="1" s="1"/>
  <c r="O33" i="1"/>
  <c r="S33" i="1" s="1"/>
  <c r="O25" i="1"/>
  <c r="S25" i="1" s="1"/>
  <c r="O9" i="1"/>
  <c r="S9" i="1" s="1"/>
  <c r="O875" i="1"/>
  <c r="S875" i="1" s="1"/>
  <c r="O867" i="1"/>
  <c r="S867" i="1" s="1"/>
  <c r="O859" i="1"/>
  <c r="S859" i="1" s="1"/>
  <c r="O851" i="1"/>
  <c r="S851" i="1" s="1"/>
  <c r="O843" i="1"/>
  <c r="S843" i="1" s="1"/>
  <c r="O835" i="1"/>
  <c r="S835" i="1" s="1"/>
  <c r="O827" i="1"/>
  <c r="S827" i="1" s="1"/>
  <c r="O819" i="1"/>
  <c r="S819" i="1" s="1"/>
  <c r="O811" i="1"/>
  <c r="S811" i="1" s="1"/>
  <c r="O803" i="1"/>
  <c r="S803" i="1" s="1"/>
  <c r="O796" i="1"/>
  <c r="S796" i="1" s="1"/>
  <c r="O788" i="1"/>
  <c r="S788" i="1" s="1"/>
  <c r="O780" i="1"/>
  <c r="S780" i="1" s="1"/>
  <c r="O772" i="1"/>
  <c r="S772" i="1" s="1"/>
  <c r="O764" i="1"/>
  <c r="S764" i="1" s="1"/>
  <c r="O756" i="1"/>
  <c r="S756" i="1" s="1"/>
  <c r="O748" i="1"/>
  <c r="S748" i="1" s="1"/>
  <c r="O740" i="1"/>
  <c r="S740" i="1" s="1"/>
  <c r="O732" i="1"/>
  <c r="S732" i="1" s="1"/>
  <c r="O724" i="1"/>
  <c r="S724" i="1" s="1"/>
  <c r="O716" i="1"/>
  <c r="S716" i="1" s="1"/>
  <c r="O708" i="1"/>
  <c r="S708" i="1" s="1"/>
  <c r="O700" i="1"/>
  <c r="S700" i="1" s="1"/>
  <c r="O692" i="1"/>
  <c r="S692" i="1" s="1"/>
  <c r="O684" i="1"/>
  <c r="S684" i="1" s="1"/>
  <c r="O676" i="1"/>
  <c r="S676" i="1" s="1"/>
  <c r="O668" i="1"/>
  <c r="S668" i="1" s="1"/>
  <c r="O660" i="1"/>
  <c r="S660" i="1" s="1"/>
  <c r="O652" i="1"/>
  <c r="S652" i="1" s="1"/>
  <c r="O644" i="1"/>
  <c r="S644" i="1" s="1"/>
  <c r="O636" i="1"/>
  <c r="S636" i="1" s="1"/>
  <c r="O628" i="1"/>
  <c r="S628" i="1" s="1"/>
  <c r="O620" i="1"/>
  <c r="S620" i="1" s="1"/>
  <c r="O612" i="1"/>
  <c r="S612" i="1" s="1"/>
  <c r="O604" i="1"/>
  <c r="S604" i="1" s="1"/>
  <c r="O596" i="1"/>
  <c r="S596" i="1" s="1"/>
  <c r="O589" i="1"/>
  <c r="S589" i="1" s="1"/>
  <c r="O581" i="1"/>
  <c r="S581" i="1" s="1"/>
  <c r="O573" i="1"/>
  <c r="S573" i="1" s="1"/>
  <c r="O565" i="1"/>
  <c r="S565" i="1" s="1"/>
  <c r="O557" i="1"/>
  <c r="S557" i="1" s="1"/>
  <c r="O549" i="1"/>
  <c r="S549" i="1" s="1"/>
  <c r="O541" i="1"/>
  <c r="S541" i="1" s="1"/>
  <c r="O533" i="1"/>
  <c r="S533" i="1" s="1"/>
  <c r="O525" i="1"/>
  <c r="S525" i="1" s="1"/>
  <c r="O517" i="1"/>
  <c r="S517" i="1" s="1"/>
  <c r="O509" i="1"/>
  <c r="S509" i="1" s="1"/>
  <c r="O501" i="1"/>
  <c r="S501" i="1" s="1"/>
  <c r="O493" i="1"/>
  <c r="S493" i="1" s="1"/>
  <c r="O485" i="1"/>
  <c r="S485" i="1" s="1"/>
  <c r="O477" i="1"/>
  <c r="S477" i="1" s="1"/>
  <c r="O469" i="1"/>
  <c r="S469" i="1" s="1"/>
  <c r="O461" i="1"/>
  <c r="S461" i="1" s="1"/>
  <c r="O453" i="1"/>
  <c r="S453" i="1" s="1"/>
  <c r="O445" i="1"/>
  <c r="S445" i="1" s="1"/>
  <c r="O437" i="1"/>
  <c r="S437" i="1" s="1"/>
  <c r="O429" i="1"/>
  <c r="S429" i="1" s="1"/>
  <c r="O421" i="1"/>
  <c r="S421" i="1" s="1"/>
  <c r="O413" i="1"/>
  <c r="S413" i="1" s="1"/>
  <c r="O405" i="1"/>
  <c r="S405" i="1" s="1"/>
  <c r="O397" i="1"/>
  <c r="S397" i="1" s="1"/>
  <c r="O389" i="1"/>
  <c r="S389" i="1" s="1"/>
  <c r="O381" i="1"/>
  <c r="S381" i="1" s="1"/>
  <c r="O341" i="1"/>
  <c r="S341" i="1" s="1"/>
  <c r="O277" i="1"/>
  <c r="S277" i="1" s="1"/>
  <c r="O245" i="1"/>
  <c r="S245" i="1" s="1"/>
  <c r="O181" i="1"/>
  <c r="S181" i="1" s="1"/>
  <c r="O1858" i="1"/>
  <c r="S1858" i="1" s="1"/>
  <c r="O1756" i="1"/>
  <c r="S1756" i="1" s="1"/>
  <c r="O1407" i="1"/>
  <c r="S1407" i="1" s="1"/>
  <c r="O1399" i="1"/>
  <c r="S1399" i="1" s="1"/>
  <c r="O1391" i="1"/>
  <c r="S1391" i="1" s="1"/>
  <c r="O1375" i="1"/>
  <c r="S1375" i="1" s="1"/>
  <c r="O1367" i="1"/>
  <c r="S1367" i="1" s="1"/>
  <c r="O1360" i="1"/>
  <c r="S1360" i="1" s="1"/>
  <c r="O1352" i="1"/>
  <c r="S1352" i="1" s="1"/>
  <c r="O1344" i="1"/>
  <c r="S1344" i="1" s="1"/>
  <c r="O1328" i="1"/>
  <c r="S1328" i="1" s="1"/>
  <c r="O1312" i="1"/>
  <c r="S1312" i="1" s="1"/>
  <c r="O1304" i="1"/>
  <c r="S1304" i="1" s="1"/>
  <c r="O1296" i="1"/>
  <c r="S1296" i="1" s="1"/>
  <c r="O1288" i="1"/>
  <c r="S1288" i="1" s="1"/>
  <c r="O1280" i="1"/>
  <c r="S1280" i="1" s="1"/>
  <c r="O1272" i="1"/>
  <c r="S1272" i="1" s="1"/>
  <c r="O1256" i="1"/>
  <c r="S1256" i="1" s="1"/>
  <c r="O1248" i="1"/>
  <c r="S1248" i="1" s="1"/>
  <c r="O1240" i="1"/>
  <c r="S1240" i="1" s="1"/>
  <c r="O1232" i="1"/>
  <c r="S1232" i="1" s="1"/>
  <c r="O1224" i="1"/>
  <c r="S1224" i="1" s="1"/>
  <c r="O1216" i="1"/>
  <c r="S1216" i="1" s="1"/>
  <c r="O1208" i="1"/>
  <c r="S1208" i="1" s="1"/>
  <c r="O1200" i="1"/>
  <c r="S1200" i="1" s="1"/>
  <c r="O1184" i="1"/>
  <c r="S1184" i="1" s="1"/>
  <c r="O1168" i="1"/>
  <c r="S1168" i="1" s="1"/>
  <c r="O1160" i="1"/>
  <c r="S1160" i="1" s="1"/>
  <c r="O1152" i="1"/>
  <c r="S1152" i="1" s="1"/>
  <c r="O1144" i="1"/>
  <c r="S1144" i="1" s="1"/>
  <c r="O1128" i="1"/>
  <c r="S1128" i="1" s="1"/>
  <c r="O1120" i="1"/>
  <c r="S1120" i="1" s="1"/>
  <c r="O1112" i="1"/>
  <c r="S1112" i="1" s="1"/>
  <c r="O1096" i="1"/>
  <c r="S1096" i="1" s="1"/>
  <c r="O1088" i="1"/>
  <c r="S1088" i="1" s="1"/>
  <c r="O1072" i="1"/>
  <c r="S1072" i="1" s="1"/>
  <c r="O1064" i="1"/>
  <c r="S1064" i="1" s="1"/>
  <c r="O1056" i="1"/>
  <c r="S1056" i="1" s="1"/>
  <c r="O1048" i="1"/>
  <c r="S1048" i="1" s="1"/>
  <c r="O1040" i="1"/>
  <c r="S1040" i="1" s="1"/>
  <c r="O1032" i="1"/>
  <c r="S1032" i="1" s="1"/>
  <c r="O1024" i="1"/>
  <c r="S1024" i="1" s="1"/>
  <c r="O1016" i="1"/>
  <c r="S1016" i="1" s="1"/>
  <c r="O1000" i="1"/>
  <c r="S1000" i="1" s="1"/>
  <c r="O992" i="1"/>
  <c r="S992" i="1" s="1"/>
  <c r="O976" i="1"/>
  <c r="S976" i="1" s="1"/>
  <c r="O968" i="1"/>
  <c r="S968" i="1" s="1"/>
  <c r="O961" i="1"/>
  <c r="S961" i="1" s="1"/>
  <c r="O953" i="1"/>
  <c r="S953" i="1" s="1"/>
  <c r="O945" i="1"/>
  <c r="S945" i="1" s="1"/>
  <c r="O921" i="1"/>
  <c r="S921" i="1" s="1"/>
  <c r="O913" i="1"/>
  <c r="S913" i="1" s="1"/>
  <c r="O905" i="1"/>
  <c r="S905" i="1" s="1"/>
  <c r="O897" i="1"/>
  <c r="S897" i="1" s="1"/>
  <c r="O889" i="1"/>
  <c r="S889" i="1" s="1"/>
  <c r="O873" i="1"/>
  <c r="S873" i="1" s="1"/>
  <c r="O865" i="1"/>
  <c r="S865" i="1" s="1"/>
  <c r="O857" i="1"/>
  <c r="S857" i="1" s="1"/>
  <c r="O833" i="1"/>
  <c r="S833" i="1" s="1"/>
  <c r="O801" i="1"/>
  <c r="S801" i="1" s="1"/>
  <c r="O666" i="1"/>
  <c r="S666" i="1" s="1"/>
  <c r="O587" i="1"/>
  <c r="S587" i="1" s="1"/>
  <c r="O523" i="1"/>
  <c r="S523" i="1" s="1"/>
  <c r="O459" i="1"/>
  <c r="S459" i="1" s="1"/>
  <c r="O451" i="1"/>
  <c r="S451" i="1" s="1"/>
  <c r="O427" i="1"/>
  <c r="S427" i="1" s="1"/>
  <c r="O355" i="1"/>
  <c r="S355" i="1" s="1"/>
  <c r="O291" i="1"/>
  <c r="S291" i="1" s="1"/>
  <c r="O259" i="1"/>
  <c r="S259" i="1" s="1"/>
  <c r="O195" i="1"/>
  <c r="S195" i="1" s="1"/>
  <c r="O83" i="1"/>
  <c r="S83" i="1" s="1"/>
  <c r="O1907" i="1"/>
  <c r="S1907" i="1" s="1"/>
  <c r="O1845" i="1"/>
  <c r="S1845" i="1" s="1"/>
  <c r="O1570" i="1"/>
  <c r="S1570" i="1" s="1"/>
  <c r="O1412" i="1"/>
  <c r="S1412" i="1" s="1"/>
  <c r="O1364" i="1"/>
  <c r="S1364" i="1" s="1"/>
  <c r="O1317" i="1"/>
  <c r="S1317" i="1" s="1"/>
  <c r="O1157" i="1"/>
  <c r="S1157" i="1" s="1"/>
  <c r="O1109" i="1"/>
  <c r="S1109" i="1" s="1"/>
  <c r="O1061" i="1"/>
  <c r="S1061" i="1" s="1"/>
  <c r="O902" i="1"/>
  <c r="S902" i="1" s="1"/>
  <c r="O854" i="1"/>
  <c r="S854" i="1" s="1"/>
  <c r="O806" i="1"/>
  <c r="S806" i="1" s="1"/>
  <c r="O272" i="1"/>
  <c r="S272" i="1" s="1"/>
  <c r="O208" i="1"/>
  <c r="S208" i="1" s="1"/>
  <c r="O144" i="1"/>
  <c r="S144" i="1" s="1"/>
  <c r="O2000" i="1"/>
  <c r="S2000" i="1" s="1"/>
  <c r="O1992" i="1"/>
  <c r="S1992" i="1" s="1"/>
  <c r="O1984" i="1"/>
  <c r="S1984" i="1" s="1"/>
  <c r="O1976" i="1"/>
  <c r="S1976" i="1" s="1"/>
  <c r="O1968" i="1"/>
  <c r="S1968" i="1" s="1"/>
  <c r="O1960" i="1"/>
  <c r="S1960" i="1" s="1"/>
  <c r="O1952" i="1"/>
  <c r="S1952" i="1" s="1"/>
  <c r="O1936" i="1"/>
  <c r="S1936" i="1" s="1"/>
  <c r="O1928" i="1"/>
  <c r="S1928" i="1" s="1"/>
  <c r="O1913" i="1"/>
  <c r="S1913" i="1" s="1"/>
  <c r="O1898" i="1"/>
  <c r="S1898" i="1" s="1"/>
  <c r="O1890" i="1"/>
  <c r="S1890" i="1" s="1"/>
  <c r="O1882" i="1"/>
  <c r="S1882" i="1" s="1"/>
  <c r="O1874" i="1"/>
  <c r="S1874" i="1" s="1"/>
  <c r="O1867" i="1"/>
  <c r="S1867" i="1" s="1"/>
  <c r="O1859" i="1"/>
  <c r="S1859" i="1" s="1"/>
  <c r="O1851" i="1"/>
  <c r="S1851" i="1" s="1"/>
  <c r="O1844" i="1"/>
  <c r="S1844" i="1" s="1"/>
  <c r="O1836" i="1"/>
  <c r="S1836" i="1" s="1"/>
  <c r="O1828" i="1"/>
  <c r="S1828" i="1" s="1"/>
  <c r="O1820" i="1"/>
  <c r="S1820" i="1" s="1"/>
  <c r="O1804" i="1"/>
  <c r="S1804" i="1" s="1"/>
  <c r="O1789" i="1"/>
  <c r="S1789" i="1" s="1"/>
  <c r="O1781" i="1"/>
  <c r="S1781" i="1" s="1"/>
  <c r="O1773" i="1"/>
  <c r="S1773" i="1" s="1"/>
  <c r="O1765" i="1"/>
  <c r="S1765" i="1" s="1"/>
  <c r="O1741" i="1"/>
  <c r="S1741" i="1" s="1"/>
  <c r="O1733" i="1"/>
  <c r="S1733" i="1" s="1"/>
  <c r="O1725" i="1"/>
  <c r="S1725" i="1" s="1"/>
  <c r="O1710" i="1"/>
  <c r="S1710" i="1" s="1"/>
  <c r="O1687" i="1"/>
  <c r="S1687" i="1" s="1"/>
  <c r="O1679" i="1"/>
  <c r="S1679" i="1" s="1"/>
  <c r="O1671" i="1"/>
  <c r="S1671" i="1" s="1"/>
  <c r="O1648" i="1"/>
  <c r="S1648" i="1" s="1"/>
  <c r="O1640" i="1"/>
  <c r="S1640" i="1" s="1"/>
  <c r="O1633" i="1"/>
  <c r="S1633" i="1" s="1"/>
  <c r="O1617" i="1"/>
  <c r="S1617" i="1" s="1"/>
  <c r="O1609" i="1"/>
  <c r="S1609" i="1" s="1"/>
  <c r="O1593" i="1"/>
  <c r="S1593" i="1" s="1"/>
  <c r="O1585" i="1"/>
  <c r="S1585" i="1" s="1"/>
  <c r="O1577" i="1"/>
  <c r="S1577" i="1" s="1"/>
  <c r="O1569" i="1"/>
  <c r="S1569" i="1" s="1"/>
  <c r="O1561" i="1"/>
  <c r="S1561" i="1" s="1"/>
  <c r="O1546" i="1"/>
  <c r="S1546" i="1" s="1"/>
  <c r="O1538" i="1"/>
  <c r="S1538" i="1" s="1"/>
  <c r="O1530" i="1"/>
  <c r="S1530" i="1" s="1"/>
  <c r="O1522" i="1"/>
  <c r="S1522" i="1" s="1"/>
  <c r="O1514" i="1"/>
  <c r="S1514" i="1" s="1"/>
  <c r="O1506" i="1"/>
  <c r="S1506" i="1" s="1"/>
  <c r="O1498" i="1"/>
  <c r="S1498" i="1" s="1"/>
  <c r="O1490" i="1"/>
  <c r="S1490" i="1" s="1"/>
  <c r="O1482" i="1"/>
  <c r="S1482" i="1" s="1"/>
  <c r="O1475" i="1"/>
  <c r="S1475" i="1" s="1"/>
  <c r="O1467" i="1"/>
  <c r="S1467" i="1" s="1"/>
  <c r="O1451" i="1"/>
  <c r="S1451" i="1" s="1"/>
  <c r="O1443" i="1"/>
  <c r="S1443" i="1" s="1"/>
  <c r="O1427" i="1"/>
  <c r="S1427" i="1" s="1"/>
  <c r="O1419" i="1"/>
  <c r="S1419" i="1" s="1"/>
  <c r="O1411" i="1"/>
  <c r="S1411" i="1" s="1"/>
  <c r="O1395" i="1"/>
  <c r="S1395" i="1" s="1"/>
  <c r="O1387" i="1"/>
  <c r="S1387" i="1" s="1"/>
  <c r="O1379" i="1"/>
  <c r="S1379" i="1" s="1"/>
  <c r="O1371" i="1"/>
  <c r="S1371" i="1" s="1"/>
  <c r="O1356" i="1"/>
  <c r="S1356" i="1" s="1"/>
  <c r="O1348" i="1"/>
  <c r="S1348" i="1" s="1"/>
  <c r="O1340" i="1"/>
  <c r="S1340" i="1" s="1"/>
  <c r="O1332" i="1"/>
  <c r="S1332" i="1" s="1"/>
  <c r="O1324" i="1"/>
  <c r="S1324" i="1" s="1"/>
  <c r="O1316" i="1"/>
  <c r="S1316" i="1" s="1"/>
  <c r="O1308" i="1"/>
  <c r="S1308" i="1" s="1"/>
  <c r="O1300" i="1"/>
  <c r="S1300" i="1" s="1"/>
  <c r="O1292" i="1"/>
  <c r="S1292" i="1" s="1"/>
  <c r="O1284" i="1"/>
  <c r="S1284" i="1" s="1"/>
  <c r="O1276" i="1"/>
  <c r="S1276" i="1" s="1"/>
  <c r="O1268" i="1"/>
  <c r="S1268" i="1" s="1"/>
  <c r="O1260" i="1"/>
  <c r="S1260" i="1" s="1"/>
  <c r="O1252" i="1"/>
  <c r="S1252" i="1" s="1"/>
  <c r="O1244" i="1"/>
  <c r="S1244" i="1" s="1"/>
  <c r="O1236" i="1"/>
  <c r="S1236" i="1" s="1"/>
  <c r="O1228" i="1"/>
  <c r="S1228" i="1" s="1"/>
  <c r="O1220" i="1"/>
  <c r="S1220" i="1" s="1"/>
  <c r="O1212" i="1"/>
  <c r="S1212" i="1" s="1"/>
  <c r="O1204" i="1"/>
  <c r="S1204" i="1" s="1"/>
  <c r="O1180" i="1"/>
  <c r="S1180" i="1" s="1"/>
  <c r="O1156" i="1"/>
  <c r="S1156" i="1" s="1"/>
  <c r="O1140" i="1"/>
  <c r="S1140" i="1" s="1"/>
  <c r="O1100" i="1"/>
  <c r="S1100" i="1" s="1"/>
  <c r="O1044" i="1"/>
  <c r="S1044" i="1" s="1"/>
  <c r="O1028" i="1"/>
  <c r="S1028" i="1" s="1"/>
  <c r="O972" i="1"/>
  <c r="S972" i="1" s="1"/>
  <c r="O949" i="1"/>
  <c r="S949" i="1" s="1"/>
  <c r="O925" i="1"/>
  <c r="S925" i="1" s="1"/>
  <c r="O893" i="1"/>
  <c r="S893" i="1" s="1"/>
  <c r="O885" i="1"/>
  <c r="S885" i="1" s="1"/>
  <c r="O845" i="1"/>
  <c r="S845" i="1" s="1"/>
  <c r="O837" i="1"/>
  <c r="S837" i="1" s="1"/>
  <c r="O790" i="1"/>
  <c r="S790" i="1" s="1"/>
  <c r="O742" i="1"/>
  <c r="S742" i="1" s="1"/>
  <c r="O670" i="1"/>
  <c r="S670" i="1" s="1"/>
  <c r="O606" i="1"/>
  <c r="S606" i="1" s="1"/>
  <c r="O583" i="1"/>
  <c r="S583" i="1" s="1"/>
  <c r="O439" i="1"/>
  <c r="S439" i="1" s="1"/>
  <c r="O375" i="1"/>
  <c r="S375" i="1" s="1"/>
  <c r="O295" i="1"/>
  <c r="S295" i="1" s="1"/>
  <c r="O231" i="1"/>
  <c r="S231" i="1" s="1"/>
  <c r="O175" i="1"/>
  <c r="S175" i="1" s="1"/>
  <c r="O167" i="1"/>
  <c r="S167" i="1" s="1"/>
  <c r="O111" i="1"/>
  <c r="S111" i="1" s="1"/>
  <c r="O63" i="1"/>
  <c r="S63" i="1" s="1"/>
  <c r="O1999" i="1"/>
  <c r="S1999" i="1" s="1"/>
  <c r="O1991" i="1"/>
  <c r="S1991" i="1" s="1"/>
  <c r="O1983" i="1"/>
  <c r="S1983" i="1" s="1"/>
  <c r="O1975" i="1"/>
  <c r="S1975" i="1" s="1"/>
  <c r="O1967" i="1"/>
  <c r="S1967" i="1" s="1"/>
  <c r="O1959" i="1"/>
  <c r="S1959" i="1" s="1"/>
  <c r="O1951" i="1"/>
  <c r="S1951" i="1" s="1"/>
  <c r="O1943" i="1"/>
  <c r="S1943" i="1" s="1"/>
  <c r="O1920" i="1"/>
  <c r="S1920" i="1" s="1"/>
  <c r="O1912" i="1"/>
  <c r="S1912" i="1" s="1"/>
  <c r="O1905" i="1"/>
  <c r="S1905" i="1" s="1"/>
  <c r="O1897" i="1"/>
  <c r="S1897" i="1" s="1"/>
  <c r="O1889" i="1"/>
  <c r="S1889" i="1" s="1"/>
  <c r="O1881" i="1"/>
  <c r="S1881" i="1" s="1"/>
  <c r="O1866" i="1"/>
  <c r="S1866" i="1" s="1"/>
  <c r="O1850" i="1"/>
  <c r="S1850" i="1" s="1"/>
  <c r="O1843" i="1"/>
  <c r="S1843" i="1" s="1"/>
  <c r="O1835" i="1"/>
  <c r="S1835" i="1" s="1"/>
  <c r="O1827" i="1"/>
  <c r="S1827" i="1" s="1"/>
  <c r="O1819" i="1"/>
  <c r="S1819" i="1" s="1"/>
  <c r="O1803" i="1"/>
  <c r="S1803" i="1" s="1"/>
  <c r="O1795" i="1"/>
  <c r="S1795" i="1" s="1"/>
  <c r="O1788" i="1"/>
  <c r="S1788" i="1" s="1"/>
  <c r="O1780" i="1"/>
  <c r="S1780" i="1" s="1"/>
  <c r="O1772" i="1"/>
  <c r="S1772" i="1" s="1"/>
  <c r="O1764" i="1"/>
  <c r="S1764" i="1" s="1"/>
  <c r="O1748" i="1"/>
  <c r="S1748" i="1" s="1"/>
  <c r="O1740" i="1"/>
  <c r="S1740" i="1" s="1"/>
  <c r="O1732" i="1"/>
  <c r="S1732" i="1" s="1"/>
  <c r="O1724" i="1"/>
  <c r="S1724" i="1" s="1"/>
  <c r="O1717" i="1"/>
  <c r="S1717" i="1" s="1"/>
  <c r="O1709" i="1"/>
  <c r="S1709" i="1" s="1"/>
  <c r="O1701" i="1"/>
  <c r="S1701" i="1" s="1"/>
  <c r="O1693" i="1"/>
  <c r="S1693" i="1" s="1"/>
  <c r="O1686" i="1"/>
  <c r="S1686" i="1" s="1"/>
  <c r="O1678" i="1"/>
  <c r="S1678" i="1" s="1"/>
  <c r="O1663" i="1"/>
  <c r="S1663" i="1" s="1"/>
  <c r="O1655" i="1"/>
  <c r="S1655" i="1" s="1"/>
  <c r="O1647" i="1"/>
  <c r="S1647" i="1" s="1"/>
  <c r="O1639" i="1"/>
  <c r="S1639" i="1" s="1"/>
  <c r="O1632" i="1"/>
  <c r="S1632" i="1" s="1"/>
  <c r="O1624" i="1"/>
  <c r="S1624" i="1" s="1"/>
  <c r="O1616" i="1"/>
  <c r="S1616" i="1" s="1"/>
  <c r="O1608" i="1"/>
  <c r="S1608" i="1" s="1"/>
  <c r="O1600" i="1"/>
  <c r="S1600" i="1" s="1"/>
  <c r="O1592" i="1"/>
  <c r="S1592" i="1" s="1"/>
  <c r="O1584" i="1"/>
  <c r="S1584" i="1" s="1"/>
  <c r="O1576" i="1"/>
  <c r="S1576" i="1" s="1"/>
  <c r="O1560" i="1"/>
  <c r="S1560" i="1" s="1"/>
  <c r="O1552" i="1"/>
  <c r="S1552" i="1" s="1"/>
  <c r="O1545" i="1"/>
  <c r="S1545" i="1" s="1"/>
  <c r="O1537" i="1"/>
  <c r="S1537" i="1" s="1"/>
  <c r="O1521" i="1"/>
  <c r="S1521" i="1" s="1"/>
  <c r="O1513" i="1"/>
  <c r="S1513" i="1" s="1"/>
  <c r="O1505" i="1"/>
  <c r="S1505" i="1" s="1"/>
  <c r="O1489" i="1"/>
  <c r="S1489" i="1" s="1"/>
  <c r="O1481" i="1"/>
  <c r="S1481" i="1" s="1"/>
  <c r="O1458" i="1"/>
  <c r="S1458" i="1" s="1"/>
  <c r="O1410" i="1"/>
  <c r="S1410" i="1" s="1"/>
  <c r="O1339" i="1"/>
  <c r="S1339" i="1" s="1"/>
  <c r="O1235" i="1"/>
  <c r="S1235" i="1" s="1"/>
  <c r="O1203" i="1"/>
  <c r="S1203" i="1" s="1"/>
  <c r="O1155" i="1"/>
  <c r="S1155" i="1" s="1"/>
  <c r="O1107" i="1"/>
  <c r="S1107" i="1" s="1"/>
  <c r="O1083" i="1"/>
  <c r="S1083" i="1" s="1"/>
  <c r="O979" i="1"/>
  <c r="S979" i="1" s="1"/>
  <c r="O948" i="1"/>
  <c r="S948" i="1" s="1"/>
  <c r="O900" i="1"/>
  <c r="S900" i="1" s="1"/>
  <c r="O781" i="1"/>
  <c r="S781" i="1" s="1"/>
  <c r="O749" i="1"/>
  <c r="S749" i="1" s="1"/>
  <c r="O693" i="1"/>
  <c r="S693" i="1" s="1"/>
  <c r="O278" i="1"/>
  <c r="S278" i="1" s="1"/>
  <c r="O222" i="1"/>
  <c r="S222" i="1" s="1"/>
  <c r="O1196" i="1"/>
  <c r="S1196" i="1" s="1"/>
  <c r="O1188" i="1"/>
  <c r="S1188" i="1" s="1"/>
  <c r="O1172" i="1"/>
  <c r="S1172" i="1" s="1"/>
  <c r="O1164" i="1"/>
  <c r="S1164" i="1" s="1"/>
  <c r="O1148" i="1"/>
  <c r="S1148" i="1" s="1"/>
  <c r="O1132" i="1"/>
  <c r="S1132" i="1" s="1"/>
  <c r="O1124" i="1"/>
  <c r="S1124" i="1" s="1"/>
  <c r="O1116" i="1"/>
  <c r="S1116" i="1" s="1"/>
  <c r="O1108" i="1"/>
  <c r="S1108" i="1" s="1"/>
  <c r="O1092" i="1"/>
  <c r="S1092" i="1" s="1"/>
  <c r="O1084" i="1"/>
  <c r="S1084" i="1" s="1"/>
  <c r="O1076" i="1"/>
  <c r="S1076" i="1" s="1"/>
  <c r="O1068" i="1"/>
  <c r="S1068" i="1" s="1"/>
  <c r="O1060" i="1"/>
  <c r="S1060" i="1" s="1"/>
  <c r="O1052" i="1"/>
  <c r="S1052" i="1" s="1"/>
  <c r="O1036" i="1"/>
  <c r="S1036" i="1" s="1"/>
  <c r="O1020" i="1"/>
  <c r="S1020" i="1" s="1"/>
  <c r="O1012" i="1"/>
  <c r="S1012" i="1" s="1"/>
  <c r="O1004" i="1"/>
  <c r="S1004" i="1" s="1"/>
  <c r="O996" i="1"/>
  <c r="S996" i="1" s="1"/>
  <c r="O988" i="1"/>
  <c r="S988" i="1" s="1"/>
  <c r="O980" i="1"/>
  <c r="S980" i="1" s="1"/>
  <c r="O965" i="1"/>
  <c r="S965" i="1" s="1"/>
  <c r="O957" i="1"/>
  <c r="S957" i="1" s="1"/>
  <c r="O941" i="1"/>
  <c r="S941" i="1" s="1"/>
  <c r="O933" i="1"/>
  <c r="S933" i="1" s="1"/>
  <c r="O917" i="1"/>
  <c r="S917" i="1" s="1"/>
  <c r="O909" i="1"/>
  <c r="S909" i="1" s="1"/>
  <c r="O901" i="1"/>
  <c r="S901" i="1" s="1"/>
  <c r="O877" i="1"/>
  <c r="S877" i="1" s="1"/>
  <c r="O869" i="1"/>
  <c r="S869" i="1" s="1"/>
  <c r="O861" i="1"/>
  <c r="S861" i="1" s="1"/>
  <c r="O829" i="1"/>
  <c r="S829" i="1" s="1"/>
  <c r="O821" i="1"/>
  <c r="S821" i="1" s="1"/>
  <c r="O813" i="1"/>
  <c r="S813" i="1" s="1"/>
  <c r="O805" i="1"/>
  <c r="S805" i="1" s="1"/>
  <c r="O797" i="1"/>
  <c r="S797" i="1" s="1"/>
  <c r="O782" i="1"/>
  <c r="S782" i="1" s="1"/>
  <c r="O750" i="1"/>
  <c r="S750" i="1" s="1"/>
  <c r="O726" i="1"/>
  <c r="S726" i="1" s="1"/>
  <c r="O718" i="1"/>
  <c r="S718" i="1" s="1"/>
  <c r="O710" i="1"/>
  <c r="S710" i="1" s="1"/>
  <c r="O702" i="1"/>
  <c r="S702" i="1" s="1"/>
  <c r="O694" i="1"/>
  <c r="S694" i="1" s="1"/>
  <c r="O686" i="1"/>
  <c r="S686" i="1" s="1"/>
  <c r="O662" i="1"/>
  <c r="S662" i="1" s="1"/>
  <c r="O654" i="1"/>
  <c r="S654" i="1" s="1"/>
  <c r="O638" i="1"/>
  <c r="S638" i="1" s="1"/>
  <c r="O630" i="1"/>
  <c r="S630" i="1" s="1"/>
  <c r="O622" i="1"/>
  <c r="S622" i="1" s="1"/>
  <c r="O614" i="1"/>
  <c r="S614" i="1" s="1"/>
  <c r="O598" i="1"/>
  <c r="S598" i="1" s="1"/>
  <c r="O591" i="1"/>
  <c r="S591" i="1" s="1"/>
  <c r="O575" i="1"/>
  <c r="S575" i="1" s="1"/>
  <c r="O567" i="1"/>
  <c r="S567" i="1" s="1"/>
  <c r="O559" i="1"/>
  <c r="S559" i="1" s="1"/>
  <c r="O551" i="1"/>
  <c r="S551" i="1" s="1"/>
  <c r="O543" i="1"/>
  <c r="S543" i="1" s="1"/>
  <c r="O535" i="1"/>
  <c r="S535" i="1" s="1"/>
  <c r="O527" i="1"/>
  <c r="S527" i="1" s="1"/>
  <c r="O519" i="1"/>
  <c r="S519" i="1" s="1"/>
  <c r="O511" i="1"/>
  <c r="S511" i="1" s="1"/>
  <c r="O503" i="1"/>
  <c r="S503" i="1" s="1"/>
  <c r="O495" i="1"/>
  <c r="S495" i="1" s="1"/>
  <c r="O487" i="1"/>
  <c r="S487" i="1" s="1"/>
  <c r="O479" i="1"/>
  <c r="S479" i="1" s="1"/>
  <c r="O471" i="1"/>
  <c r="S471" i="1" s="1"/>
  <c r="O463" i="1"/>
  <c r="S463" i="1" s="1"/>
  <c r="O455" i="1"/>
  <c r="S455" i="1" s="1"/>
  <c r="O447" i="1"/>
  <c r="S447" i="1" s="1"/>
  <c r="O431" i="1"/>
  <c r="S431" i="1" s="1"/>
  <c r="O423" i="1"/>
  <c r="S423" i="1" s="1"/>
  <c r="O415" i="1"/>
  <c r="S415" i="1" s="1"/>
  <c r="O407" i="1"/>
  <c r="S407" i="1" s="1"/>
  <c r="O399" i="1"/>
  <c r="S399" i="1" s="1"/>
  <c r="O391" i="1"/>
  <c r="S391" i="1" s="1"/>
  <c r="O383" i="1"/>
  <c r="S383" i="1" s="1"/>
  <c r="O367" i="1"/>
  <c r="S367" i="1" s="1"/>
  <c r="O359" i="1"/>
  <c r="S359" i="1" s="1"/>
  <c r="O351" i="1"/>
  <c r="S351" i="1" s="1"/>
  <c r="O343" i="1"/>
  <c r="S343" i="1" s="1"/>
  <c r="O335" i="1"/>
  <c r="S335" i="1" s="1"/>
  <c r="O327" i="1"/>
  <c r="S327" i="1" s="1"/>
  <c r="O319" i="1"/>
  <c r="S319" i="1" s="1"/>
  <c r="O311" i="1"/>
  <c r="S311" i="1" s="1"/>
  <c r="O303" i="1"/>
  <c r="S303" i="1" s="1"/>
  <c r="O287" i="1"/>
  <c r="S287" i="1" s="1"/>
  <c r="O279" i="1"/>
  <c r="S279" i="1" s="1"/>
  <c r="O271" i="1"/>
  <c r="S271" i="1" s="1"/>
  <c r="O263" i="1"/>
  <c r="S263" i="1" s="1"/>
  <c r="O255" i="1"/>
  <c r="S255" i="1" s="1"/>
  <c r="O247" i="1"/>
  <c r="S247" i="1" s="1"/>
  <c r="O239" i="1"/>
  <c r="S239" i="1" s="1"/>
  <c r="O223" i="1"/>
  <c r="S223" i="1" s="1"/>
  <c r="O215" i="1"/>
  <c r="S215" i="1" s="1"/>
  <c r="O207" i="1"/>
  <c r="S207" i="1" s="1"/>
  <c r="O191" i="1"/>
  <c r="S191" i="1" s="1"/>
  <c r="O159" i="1"/>
  <c r="S159" i="1" s="1"/>
  <c r="O151" i="1"/>
  <c r="S151" i="1" s="1"/>
  <c r="O143" i="1"/>
  <c r="S143" i="1" s="1"/>
  <c r="O135" i="1"/>
  <c r="S135" i="1" s="1"/>
  <c r="O127" i="1"/>
  <c r="S127" i="1" s="1"/>
  <c r="O119" i="1"/>
  <c r="S119" i="1" s="1"/>
  <c r="O103" i="1"/>
  <c r="S103" i="1" s="1"/>
  <c r="O87" i="1"/>
  <c r="S87" i="1" s="1"/>
  <c r="O79" i="1"/>
  <c r="S79" i="1" s="1"/>
  <c r="O71" i="1"/>
  <c r="S71" i="1" s="1"/>
  <c r="O55" i="1"/>
  <c r="S55" i="1" s="1"/>
  <c r="O47" i="1"/>
  <c r="S47" i="1" s="1"/>
  <c r="O39" i="1"/>
  <c r="S39" i="1" s="1"/>
  <c r="O31" i="1"/>
  <c r="S31" i="1" s="1"/>
  <c r="O23" i="1"/>
  <c r="S23" i="1" s="1"/>
  <c r="O7" i="1"/>
  <c r="S7" i="1" s="1"/>
  <c r="O1497" i="1"/>
  <c r="S1497" i="1" s="1"/>
  <c r="O1474" i="1"/>
  <c r="S1474" i="1" s="1"/>
  <c r="O1466" i="1"/>
  <c r="S1466" i="1" s="1"/>
  <c r="O1450" i="1"/>
  <c r="S1450" i="1" s="1"/>
  <c r="O1442" i="1"/>
  <c r="S1442" i="1" s="1"/>
  <c r="O1434" i="1"/>
  <c r="S1434" i="1" s="1"/>
  <c r="O1426" i="1"/>
  <c r="S1426" i="1" s="1"/>
  <c r="O1418" i="1"/>
  <c r="S1418" i="1" s="1"/>
  <c r="O1402" i="1"/>
  <c r="S1402" i="1" s="1"/>
  <c r="O1394" i="1"/>
  <c r="S1394" i="1" s="1"/>
  <c r="O1386" i="1"/>
  <c r="S1386" i="1" s="1"/>
  <c r="O1378" i="1"/>
  <c r="S1378" i="1" s="1"/>
  <c r="O1370" i="1"/>
  <c r="S1370" i="1" s="1"/>
  <c r="O1355" i="1"/>
  <c r="S1355" i="1" s="1"/>
  <c r="O1347" i="1"/>
  <c r="S1347" i="1" s="1"/>
  <c r="O1323" i="1"/>
  <c r="S1323" i="1" s="1"/>
  <c r="O1315" i="1"/>
  <c r="S1315" i="1" s="1"/>
  <c r="O1307" i="1"/>
  <c r="S1307" i="1" s="1"/>
  <c r="O1299" i="1"/>
  <c r="S1299" i="1" s="1"/>
  <c r="O1283" i="1"/>
  <c r="S1283" i="1" s="1"/>
  <c r="O1267" i="1"/>
  <c r="S1267" i="1" s="1"/>
  <c r="O1259" i="1"/>
  <c r="S1259" i="1" s="1"/>
  <c r="O1251" i="1"/>
  <c r="S1251" i="1" s="1"/>
  <c r="O1243" i="1"/>
  <c r="S1243" i="1" s="1"/>
  <c r="O1227" i="1"/>
  <c r="S1227" i="1" s="1"/>
  <c r="O1219" i="1"/>
  <c r="S1219" i="1" s="1"/>
  <c r="O1211" i="1"/>
  <c r="S1211" i="1" s="1"/>
  <c r="O1195" i="1"/>
  <c r="S1195" i="1" s="1"/>
  <c r="O1187" i="1"/>
  <c r="S1187" i="1" s="1"/>
  <c r="O1179" i="1"/>
  <c r="S1179" i="1" s="1"/>
  <c r="O1171" i="1"/>
  <c r="S1171" i="1" s="1"/>
  <c r="O1163" i="1"/>
  <c r="S1163" i="1" s="1"/>
  <c r="O1147" i="1"/>
  <c r="S1147" i="1" s="1"/>
  <c r="O1139" i="1"/>
  <c r="S1139" i="1" s="1"/>
  <c r="O1131" i="1"/>
  <c r="S1131" i="1" s="1"/>
  <c r="O1123" i="1"/>
  <c r="S1123" i="1" s="1"/>
  <c r="O1115" i="1"/>
  <c r="S1115" i="1" s="1"/>
  <c r="O1099" i="1"/>
  <c r="S1099" i="1" s="1"/>
  <c r="O1091" i="1"/>
  <c r="S1091" i="1" s="1"/>
  <c r="O1067" i="1"/>
  <c r="S1067" i="1" s="1"/>
  <c r="O1059" i="1"/>
  <c r="S1059" i="1" s="1"/>
  <c r="O1051" i="1"/>
  <c r="S1051" i="1" s="1"/>
  <c r="O1043" i="1"/>
  <c r="S1043" i="1" s="1"/>
  <c r="O1035" i="1"/>
  <c r="S1035" i="1" s="1"/>
  <c r="O1011" i="1"/>
  <c r="S1011" i="1" s="1"/>
  <c r="O1003" i="1"/>
  <c r="S1003" i="1" s="1"/>
  <c r="O995" i="1"/>
  <c r="S995" i="1" s="1"/>
  <c r="O987" i="1"/>
  <c r="S987" i="1" s="1"/>
  <c r="O964" i="1"/>
  <c r="S964" i="1" s="1"/>
  <c r="O956" i="1"/>
  <c r="S956" i="1" s="1"/>
  <c r="O940" i="1"/>
  <c r="S940" i="1" s="1"/>
  <c r="O932" i="1"/>
  <c r="S932" i="1" s="1"/>
  <c r="O924" i="1"/>
  <c r="S924" i="1" s="1"/>
  <c r="O916" i="1"/>
  <c r="S916" i="1" s="1"/>
  <c r="O908" i="1"/>
  <c r="S908" i="1" s="1"/>
  <c r="O892" i="1"/>
  <c r="S892" i="1" s="1"/>
  <c r="O884" i="1"/>
  <c r="S884" i="1" s="1"/>
  <c r="O876" i="1"/>
  <c r="S876" i="1" s="1"/>
  <c r="O868" i="1"/>
  <c r="S868" i="1" s="1"/>
  <c r="O860" i="1"/>
  <c r="S860" i="1" s="1"/>
  <c r="O844" i="1"/>
  <c r="S844" i="1" s="1"/>
  <c r="O836" i="1"/>
  <c r="S836" i="1" s="1"/>
  <c r="O812" i="1"/>
  <c r="S812" i="1" s="1"/>
  <c r="O804" i="1"/>
  <c r="S804" i="1" s="1"/>
  <c r="O789" i="1"/>
  <c r="S789" i="1" s="1"/>
  <c r="O773" i="1"/>
  <c r="S773" i="1" s="1"/>
  <c r="O765" i="1"/>
  <c r="S765" i="1" s="1"/>
  <c r="O757" i="1"/>
  <c r="S757" i="1" s="1"/>
  <c r="O741" i="1"/>
  <c r="S741" i="1" s="1"/>
  <c r="O733" i="1"/>
  <c r="S733" i="1" s="1"/>
  <c r="O725" i="1"/>
  <c r="S725" i="1" s="1"/>
  <c r="O717" i="1"/>
  <c r="S717" i="1" s="1"/>
  <c r="O709" i="1"/>
  <c r="S709" i="1" s="1"/>
  <c r="O701" i="1"/>
  <c r="S701" i="1" s="1"/>
  <c r="O685" i="1"/>
  <c r="S685" i="1" s="1"/>
  <c r="O677" i="1"/>
  <c r="S677" i="1" s="1"/>
  <c r="O669" i="1"/>
  <c r="S669" i="1" s="1"/>
  <c r="O661" i="1"/>
  <c r="S661" i="1" s="1"/>
  <c r="O653" i="1"/>
  <c r="S653" i="1" s="1"/>
  <c r="O645" i="1"/>
  <c r="S645" i="1" s="1"/>
  <c r="O637" i="1"/>
  <c r="S637" i="1" s="1"/>
  <c r="O629" i="1"/>
  <c r="S629" i="1" s="1"/>
  <c r="O613" i="1"/>
  <c r="S613" i="1" s="1"/>
  <c r="O605" i="1"/>
  <c r="S605" i="1" s="1"/>
  <c r="O597" i="1"/>
  <c r="S597" i="1" s="1"/>
  <c r="O590" i="1"/>
  <c r="S590" i="1" s="1"/>
  <c r="O582" i="1"/>
  <c r="S582" i="1" s="1"/>
  <c r="O574" i="1"/>
  <c r="S574" i="1" s="1"/>
  <c r="O550" i="1"/>
  <c r="S550" i="1" s="1"/>
  <c r="O542" i="1"/>
  <c r="S542" i="1" s="1"/>
  <c r="O534" i="1"/>
  <c r="S534" i="1" s="1"/>
  <c r="O526" i="1"/>
  <c r="S526" i="1" s="1"/>
  <c r="O518" i="1"/>
  <c r="S518" i="1" s="1"/>
  <c r="O510" i="1"/>
  <c r="S510" i="1" s="1"/>
  <c r="O494" i="1"/>
  <c r="S494" i="1" s="1"/>
  <c r="O486" i="1"/>
  <c r="S486" i="1" s="1"/>
  <c r="O478" i="1"/>
  <c r="S478" i="1" s="1"/>
  <c r="O470" i="1"/>
  <c r="S470" i="1" s="1"/>
  <c r="O462" i="1"/>
  <c r="S462" i="1" s="1"/>
  <c r="O454" i="1"/>
  <c r="S454" i="1" s="1"/>
  <c r="O446" i="1"/>
  <c r="S446" i="1" s="1"/>
  <c r="O438" i="1"/>
  <c r="S438" i="1" s="1"/>
  <c r="O430" i="1"/>
  <c r="S430" i="1" s="1"/>
  <c r="O422" i="1"/>
  <c r="S422" i="1" s="1"/>
  <c r="O414" i="1"/>
  <c r="S414" i="1" s="1"/>
  <c r="O398" i="1"/>
  <c r="S398" i="1" s="1"/>
  <c r="O390" i="1"/>
  <c r="S390" i="1" s="1"/>
  <c r="O382" i="1"/>
  <c r="S382" i="1" s="1"/>
  <c r="O374" i="1"/>
  <c r="S374" i="1" s="1"/>
  <c r="O366" i="1"/>
  <c r="S366" i="1" s="1"/>
  <c r="O358" i="1"/>
  <c r="S358" i="1" s="1"/>
  <c r="O350" i="1"/>
  <c r="S350" i="1" s="1"/>
  <c r="O334" i="1"/>
  <c r="S334" i="1" s="1"/>
  <c r="O326" i="1"/>
  <c r="S326" i="1" s="1"/>
  <c r="O318" i="1"/>
  <c r="S318" i="1" s="1"/>
  <c r="O302" i="1"/>
  <c r="S302" i="1" s="1"/>
  <c r="O294" i="1"/>
  <c r="S294" i="1" s="1"/>
  <c r="O286" i="1"/>
  <c r="S286" i="1" s="1"/>
  <c r="O270" i="1"/>
  <c r="S270" i="1" s="1"/>
  <c r="O262" i="1"/>
  <c r="S262" i="1" s="1"/>
  <c r="O254" i="1"/>
  <c r="S254" i="1" s="1"/>
  <c r="O238" i="1"/>
  <c r="S238" i="1" s="1"/>
  <c r="O230" i="1"/>
  <c r="S230" i="1" s="1"/>
  <c r="O214" i="1"/>
  <c r="S214" i="1" s="1"/>
  <c r="O206" i="1"/>
  <c r="S206" i="1" s="1"/>
  <c r="O198" i="1"/>
  <c r="S198" i="1" s="1"/>
  <c r="O190" i="1"/>
  <c r="S190" i="1" s="1"/>
  <c r="O174" i="1"/>
  <c r="S174" i="1" s="1"/>
  <c r="O166" i="1"/>
  <c r="S166" i="1" s="1"/>
  <c r="O150" i="1"/>
  <c r="S150" i="1" s="1"/>
  <c r="O142" i="1"/>
  <c r="S142" i="1" s="1"/>
  <c r="O134" i="1"/>
  <c r="S134" i="1" s="1"/>
  <c r="O118" i="1"/>
  <c r="S118" i="1" s="1"/>
  <c r="O110" i="1"/>
  <c r="S110" i="1" s="1"/>
  <c r="O102" i="1"/>
  <c r="S102" i="1" s="1"/>
  <c r="O94" i="1"/>
  <c r="S94" i="1" s="1"/>
  <c r="O78" i="1"/>
  <c r="S78" i="1" s="1"/>
  <c r="O70" i="1"/>
  <c r="S70" i="1" s="1"/>
  <c r="O62" i="1"/>
  <c r="S62" i="1" s="1"/>
  <c r="O54" i="1"/>
  <c r="S54" i="1" s="1"/>
  <c r="O46" i="1"/>
  <c r="S46" i="1" s="1"/>
  <c r="O38" i="1"/>
  <c r="S38" i="1" s="1"/>
  <c r="O30" i="1"/>
  <c r="S30" i="1" s="1"/>
  <c r="O22" i="1"/>
  <c r="S22" i="1" s="1"/>
  <c r="O6" i="1"/>
  <c r="S6" i="1" s="1"/>
  <c r="O373" i="1"/>
  <c r="S373" i="1" s="1"/>
  <c r="O365" i="1"/>
  <c r="S365" i="1" s="1"/>
  <c r="O357" i="1"/>
  <c r="S357" i="1" s="1"/>
  <c r="O349" i="1"/>
  <c r="S349" i="1" s="1"/>
  <c r="O333" i="1"/>
  <c r="S333" i="1" s="1"/>
  <c r="O325" i="1"/>
  <c r="S325" i="1" s="1"/>
  <c r="O317" i="1"/>
  <c r="S317" i="1" s="1"/>
  <c r="O301" i="1"/>
  <c r="S301" i="1" s="1"/>
  <c r="O293" i="1"/>
  <c r="S293" i="1" s="1"/>
  <c r="O285" i="1"/>
  <c r="S285" i="1" s="1"/>
  <c r="O269" i="1"/>
  <c r="S269" i="1" s="1"/>
  <c r="O261" i="1"/>
  <c r="S261" i="1" s="1"/>
  <c r="O253" i="1"/>
  <c r="S253" i="1" s="1"/>
  <c r="O237" i="1"/>
  <c r="S237" i="1" s="1"/>
  <c r="O229" i="1"/>
  <c r="S229" i="1" s="1"/>
  <c r="O221" i="1"/>
  <c r="S221" i="1" s="1"/>
  <c r="O213" i="1"/>
  <c r="S213" i="1" s="1"/>
  <c r="O205" i="1"/>
  <c r="S205" i="1" s="1"/>
  <c r="O197" i="1"/>
  <c r="S197" i="1" s="1"/>
  <c r="O189" i="1"/>
  <c r="S189" i="1" s="1"/>
  <c r="O173" i="1"/>
  <c r="S173" i="1" s="1"/>
  <c r="O165" i="1"/>
  <c r="S165" i="1" s="1"/>
  <c r="O157" i="1"/>
  <c r="S157" i="1" s="1"/>
  <c r="O149" i="1"/>
  <c r="S149" i="1" s="1"/>
  <c r="O141" i="1"/>
  <c r="S141" i="1" s="1"/>
  <c r="O133" i="1"/>
  <c r="S133" i="1" s="1"/>
  <c r="O125" i="1"/>
  <c r="S125" i="1" s="1"/>
  <c r="O117" i="1"/>
  <c r="S117" i="1" s="1"/>
  <c r="O109" i="1"/>
  <c r="S109" i="1" s="1"/>
  <c r="O101" i="1"/>
  <c r="S101" i="1" s="1"/>
  <c r="O93" i="1"/>
  <c r="S93" i="1" s="1"/>
  <c r="O85" i="1"/>
  <c r="S85" i="1" s="1"/>
  <c r="O77" i="1"/>
  <c r="S77" i="1" s="1"/>
  <c r="O69" i="1"/>
  <c r="S69" i="1" s="1"/>
  <c r="O61" i="1"/>
  <c r="S61" i="1" s="1"/>
  <c r="O53" i="1"/>
  <c r="S53" i="1" s="1"/>
  <c r="O45" i="1"/>
  <c r="S45" i="1" s="1"/>
  <c r="O37" i="1"/>
  <c r="S37" i="1" s="1"/>
  <c r="O29" i="1"/>
  <c r="S29" i="1" s="1"/>
  <c r="O21" i="1"/>
  <c r="S21" i="1" s="1"/>
  <c r="O5" i="1"/>
  <c r="S5" i="1" s="1"/>
  <c r="O849" i="1"/>
  <c r="S849" i="1" s="1"/>
  <c r="O841" i="1"/>
  <c r="S841" i="1" s="1"/>
  <c r="O817" i="1"/>
  <c r="S817" i="1" s="1"/>
  <c r="O794" i="1"/>
  <c r="S794" i="1" s="1"/>
  <c r="O786" i="1"/>
  <c r="S786" i="1" s="1"/>
  <c r="O778" i="1"/>
  <c r="S778" i="1" s="1"/>
  <c r="O770" i="1"/>
  <c r="S770" i="1" s="1"/>
  <c r="O762" i="1"/>
  <c r="S762" i="1" s="1"/>
  <c r="O754" i="1"/>
  <c r="S754" i="1" s="1"/>
  <c r="O746" i="1"/>
  <c r="S746" i="1" s="1"/>
  <c r="O738" i="1"/>
  <c r="S738" i="1" s="1"/>
  <c r="O730" i="1"/>
  <c r="S730" i="1" s="1"/>
  <c r="O722" i="1"/>
  <c r="S722" i="1" s="1"/>
  <c r="O698" i="1"/>
  <c r="S698" i="1" s="1"/>
  <c r="O690" i="1"/>
  <c r="S690" i="1" s="1"/>
  <c r="O682" i="1"/>
  <c r="S682" i="1" s="1"/>
  <c r="O674" i="1"/>
  <c r="S674" i="1" s="1"/>
  <c r="O658" i="1"/>
  <c r="S658" i="1" s="1"/>
  <c r="O650" i="1"/>
  <c r="S650" i="1" s="1"/>
  <c r="O642" i="1"/>
  <c r="S642" i="1" s="1"/>
  <c r="O634" i="1"/>
  <c r="S634" i="1" s="1"/>
  <c r="O626" i="1"/>
  <c r="S626" i="1" s="1"/>
  <c r="O618" i="1"/>
  <c r="S618" i="1" s="1"/>
  <c r="O610" i="1"/>
  <c r="S610" i="1" s="1"/>
  <c r="O602" i="1"/>
  <c r="S602" i="1" s="1"/>
  <c r="O594" i="1"/>
  <c r="S594" i="1" s="1"/>
  <c r="O579" i="1"/>
  <c r="S579" i="1" s="1"/>
  <c r="O571" i="1"/>
  <c r="S571" i="1" s="1"/>
  <c r="O563" i="1"/>
  <c r="S563" i="1" s="1"/>
  <c r="O555" i="1"/>
  <c r="S555" i="1" s="1"/>
  <c r="O547" i="1"/>
  <c r="S547" i="1" s="1"/>
  <c r="O539" i="1"/>
  <c r="S539" i="1" s="1"/>
  <c r="O531" i="1"/>
  <c r="S531" i="1" s="1"/>
  <c r="O507" i="1"/>
  <c r="S507" i="1" s="1"/>
  <c r="O499" i="1"/>
  <c r="S499" i="1" s="1"/>
  <c r="O483" i="1"/>
  <c r="S483" i="1" s="1"/>
  <c r="O475" i="1"/>
  <c r="S475" i="1" s="1"/>
  <c r="O467" i="1"/>
  <c r="S467" i="1" s="1"/>
  <c r="O443" i="1"/>
  <c r="S443" i="1" s="1"/>
  <c r="O435" i="1"/>
  <c r="S435" i="1" s="1"/>
  <c r="O411" i="1"/>
  <c r="S411" i="1" s="1"/>
  <c r="O403" i="1"/>
  <c r="S403" i="1" s="1"/>
  <c r="O395" i="1"/>
  <c r="S395" i="1" s="1"/>
  <c r="O379" i="1"/>
  <c r="S379" i="1" s="1"/>
  <c r="O371" i="1"/>
  <c r="S371" i="1" s="1"/>
  <c r="O347" i="1"/>
  <c r="S347" i="1" s="1"/>
  <c r="O339" i="1"/>
  <c r="S339" i="1" s="1"/>
  <c r="O331" i="1"/>
  <c r="S331" i="1" s="1"/>
  <c r="O323" i="1"/>
  <c r="S323" i="1" s="1"/>
  <c r="O315" i="1"/>
  <c r="S315" i="1" s="1"/>
  <c r="O307" i="1"/>
  <c r="S307" i="1" s="1"/>
  <c r="O299" i="1"/>
  <c r="S299" i="1" s="1"/>
  <c r="O283" i="1"/>
  <c r="S283" i="1" s="1"/>
  <c r="O275" i="1"/>
  <c r="S275" i="1" s="1"/>
  <c r="O267" i="1"/>
  <c r="S267" i="1" s="1"/>
  <c r="O251" i="1"/>
  <c r="S251" i="1" s="1"/>
  <c r="O243" i="1"/>
  <c r="S243" i="1" s="1"/>
  <c r="O235" i="1"/>
  <c r="S235" i="1" s="1"/>
  <c r="O227" i="1"/>
  <c r="S227" i="1" s="1"/>
  <c r="O219" i="1"/>
  <c r="S219" i="1" s="1"/>
  <c r="O203" i="1"/>
  <c r="S203" i="1" s="1"/>
  <c r="O187" i="1"/>
  <c r="S187" i="1" s="1"/>
  <c r="O179" i="1"/>
  <c r="S179" i="1" s="1"/>
  <c r="O171" i="1"/>
  <c r="S171" i="1" s="1"/>
  <c r="O163" i="1"/>
  <c r="S163" i="1" s="1"/>
  <c r="O155" i="1"/>
  <c r="S155" i="1" s="1"/>
  <c r="O139" i="1"/>
  <c r="S139" i="1" s="1"/>
  <c r="O123" i="1"/>
  <c r="S123" i="1" s="1"/>
  <c r="O115" i="1"/>
  <c r="S115" i="1" s="1"/>
  <c r="O107" i="1"/>
  <c r="S107" i="1" s="1"/>
  <c r="O99" i="1"/>
  <c r="S99" i="1" s="1"/>
  <c r="O91" i="1"/>
  <c r="S91" i="1" s="1"/>
  <c r="O75" i="1"/>
  <c r="S75" i="1" s="1"/>
  <c r="O67" i="1"/>
  <c r="S67" i="1" s="1"/>
  <c r="O59" i="1"/>
  <c r="S59" i="1" s="1"/>
  <c r="O51" i="1"/>
  <c r="S51" i="1" s="1"/>
  <c r="O43" i="1"/>
  <c r="S43" i="1" s="1"/>
  <c r="O35" i="1"/>
  <c r="S35" i="1" s="1"/>
  <c r="O27" i="1"/>
  <c r="S27" i="1" s="1"/>
  <c r="O19" i="1"/>
  <c r="S19" i="1" s="1"/>
  <c r="O11" i="1"/>
  <c r="S11" i="1" s="1"/>
  <c r="O3" i="1"/>
  <c r="S3" i="1" s="1"/>
  <c r="O1586" i="1"/>
  <c r="S1586" i="1" s="1"/>
  <c r="O1578" i="1"/>
  <c r="S1578" i="1" s="1"/>
  <c r="O1523" i="1"/>
  <c r="S1523" i="1" s="1"/>
  <c r="O1515" i="1"/>
  <c r="S1515" i="1" s="1"/>
  <c r="O1460" i="1"/>
  <c r="S1460" i="1" s="1"/>
  <c r="O1452" i="1"/>
  <c r="S1452" i="1" s="1"/>
  <c r="O1396" i="1"/>
  <c r="S1396" i="1" s="1"/>
  <c r="O1388" i="1"/>
  <c r="S1388" i="1" s="1"/>
  <c r="O1333" i="1"/>
  <c r="S1333" i="1" s="1"/>
  <c r="O1325" i="1"/>
  <c r="S1325" i="1" s="1"/>
  <c r="O1269" i="1"/>
  <c r="S1269" i="1" s="1"/>
  <c r="O1261" i="1"/>
  <c r="S1261" i="1" s="1"/>
  <c r="O1205" i="1"/>
  <c r="S1205" i="1" s="1"/>
  <c r="O1197" i="1"/>
  <c r="S1197" i="1" s="1"/>
  <c r="O1141" i="1"/>
  <c r="S1141" i="1" s="1"/>
  <c r="O1133" i="1"/>
  <c r="S1133" i="1" s="1"/>
  <c r="O1077" i="1"/>
  <c r="S1077" i="1" s="1"/>
  <c r="O1069" i="1"/>
  <c r="S1069" i="1" s="1"/>
  <c r="O1013" i="1"/>
  <c r="S1013" i="1" s="1"/>
  <c r="O1005" i="1"/>
  <c r="S1005" i="1" s="1"/>
  <c r="O950" i="1"/>
  <c r="S950" i="1" s="1"/>
  <c r="O942" i="1"/>
  <c r="S942" i="1" s="1"/>
  <c r="O886" i="1"/>
  <c r="S886" i="1" s="1"/>
  <c r="O878" i="1"/>
  <c r="S878" i="1" s="1"/>
  <c r="O822" i="1"/>
  <c r="S822" i="1" s="1"/>
  <c r="O814" i="1"/>
  <c r="S814" i="1" s="1"/>
  <c r="O767" i="1"/>
  <c r="S767" i="1" s="1"/>
  <c r="O743" i="1"/>
  <c r="S743" i="1" s="1"/>
  <c r="O719" i="1"/>
  <c r="S719" i="1" s="1"/>
  <c r="O703" i="1"/>
  <c r="S703" i="1" s="1"/>
  <c r="O687" i="1"/>
  <c r="S687" i="1" s="1"/>
  <c r="O671" i="1"/>
  <c r="S671" i="1" s="1"/>
  <c r="O663" i="1"/>
  <c r="S663" i="1" s="1"/>
  <c r="O639" i="1"/>
  <c r="S639" i="1" s="1"/>
  <c r="O623" i="1"/>
  <c r="S623" i="1" s="1"/>
  <c r="O615" i="1"/>
  <c r="S615" i="1" s="1"/>
  <c r="O607" i="1"/>
  <c r="S607" i="1" s="1"/>
  <c r="O599" i="1"/>
  <c r="S599" i="1" s="1"/>
  <c r="O592" i="1"/>
  <c r="S592" i="1" s="1"/>
  <c r="O576" i="1"/>
  <c r="S576" i="1" s="1"/>
  <c r="O568" i="1"/>
  <c r="S568" i="1" s="1"/>
  <c r="O560" i="1"/>
  <c r="S560" i="1" s="1"/>
  <c r="O544" i="1"/>
  <c r="S544" i="1" s="1"/>
  <c r="O536" i="1"/>
  <c r="S536" i="1" s="1"/>
  <c r="O528" i="1"/>
  <c r="S528" i="1" s="1"/>
  <c r="O520" i="1"/>
  <c r="S520" i="1" s="1"/>
  <c r="O512" i="1"/>
  <c r="S512" i="1" s="1"/>
  <c r="O496" i="1"/>
  <c r="S496" i="1" s="1"/>
  <c r="O480" i="1"/>
  <c r="S480" i="1" s="1"/>
  <c r="O472" i="1"/>
  <c r="S472" i="1" s="1"/>
  <c r="O464" i="1"/>
  <c r="S464" i="1" s="1"/>
  <c r="O448" i="1"/>
  <c r="S448" i="1" s="1"/>
  <c r="O432" i="1"/>
  <c r="S432" i="1" s="1"/>
  <c r="O416" i="1"/>
  <c r="S416" i="1" s="1"/>
  <c r="O408" i="1"/>
  <c r="S408" i="1" s="1"/>
  <c r="O400" i="1"/>
  <c r="S400" i="1" s="1"/>
  <c r="O384" i="1"/>
  <c r="S384" i="1" s="1"/>
  <c r="O360" i="1"/>
  <c r="S360" i="1" s="1"/>
  <c r="O352" i="1"/>
  <c r="S352" i="1" s="1"/>
  <c r="O344" i="1"/>
  <c r="S344" i="1" s="1"/>
  <c r="O336" i="1"/>
  <c r="S336" i="1" s="1"/>
  <c r="O312" i="1"/>
  <c r="S312" i="1" s="1"/>
  <c r="O288" i="1"/>
  <c r="S288" i="1" s="1"/>
  <c r="O280" i="1"/>
  <c r="S280" i="1" s="1"/>
  <c r="O264" i="1"/>
  <c r="S264" i="1" s="1"/>
  <c r="O224" i="1"/>
  <c r="S224" i="1" s="1"/>
  <c r="O216" i="1"/>
  <c r="S216" i="1" s="1"/>
  <c r="O176" i="1"/>
  <c r="S176" i="1" s="1"/>
  <c r="O160" i="1"/>
  <c r="S160" i="1" s="1"/>
  <c r="O152" i="1"/>
  <c r="S152" i="1" s="1"/>
  <c r="O128" i="1"/>
  <c r="S128" i="1" s="1"/>
  <c r="O104" i="1"/>
  <c r="S104" i="1" s="1"/>
  <c r="O96" i="1"/>
  <c r="S96" i="1" s="1"/>
  <c r="O88" i="1"/>
  <c r="S88" i="1" s="1"/>
  <c r="O80" i="1"/>
  <c r="S80" i="1" s="1"/>
  <c r="O56" i="1"/>
  <c r="S56" i="1" s="1"/>
  <c r="O40" i="1"/>
  <c r="S40" i="1" s="1"/>
  <c r="O32" i="1"/>
  <c r="S32" i="1" s="1"/>
  <c r="O24" i="1"/>
  <c r="S24" i="1" s="1"/>
  <c r="O8" i="1"/>
  <c r="S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<sst xmlns="http://schemas.openxmlformats.org/spreadsheetml/2006/main" count="14121" uniqueCount="2774">
  <si>
    <t>Order ID</t>
  </si>
  <si>
    <t>Order Date</t>
  </si>
  <si>
    <t>Customer ID</t>
  </si>
  <si>
    <t>Customer City</t>
  </si>
  <si>
    <t>Product Name</t>
  </si>
  <si>
    <t>Category</t>
  </si>
  <si>
    <t>Quantity</t>
  </si>
  <si>
    <t>Unit Price</t>
  </si>
  <si>
    <t>Discount %</t>
  </si>
  <si>
    <t>Payment Method</t>
  </si>
  <si>
    <t>Order Status</t>
  </si>
  <si>
    <t>Shipping Cost</t>
  </si>
  <si>
    <t>ORD-5001</t>
  </si>
  <si>
    <t>CUST-389</t>
  </si>
  <si>
    <t>Kolkata</t>
  </si>
  <si>
    <t>Handbag</t>
  </si>
  <si>
    <t>Fashion</t>
  </si>
  <si>
    <t>Card</t>
  </si>
  <si>
    <t>Delivered</t>
  </si>
  <si>
    <t>ORD-5002</t>
  </si>
  <si>
    <t>CUST-849</t>
  </si>
  <si>
    <t>Mumbai</t>
  </si>
  <si>
    <t>Smartwatch</t>
  </si>
  <si>
    <t>Electronics</t>
  </si>
  <si>
    <t>Net Banking</t>
  </si>
  <si>
    <t>ORD-5003</t>
  </si>
  <si>
    <t>CUST-447</t>
  </si>
  <si>
    <t>Chennai</t>
  </si>
  <si>
    <t>Cookware Set</t>
  </si>
  <si>
    <t>Home &amp; Kitchen</t>
  </si>
  <si>
    <t>COD</t>
  </si>
  <si>
    <t>ORD-5004</t>
  </si>
  <si>
    <t>CUST-878</t>
  </si>
  <si>
    <t>Women Kurti</t>
  </si>
  <si>
    <t>ORD-5005</t>
  </si>
  <si>
    <t>CUST-495</t>
  </si>
  <si>
    <t>Novel</t>
  </si>
  <si>
    <t>Books</t>
  </si>
  <si>
    <t>ORD-5006</t>
  </si>
  <si>
    <t>CUST-200</t>
  </si>
  <si>
    <t>Delhi</t>
  </si>
  <si>
    <t>Sneakers</t>
  </si>
  <si>
    <t>ORD-5007</t>
  </si>
  <si>
    <t>CUST-891</t>
  </si>
  <si>
    <t>Jeans</t>
  </si>
  <si>
    <t>UPI</t>
  </si>
  <si>
    <t>ORD-5008</t>
  </si>
  <si>
    <t>CUST-261</t>
  </si>
  <si>
    <t>Bengaluru</t>
  </si>
  <si>
    <t>Power Bank</t>
  </si>
  <si>
    <t>Returned</t>
  </si>
  <si>
    <t>ORD-5009</t>
  </si>
  <si>
    <t>CUST-630</t>
  </si>
  <si>
    <t>Lucknow</t>
  </si>
  <si>
    <t>ORD-5010</t>
  </si>
  <si>
    <t>CUST-857</t>
  </si>
  <si>
    <t>Hyderabad</t>
  </si>
  <si>
    <t>ORD-5011</t>
  </si>
  <si>
    <t>CUST-276</t>
  </si>
  <si>
    <t>ORD-5012</t>
  </si>
  <si>
    <t>CUST-788</t>
  </si>
  <si>
    <t>ORD-5013</t>
  </si>
  <si>
    <t>CUST-694</t>
  </si>
  <si>
    <t>Bluetooth Speaker</t>
  </si>
  <si>
    <t>ORD-5014</t>
  </si>
  <si>
    <t>Earbuds</t>
  </si>
  <si>
    <t>ORD-5015</t>
  </si>
  <si>
    <t>CUST-830</t>
  </si>
  <si>
    <t>Men T-Shirt</t>
  </si>
  <si>
    <t>ORD-5016</t>
  </si>
  <si>
    <t>CUST-380</t>
  </si>
  <si>
    <t>Air Fryer</t>
  </si>
  <si>
    <t>Cancelled</t>
  </si>
  <si>
    <t>ORD-5017</t>
  </si>
  <si>
    <t>CUST-798</t>
  </si>
  <si>
    <t>Jaipur</t>
  </si>
  <si>
    <t>ORD-5018</t>
  </si>
  <si>
    <t>CUST-851</t>
  </si>
  <si>
    <t>ORD-5019</t>
  </si>
  <si>
    <t>CUST-332</t>
  </si>
  <si>
    <t>Wireless Mouse</t>
  </si>
  <si>
    <t>ORD-5020</t>
  </si>
  <si>
    <t>CUST-711</t>
  </si>
  <si>
    <t>ORD-5021</t>
  </si>
  <si>
    <t>CUST-538</t>
  </si>
  <si>
    <t>ORD-5022</t>
  </si>
  <si>
    <t>CUST-222</t>
  </si>
  <si>
    <t>ORD-5023</t>
  </si>
  <si>
    <t>CUST-826</t>
  </si>
  <si>
    <t>Water Bottle</t>
  </si>
  <si>
    <t>ORD-5024</t>
  </si>
  <si>
    <t>CUST-403</t>
  </si>
  <si>
    <t>ORD-5025</t>
  </si>
  <si>
    <t>CUST-559</t>
  </si>
  <si>
    <t>Lipstick</t>
  </si>
  <si>
    <t>Beauty</t>
  </si>
  <si>
    <t>ORD-5026</t>
  </si>
  <si>
    <t>CUST-419</t>
  </si>
  <si>
    <t>Self-Help Book</t>
  </si>
  <si>
    <t>ORD-5027</t>
  </si>
  <si>
    <t>CUST-822</t>
  </si>
  <si>
    <t>ORD-5028</t>
  </si>
  <si>
    <t>CUST-472</t>
  </si>
  <si>
    <t>ORD-5029</t>
  </si>
  <si>
    <t>CUST-577</t>
  </si>
  <si>
    <t>ORD-5030</t>
  </si>
  <si>
    <t>CUST-237</t>
  </si>
  <si>
    <t>Hair Dryer</t>
  </si>
  <si>
    <t>ORD-5031</t>
  </si>
  <si>
    <t>CUST-429</t>
  </si>
  <si>
    <t>ORD-5589</t>
  </si>
  <si>
    <t>ORD-5032</t>
  </si>
  <si>
    <t>CUST-714</t>
  </si>
  <si>
    <t>ORD-5033</t>
  </si>
  <si>
    <t>CUST-289</t>
  </si>
  <si>
    <t>ORD-5034</t>
  </si>
  <si>
    <t>CUST-550</t>
  </si>
  <si>
    <t>Webcam</t>
  </si>
  <si>
    <t>ORD-5035</t>
  </si>
  <si>
    <t>CUST-543</t>
  </si>
  <si>
    <t>Pune</t>
  </si>
  <si>
    <t>Perfume</t>
  </si>
  <si>
    <t>ORD-5036</t>
  </si>
  <si>
    <t>CUST-288</t>
  </si>
  <si>
    <t>ORD-5037</t>
  </si>
  <si>
    <t>CUST-824</t>
  </si>
  <si>
    <t>ORD-5038</t>
  </si>
  <si>
    <t>CUST-228</t>
  </si>
  <si>
    <t>ORD-5039</t>
  </si>
  <si>
    <t>CUST-751</t>
  </si>
  <si>
    <t>ORD-5040</t>
  </si>
  <si>
    <t>CUST-687</t>
  </si>
  <si>
    <t>ORD-5041</t>
  </si>
  <si>
    <t>CUST-212</t>
  </si>
  <si>
    <t>Bedsheet Set</t>
  </si>
  <si>
    <t>ORD-5042</t>
  </si>
  <si>
    <t>CUST-722</t>
  </si>
  <si>
    <t>ORD-5043</t>
  </si>
  <si>
    <t>CUST-746</t>
  </si>
  <si>
    <t>ORD-5044</t>
  </si>
  <si>
    <t>CUST-399</t>
  </si>
  <si>
    <t>ORD-5045</t>
  </si>
  <si>
    <t>CUST-631</t>
  </si>
  <si>
    <t>ORD-5046</t>
  </si>
  <si>
    <t>CUST-569</t>
  </si>
  <si>
    <t>ORD-5047</t>
  </si>
  <si>
    <t>CUST-764</t>
  </si>
  <si>
    <t>ORD-5048</t>
  </si>
  <si>
    <t>CUST-489</t>
  </si>
  <si>
    <t>ORD-5049</t>
  </si>
  <si>
    <t>CUST-678</t>
  </si>
  <si>
    <t>ORD-5050</t>
  </si>
  <si>
    <t>CUST-579</t>
  </si>
  <si>
    <t>ORD-5051</t>
  </si>
  <si>
    <t>CUST-844</t>
  </si>
  <si>
    <t>ORD-5052</t>
  </si>
  <si>
    <t>CUST-363</t>
  </si>
  <si>
    <t>ORD-5053</t>
  </si>
  <si>
    <t>CUST-272</t>
  </si>
  <si>
    <t>ORD-5054</t>
  </si>
  <si>
    <t>CUST-882</t>
  </si>
  <si>
    <t>ORD-5055</t>
  </si>
  <si>
    <t>CUST-418</t>
  </si>
  <si>
    <t>ORD-5056</t>
  </si>
  <si>
    <t>CUST-400</t>
  </si>
  <si>
    <t>ORD-5057</t>
  </si>
  <si>
    <t>CUST-302</t>
  </si>
  <si>
    <t>ORD-5058</t>
  </si>
  <si>
    <t>CUST-707</t>
  </si>
  <si>
    <t>ORD-5059</t>
  </si>
  <si>
    <t>CUST-492</t>
  </si>
  <si>
    <t>ORD-5060</t>
  </si>
  <si>
    <t>CUST-848</t>
  </si>
  <si>
    <t>ORD-5061</t>
  </si>
  <si>
    <t>CUST-526</t>
  </si>
  <si>
    <t>ORD-5062</t>
  </si>
  <si>
    <t>CUST-679</t>
  </si>
  <si>
    <t>ORD-5063</t>
  </si>
  <si>
    <t>CUST-253</t>
  </si>
  <si>
    <t>ORD-5064</t>
  </si>
  <si>
    <t>CUST-572</t>
  </si>
  <si>
    <t>ORD-5065</t>
  </si>
  <si>
    <t>CUST-516</t>
  </si>
  <si>
    <t>Study Guide</t>
  </si>
  <si>
    <t>ORD-5066</t>
  </si>
  <si>
    <t>CUST-394</t>
  </si>
  <si>
    <t>ORD-5067</t>
  </si>
  <si>
    <t>CUST-427</t>
  </si>
  <si>
    <t>Face Serum</t>
  </si>
  <si>
    <t>ORD-5068</t>
  </si>
  <si>
    <t>CUST-706</t>
  </si>
  <si>
    <t>ORD-5069</t>
  </si>
  <si>
    <t>CUST-599</t>
  </si>
  <si>
    <t>ORD-5070</t>
  </si>
  <si>
    <t>CUST-673</t>
  </si>
  <si>
    <t>Ahmedabad</t>
  </si>
  <si>
    <t>ORD-5071</t>
  </si>
  <si>
    <t>CUST-277</t>
  </si>
  <si>
    <t>ORD-5072</t>
  </si>
  <si>
    <t>CUST-566</t>
  </si>
  <si>
    <t>ORD-5073</t>
  </si>
  <si>
    <t>CUST-512</t>
  </si>
  <si>
    <t>ORD-5074</t>
  </si>
  <si>
    <t>ORD-5075</t>
  </si>
  <si>
    <t>ORD-5076</t>
  </si>
  <si>
    <t>CUST-758</t>
  </si>
  <si>
    <t>ORD-5077</t>
  </si>
  <si>
    <t>CUST-632</t>
  </si>
  <si>
    <t>ORD-5078</t>
  </si>
  <si>
    <t>CUST-339</t>
  </si>
  <si>
    <t>ORD-5079</t>
  </si>
  <si>
    <t>CUST-291</t>
  </si>
  <si>
    <t>ORD-5080</t>
  </si>
  <si>
    <t>CUST-451</t>
  </si>
  <si>
    <t>ORD-5081</t>
  </si>
  <si>
    <t>CUST-260</t>
  </si>
  <si>
    <t>ORD-5082</t>
  </si>
  <si>
    <t>Mixer Grinder</t>
  </si>
  <si>
    <t>ORD-5083</t>
  </si>
  <si>
    <t>CUST-612</t>
  </si>
  <si>
    <t>ORD-5084</t>
  </si>
  <si>
    <t>ORD-5085</t>
  </si>
  <si>
    <t>CUST-594</t>
  </si>
  <si>
    <t>ORD-5086</t>
  </si>
  <si>
    <t>CUST-580</t>
  </si>
  <si>
    <t>ORD-5087</t>
  </si>
  <si>
    <t>CUST-728</t>
  </si>
  <si>
    <t>ORD-5088</t>
  </si>
  <si>
    <t>CUST-352</t>
  </si>
  <si>
    <t>ORD-5089</t>
  </si>
  <si>
    <t>CUST-800</t>
  </si>
  <si>
    <t>ORD-5090</t>
  </si>
  <si>
    <t>CUST-238</t>
  </si>
  <si>
    <t>ORD-5091</t>
  </si>
  <si>
    <t>ORD-5092</t>
  </si>
  <si>
    <t>CUST-324</t>
  </si>
  <si>
    <t>ORD-5093</t>
  </si>
  <si>
    <t>CUST-210</t>
  </si>
  <si>
    <t>ORD-5094</t>
  </si>
  <si>
    <t>CUST-545</t>
  </si>
  <si>
    <t>ORD-5095</t>
  </si>
  <si>
    <t>CUST-776</t>
  </si>
  <si>
    <t>ORD-5096</t>
  </si>
  <si>
    <t>CUST-845</t>
  </si>
  <si>
    <t>ORD-5097</t>
  </si>
  <si>
    <t>CUST-327</t>
  </si>
  <si>
    <t>ORD-5098</t>
  </si>
  <si>
    <t>CUST-595</t>
  </si>
  <si>
    <t>ORD-5099</t>
  </si>
  <si>
    <t>CUST-876</t>
  </si>
  <si>
    <t>ORD-5100</t>
  </si>
  <si>
    <t>CUST-721</t>
  </si>
  <si>
    <t>ORD-5101</t>
  </si>
  <si>
    <t>CUST-712</t>
  </si>
  <si>
    <t>ORD-5102</t>
  </si>
  <si>
    <t>CUST-875</t>
  </si>
  <si>
    <t>ORD-5103</t>
  </si>
  <si>
    <t>ORD-5104</t>
  </si>
  <si>
    <t>CUST-542</t>
  </si>
  <si>
    <t>ORD-5105</t>
  </si>
  <si>
    <t>CUST-761</t>
  </si>
  <si>
    <t>ORD-5106</t>
  </si>
  <si>
    <t>CUST-590</t>
  </si>
  <si>
    <t>ORD-5107</t>
  </si>
  <si>
    <t>CUST-783</t>
  </si>
  <si>
    <t>ORD-5108</t>
  </si>
  <si>
    <t>CUST-887</t>
  </si>
  <si>
    <t>ORD-5109</t>
  </si>
  <si>
    <t>CUST-778</t>
  </si>
  <si>
    <t>ORD-5110</t>
  </si>
  <si>
    <t>CUST-317</t>
  </si>
  <si>
    <t>ORD-5111</t>
  </si>
  <si>
    <t>CUST-643</t>
  </si>
  <si>
    <t>ORD-5112</t>
  </si>
  <si>
    <t>CUST-606</t>
  </si>
  <si>
    <t>ORD-5113</t>
  </si>
  <si>
    <t>CUST-881</t>
  </si>
  <si>
    <t>ORD-5114</t>
  </si>
  <si>
    <t>CUST-333</t>
  </si>
  <si>
    <t>ORD-5115</t>
  </si>
  <si>
    <t>CUST-660</t>
  </si>
  <si>
    <t>ORD-5116</t>
  </si>
  <si>
    <t>CUST-515</t>
  </si>
  <si>
    <t>ORD-5117</t>
  </si>
  <si>
    <t>CUST-562</t>
  </si>
  <si>
    <t>ORD-5118</t>
  </si>
  <si>
    <t>CUST-520</t>
  </si>
  <si>
    <t>ORD-5119</t>
  </si>
  <si>
    <t>CUST-514</t>
  </si>
  <si>
    <t>ORD-5120</t>
  </si>
  <si>
    <t>CUST-877</t>
  </si>
  <si>
    <t>ORD-5121</t>
  </si>
  <si>
    <t>CUST-292</t>
  </si>
  <si>
    <t>ORD-5122</t>
  </si>
  <si>
    <t>CUST-782</t>
  </si>
  <si>
    <t>ORD-5123</t>
  </si>
  <si>
    <t>CUST-202</t>
  </si>
  <si>
    <t>ORD-5124</t>
  </si>
  <si>
    <t>CUST-729</t>
  </si>
  <si>
    <t>ORD-5125</t>
  </si>
  <si>
    <t>CUST-462</t>
  </si>
  <si>
    <t>ORD-5126</t>
  </si>
  <si>
    <t>ORD-5127</t>
  </si>
  <si>
    <t>CUST-469</t>
  </si>
  <si>
    <t>ORD-5128</t>
  </si>
  <si>
    <t>CUST-738</t>
  </si>
  <si>
    <t>ORD-5129</t>
  </si>
  <si>
    <t>CUST-874</t>
  </si>
  <si>
    <t>ORD-5130</t>
  </si>
  <si>
    <t>CUST-331</t>
  </si>
  <si>
    <t>ORD-5131</t>
  </si>
  <si>
    <t>ORD-5132</t>
  </si>
  <si>
    <t>ORD-5133</t>
  </si>
  <si>
    <t>CUST-804</t>
  </si>
  <si>
    <t>ORD-5134</t>
  </si>
  <si>
    <t>CUST-555</t>
  </si>
  <si>
    <t>ORD-5135</t>
  </si>
  <si>
    <t>CUST-701</t>
  </si>
  <si>
    <t>ORD-5136</t>
  </si>
  <si>
    <t>CUST-481</t>
  </si>
  <si>
    <t>ORD-5137</t>
  </si>
  <si>
    <t>CUST-568</t>
  </si>
  <si>
    <t>ORD-5138</t>
  </si>
  <si>
    <t>CUST-533</t>
  </si>
  <si>
    <t>ORD-5139</t>
  </si>
  <si>
    <t>CUST-809</t>
  </si>
  <si>
    <t>ORD-5140</t>
  </si>
  <si>
    <t>CUST-521</t>
  </si>
  <si>
    <t>ORD-5141</t>
  </si>
  <si>
    <t>CUST-564</t>
  </si>
  <si>
    <t>ORD-5142</t>
  </si>
  <si>
    <t>CUST-211</t>
  </si>
  <si>
    <t>ORD-5143</t>
  </si>
  <si>
    <t>CUST-583</t>
  </si>
  <si>
    <t>ORD-5144</t>
  </si>
  <si>
    <t>CUST-536</t>
  </si>
  <si>
    <t>ORD-5145</t>
  </si>
  <si>
    <t>CUST-445</t>
  </si>
  <si>
    <t>ORD-5146</t>
  </si>
  <si>
    <t>CUST-264</t>
  </si>
  <si>
    <t>ORD-5147</t>
  </si>
  <si>
    <t>CUST-274</t>
  </si>
  <si>
    <t>ORD-5148</t>
  </si>
  <si>
    <t>CUST-549</t>
  </si>
  <si>
    <t>ORD-5149</t>
  </si>
  <si>
    <t>CUST-675</t>
  </si>
  <si>
    <t>ORD-5150</t>
  </si>
  <si>
    <t>CUST-221</t>
  </si>
  <si>
    <t>ORD-5151</t>
  </si>
  <si>
    <t>CUST-203</t>
  </si>
  <si>
    <t>ORD-5152</t>
  </si>
  <si>
    <t>CUST-219</t>
  </si>
  <si>
    <t>ORD-5153</t>
  </si>
  <si>
    <t>CUST-777</t>
  </si>
  <si>
    <t>ORD-5154</t>
  </si>
  <si>
    <t>CUST-382</t>
  </si>
  <si>
    <t>ORD-5155</t>
  </si>
  <si>
    <t>CUST-895</t>
  </si>
  <si>
    <t>ORD-5156</t>
  </si>
  <si>
    <t>CUST-601</t>
  </si>
  <si>
    <t>ORD-5157</t>
  </si>
  <si>
    <t>ORD-5158</t>
  </si>
  <si>
    <t>CUST-585</t>
  </si>
  <si>
    <t>ORD-5159</t>
  </si>
  <si>
    <t>CUST-458</t>
  </si>
  <si>
    <t>ORD-5160</t>
  </si>
  <si>
    <t>ORD-5161</t>
  </si>
  <si>
    <t>CUST-865</t>
  </si>
  <si>
    <t>ORD-5162</t>
  </si>
  <si>
    <t>CUST-350</t>
  </si>
  <si>
    <t>ORD-5163</t>
  </si>
  <si>
    <t>CUST-779</t>
  </si>
  <si>
    <t>ORD-5164</t>
  </si>
  <si>
    <t>CUST-772</t>
  </si>
  <si>
    <t>ORD-5165</t>
  </si>
  <si>
    <t>CUST-407</t>
  </si>
  <si>
    <t>ORD-5166</t>
  </si>
  <si>
    <t>CUST-837</t>
  </si>
  <si>
    <t>ORD-5167</t>
  </si>
  <si>
    <t>CUST-372</t>
  </si>
  <si>
    <t>ORD-5168</t>
  </si>
  <si>
    <t>CUST-415</t>
  </si>
  <si>
    <t>ORD-5169</t>
  </si>
  <si>
    <t>CUST-303</t>
  </si>
  <si>
    <t>ORD-5170</t>
  </si>
  <si>
    <t>CUST-597</t>
  </si>
  <si>
    <t>ORD-5171</t>
  </si>
  <si>
    <t>CUST-869</t>
  </si>
  <si>
    <t>ORD-5172</t>
  </si>
  <si>
    <t>CUST-896</t>
  </si>
  <si>
    <t>ORD-5173</t>
  </si>
  <si>
    <t>ORD-5174</t>
  </si>
  <si>
    <t>CUST-529</t>
  </si>
  <si>
    <t>ORD-5175</t>
  </si>
  <si>
    <t>ORD-5176</t>
  </si>
  <si>
    <t>CUST-831</t>
  </si>
  <si>
    <t>ORD-5177</t>
  </si>
  <si>
    <t>CUST-664</t>
  </si>
  <si>
    <t>ORD-5178</t>
  </si>
  <si>
    <t>CUST-842</t>
  </si>
  <si>
    <t>ORD-5179</t>
  </si>
  <si>
    <t>ORD-5180</t>
  </si>
  <si>
    <t>CUST-864</t>
  </si>
  <si>
    <t>ORD-5181</t>
  </si>
  <si>
    <t>ORD-5182</t>
  </si>
  <si>
    <t>CUST-444</t>
  </si>
  <si>
    <t>ORD-5183</t>
  </si>
  <si>
    <t>CUST-267</t>
  </si>
  <si>
    <t>ORD-5184</t>
  </si>
  <si>
    <t>ORD-5185</t>
  </si>
  <si>
    <t>ORD-5186</t>
  </si>
  <si>
    <t>ORD-5187</t>
  </si>
  <si>
    <t>ORD-5188</t>
  </si>
  <si>
    <t>CUST-410</t>
  </si>
  <si>
    <t>ORD-5189</t>
  </si>
  <si>
    <t>CUST-827</t>
  </si>
  <si>
    <t>ORD-5190</t>
  </si>
  <si>
    <t>CUST-491</t>
  </si>
  <si>
    <t>ORD-5191</t>
  </si>
  <si>
    <t>CUST-815</t>
  </si>
  <si>
    <t>ORD-5192</t>
  </si>
  <si>
    <t>CUST-621</t>
  </si>
  <si>
    <t>ORD-5193</t>
  </si>
  <si>
    <t>ORD-5194</t>
  </si>
  <si>
    <t>CUST-885</t>
  </si>
  <si>
    <t>ORD-5195</t>
  </si>
  <si>
    <t>CUST-523</t>
  </si>
  <si>
    <t>ORD-5196</t>
  </si>
  <si>
    <t>CUST-312</t>
  </si>
  <si>
    <t>ORD-5197</t>
  </si>
  <si>
    <t>CUST-727</t>
  </si>
  <si>
    <t>ORD-5198</t>
  </si>
  <si>
    <t>CUST-685</t>
  </si>
  <si>
    <t>ORD-5199</t>
  </si>
  <si>
    <t>CUST-774</t>
  </si>
  <si>
    <t>ORD-5200</t>
  </si>
  <si>
    <t>CUST-561</t>
  </si>
  <si>
    <t>ORD-5201</t>
  </si>
  <si>
    <t>CUST-715</t>
  </si>
  <si>
    <t>ORD-5202</t>
  </si>
  <si>
    <t>CUST-357</t>
  </si>
  <si>
    <t>ORD-5203</t>
  </si>
  <si>
    <t>CUST-247</t>
  </si>
  <si>
    <t>ORD-5204</t>
  </si>
  <si>
    <t>ORD-5205</t>
  </si>
  <si>
    <t>CUST-814</t>
  </si>
  <si>
    <t>ORD-5206</t>
  </si>
  <si>
    <t>CUST-518</t>
  </si>
  <si>
    <t>ORD-5207</t>
  </si>
  <si>
    <t>ORD-5208</t>
  </si>
  <si>
    <t>CUST-452</t>
  </si>
  <si>
    <t>ORD-5209</t>
  </si>
  <si>
    <t>ORD-5210</t>
  </si>
  <si>
    <t>ORD-5211</t>
  </si>
  <si>
    <t>CUST-359</t>
  </si>
  <si>
    <t>ORD-5212</t>
  </si>
  <si>
    <t>CUST-548</t>
  </si>
  <si>
    <t>ORD-5213</t>
  </si>
  <si>
    <t>ORD-5214</t>
  </si>
  <si>
    <t>CUST-273</t>
  </si>
  <si>
    <t>ORD-5215</t>
  </si>
  <si>
    <t>CUST-868</t>
  </si>
  <si>
    <t>ORD-5216</t>
  </si>
  <si>
    <t>CUST-642</t>
  </si>
  <si>
    <t>ORD-5217</t>
  </si>
  <si>
    <t>CUST-370</t>
  </si>
  <si>
    <t>ORD-5218</t>
  </si>
  <si>
    <t>CUST-692</t>
  </si>
  <si>
    <t>ORD-5219</t>
  </si>
  <si>
    <t>CUST-460</t>
  </si>
  <si>
    <t>ORD-5220</t>
  </si>
  <si>
    <t>CUST-390</t>
  </si>
  <si>
    <t>ORD-5221</t>
  </si>
  <si>
    <t>CUST-541</t>
  </si>
  <si>
    <t>ORD-5222</t>
  </si>
  <si>
    <t>CUST-747</t>
  </si>
  <si>
    <t>ORD-5223</t>
  </si>
  <si>
    <t>CUST-497</t>
  </si>
  <si>
    <t>ORD-5224</t>
  </si>
  <si>
    <t>CUST-500</t>
  </si>
  <si>
    <t>ORD-5225</t>
  </si>
  <si>
    <t>CUST-355</t>
  </si>
  <si>
    <t>ORD-5226</t>
  </si>
  <si>
    <t>CUST-571</t>
  </si>
  <si>
    <t>ORD-5227</t>
  </si>
  <si>
    <t>ORD-5228</t>
  </si>
  <si>
    <t>ORD-5229</t>
  </si>
  <si>
    <t>CUST-346</t>
  </si>
  <si>
    <t>ORD-5230</t>
  </si>
  <si>
    <t>CUST-304</t>
  </si>
  <si>
    <t>ORD-5231</t>
  </si>
  <si>
    <t>ORD-5232</t>
  </si>
  <si>
    <t>CUST-785</t>
  </si>
  <si>
    <t>ORD-5233</t>
  </si>
  <si>
    <t>CUST-508</t>
  </si>
  <si>
    <t>ORD-5234</t>
  </si>
  <si>
    <t>CUST-421</t>
  </si>
  <si>
    <t>ORD-5235</t>
  </si>
  <si>
    <t>CUST-468</t>
  </si>
  <si>
    <t>ORD-5236</t>
  </si>
  <si>
    <t>CUST-405</t>
  </si>
  <si>
    <t>ORD-5237</t>
  </si>
  <si>
    <t>ORD-5238</t>
  </si>
  <si>
    <t>CUST-409</t>
  </si>
  <si>
    <t>ORD-5239</t>
  </si>
  <si>
    <t>CUST-341</t>
  </si>
  <si>
    <t>ORD-5240</t>
  </si>
  <si>
    <t>CUST-546</t>
  </si>
  <si>
    <t>ORD-5241</t>
  </si>
  <si>
    <t>CUST-266</t>
  </si>
  <si>
    <t>ORD-5242</t>
  </si>
  <si>
    <t>CUST-345</t>
  </si>
  <si>
    <t>ORD-5243</t>
  </si>
  <si>
    <t>CUST-884</t>
  </si>
  <si>
    <t>ORD-5244</t>
  </si>
  <si>
    <t>CUST-326</t>
  </si>
  <si>
    <t>ORD-5245</t>
  </si>
  <si>
    <t>CUST-294</t>
  </si>
  <si>
    <t>ORD-5246</t>
  </si>
  <si>
    <t>ORD-5247</t>
  </si>
  <si>
    <t>CUST-894</t>
  </si>
  <si>
    <t>ORD-5248</t>
  </si>
  <si>
    <t>CUST-416</t>
  </si>
  <si>
    <t>ORD-5249</t>
  </si>
  <si>
    <t>ORD-5250</t>
  </si>
  <si>
    <t>ORD-5251</t>
  </si>
  <si>
    <t>CUST-438</t>
  </si>
  <si>
    <t>ORD-5252</t>
  </si>
  <si>
    <t>CUST-768</t>
  </si>
  <si>
    <t>ORD-5253</t>
  </si>
  <si>
    <t>CUST-726</t>
  </si>
  <si>
    <t>ORD-5254</t>
  </si>
  <si>
    <t>CUST-854</t>
  </si>
  <si>
    <t>ORD-5255</t>
  </si>
  <si>
    <t>CUST-797</t>
  </si>
  <si>
    <t>ORD-5256</t>
  </si>
  <si>
    <t>ORD-5257</t>
  </si>
  <si>
    <t>CUST-656</t>
  </si>
  <si>
    <t>ORD-5258</t>
  </si>
  <si>
    <t>CUST-449</t>
  </si>
  <si>
    <t>ORD-5259</t>
  </si>
  <si>
    <t>ORD-5260</t>
  </si>
  <si>
    <t>CUST-467</t>
  </si>
  <si>
    <t>ORD-5261</t>
  </si>
  <si>
    <t>ORD-5262</t>
  </si>
  <si>
    <t>CUST-434</t>
  </si>
  <si>
    <t>ORD-5263</t>
  </si>
  <si>
    <t>CUST-227</t>
  </si>
  <si>
    <t>ORD-5264</t>
  </si>
  <si>
    <t>CUST-510</t>
  </si>
  <si>
    <t>ORD-5265</t>
  </si>
  <si>
    <t>CUST-748</t>
  </si>
  <si>
    <t>ORD-5266</t>
  </si>
  <si>
    <t>CUST-547</t>
  </si>
  <si>
    <t>ORD-5267</t>
  </si>
  <si>
    <t>CUST-625</t>
  </si>
  <si>
    <t>ORD-5268</t>
  </si>
  <si>
    <t>CUST-258</t>
  </si>
  <si>
    <t>ORD-5269</t>
  </si>
  <si>
    <t>CUST-259</t>
  </si>
  <si>
    <t>ORD-5270</t>
  </si>
  <si>
    <t>ORD-5271</t>
  </si>
  <si>
    <t>CUST-897</t>
  </si>
  <si>
    <t>ORD-5272</t>
  </si>
  <si>
    <t>CUST-592</t>
  </si>
  <si>
    <t>ORD-5273</t>
  </si>
  <si>
    <t>CUST-853</t>
  </si>
  <si>
    <t>ORD-5274</t>
  </si>
  <si>
    <t>CUST-474</t>
  </si>
  <si>
    <t>ORD-5275</t>
  </si>
  <si>
    <t>CUST-511</t>
  </si>
  <si>
    <t>ORD-5276</t>
  </si>
  <si>
    <t>CUST-611</t>
  </si>
  <si>
    <t>ORD-5277</t>
  </si>
  <si>
    <t>CUST-431</t>
  </si>
  <si>
    <t>ORD-5278</t>
  </si>
  <si>
    <t>ORD-5279</t>
  </si>
  <si>
    <t>CUST-420</t>
  </si>
  <si>
    <t>ORD-5280</t>
  </si>
  <si>
    <t>CUST-617</t>
  </si>
  <si>
    <t>ORD-5281</t>
  </si>
  <si>
    <t>CUST-740</t>
  </si>
  <si>
    <t>ORD-5282</t>
  </si>
  <si>
    <t>ORD-5283</t>
  </si>
  <si>
    <t>ORD-5284</t>
  </si>
  <si>
    <t>CUST-614</t>
  </si>
  <si>
    <t>ORD-5285</t>
  </si>
  <si>
    <t>CUST-395</t>
  </si>
  <si>
    <t>ORD-5286</t>
  </si>
  <si>
    <t>ORD-5287</t>
  </si>
  <si>
    <t>CUST-488</t>
  </si>
  <si>
    <t>ORD-5288</t>
  </si>
  <si>
    <t>CUST-386</t>
  </si>
  <si>
    <t>ORD-5289</t>
  </si>
  <si>
    <t>ORD-5290</t>
  </si>
  <si>
    <t>ORD-5291</t>
  </si>
  <si>
    <t>ORD-5292</t>
  </si>
  <si>
    <t>CUST-426</t>
  </si>
  <si>
    <t>ORD-5293</t>
  </si>
  <si>
    <t>CUST-626</t>
  </si>
  <si>
    <t>ORD-5294</t>
  </si>
  <si>
    <t>ORD-5295</t>
  </si>
  <si>
    <t>CUST-745</t>
  </si>
  <si>
    <t>ORD-5296</t>
  </si>
  <si>
    <t>CUST-835</t>
  </si>
  <si>
    <t>ORD-5297</t>
  </si>
  <si>
    <t>ORD-5298</t>
  </si>
  <si>
    <t>CUST-496</t>
  </si>
  <si>
    <t>ORD-5299</t>
  </si>
  <si>
    <t>CUST-313</t>
  </si>
  <si>
    <t>ORD-5300</t>
  </si>
  <si>
    <t>ORD-5301</t>
  </si>
  <si>
    <t>ORD-5302</t>
  </si>
  <si>
    <t>CUST-369</t>
  </si>
  <si>
    <t>ORD-5303</t>
  </si>
  <si>
    <t>CUST-465</t>
  </si>
  <si>
    <t>ORD-5304</t>
  </si>
  <si>
    <t>CUST-872</t>
  </si>
  <si>
    <t>ORD-5305</t>
  </si>
  <si>
    <t>CUST-284</t>
  </si>
  <si>
    <t>ORD-5306</t>
  </si>
  <si>
    <t>CUST-207</t>
  </si>
  <si>
    <t>ORD-5307</t>
  </si>
  <si>
    <t>ORD-5308</t>
  </si>
  <si>
    <t>CUST-243</t>
  </si>
  <si>
    <t>ORD-5309</t>
  </si>
  <si>
    <t>CUST-367</t>
  </si>
  <si>
    <t>ORD-5310</t>
  </si>
  <si>
    <t>CUST-229</t>
  </si>
  <si>
    <t>ORD-5311</t>
  </si>
  <si>
    <t>ORD-5312</t>
  </si>
  <si>
    <t>ORD-6869</t>
  </si>
  <si>
    <t>CUST-723</t>
  </si>
  <si>
    <t>ORD-5313</t>
  </si>
  <si>
    <t>CUST-240</t>
  </si>
  <si>
    <t>ORD-5314</t>
  </si>
  <si>
    <t>CUST-335</t>
  </si>
  <si>
    <t>ORD-5315</t>
  </si>
  <si>
    <t>CUST-450</t>
  </si>
  <si>
    <t>ORD-5316</t>
  </si>
  <si>
    <t>ORD-5317</t>
  </si>
  <si>
    <t>CUST-613</t>
  </si>
  <si>
    <t>ORD-5318</t>
  </si>
  <si>
    <t>CUST-396</t>
  </si>
  <si>
    <t>ORD-5319</t>
  </si>
  <si>
    <t>CUST-589</t>
  </si>
  <si>
    <t>ORD-5320</t>
  </si>
  <si>
    <t>CUST-719</t>
  </si>
  <si>
    <t>ORD-5321</t>
  </si>
  <si>
    <t>CUST-525</t>
  </si>
  <si>
    <t>ORD-5322</t>
  </si>
  <si>
    <t>CUST-236</t>
  </si>
  <si>
    <t>ORD-5323</t>
  </si>
  <si>
    <t>CUST-461</t>
  </si>
  <si>
    <t>ORD-5324</t>
  </si>
  <si>
    <t>CUST-365</t>
  </si>
  <si>
    <t>ORD-5325</t>
  </si>
  <si>
    <t>ORD-5326</t>
  </si>
  <si>
    <t>ORD-5327</t>
  </si>
  <si>
    <t>CUST-821</t>
  </si>
  <si>
    <t>ORD-5328</t>
  </si>
  <si>
    <t>CUST-695</t>
  </si>
  <si>
    <t>ORD-5329</t>
  </si>
  <si>
    <t>CUST-354</t>
  </si>
  <si>
    <t>ORD-5330</t>
  </si>
  <si>
    <t>ORD-5331</t>
  </si>
  <si>
    <t>CUST-265</t>
  </si>
  <si>
    <t>ORD-5332</t>
  </si>
  <si>
    <t>CUST-347</t>
  </si>
  <si>
    <t>ORD-5333</t>
  </si>
  <si>
    <t>CUST-411</t>
  </si>
  <si>
    <t>ORD-5334</t>
  </si>
  <si>
    <t>CUST-275</t>
  </si>
  <si>
    <t>ORD-5335</t>
  </si>
  <si>
    <t>CUST-241</t>
  </si>
  <si>
    <t>ORD-5336</t>
  </si>
  <si>
    <t>ORD-5337</t>
  </si>
  <si>
    <t>CUST-373</t>
  </si>
  <si>
    <t>ORD-5338</t>
  </si>
  <si>
    <t>CUST-453</t>
  </si>
  <si>
    <t>ORD-5339</t>
  </si>
  <si>
    <t>CUST-676</t>
  </si>
  <si>
    <t>ORD-5340</t>
  </si>
  <si>
    <t>ORD-5341</t>
  </si>
  <si>
    <t>ORD-5342</t>
  </si>
  <si>
    <t>CUST-634</t>
  </si>
  <si>
    <t>ORD-5343</t>
  </si>
  <si>
    <t>CUST-629</t>
  </si>
  <si>
    <t>ORD-5344</t>
  </si>
  <si>
    <t>CUST-336</t>
  </si>
  <si>
    <t>ORD-5345</t>
  </si>
  <si>
    <t>ORD-5346</t>
  </si>
  <si>
    <t>CUST-861</t>
  </si>
  <si>
    <t>ORD-5347</t>
  </si>
  <si>
    <t>ORD-5348</t>
  </si>
  <si>
    <t>CUST-316</t>
  </si>
  <si>
    <t>ORD-5349</t>
  </si>
  <si>
    <t>CUST-201</t>
  </si>
  <si>
    <t>ORD-5350</t>
  </si>
  <si>
    <t>CUST-408</t>
  </si>
  <si>
    <t>ORD-5351</t>
  </si>
  <si>
    <t>CUST-866</t>
  </si>
  <si>
    <t>ORD-5352</t>
  </si>
  <si>
    <t>CUST-293</t>
  </si>
  <si>
    <t>ORD-5353</t>
  </si>
  <si>
    <t>CUST-556</t>
  </si>
  <si>
    <t>ORD-5354</t>
  </si>
  <si>
    <t>ORD-5355</t>
  </si>
  <si>
    <t>ORD-5356</t>
  </si>
  <si>
    <t>ORD-5357</t>
  </si>
  <si>
    <t>ORD-5358</t>
  </si>
  <si>
    <t>ORD-5359</t>
  </si>
  <si>
    <t>CUST-652</t>
  </si>
  <si>
    <t>ORD-5360</t>
  </si>
  <si>
    <t>CUST-499</t>
  </si>
  <si>
    <t>ORD-5361</t>
  </si>
  <si>
    <t>ORD-5362</t>
  </si>
  <si>
    <t>CUST-795</t>
  </si>
  <si>
    <t>ORD-5363</t>
  </si>
  <si>
    <t>ORD-5364</t>
  </si>
  <si>
    <t>CUST-769</t>
  </si>
  <si>
    <t>ORD-5365</t>
  </si>
  <si>
    <t>ORD-5366</t>
  </si>
  <si>
    <t>CUST-700</t>
  </si>
  <si>
    <t>ORD-5367</t>
  </si>
  <si>
    <t>CUST-672</t>
  </si>
  <si>
    <t>ORD-5368</t>
  </si>
  <si>
    <t>ORD-5369</t>
  </si>
  <si>
    <t>ORD-5370</t>
  </si>
  <si>
    <t>CUST-858</t>
  </si>
  <si>
    <t>ORD-5371</t>
  </si>
  <si>
    <t>CUST-242</t>
  </si>
  <si>
    <t>ORD-5372</t>
  </si>
  <si>
    <t>ORD-5373</t>
  </si>
  <si>
    <t>ORD-5374</t>
  </si>
  <si>
    <t>ORD-5375</t>
  </si>
  <si>
    <t>CUST-524</t>
  </si>
  <si>
    <t>ORD-5376</t>
  </si>
  <si>
    <t>ORD-5377</t>
  </si>
  <si>
    <t>CUST-805</t>
  </si>
  <si>
    <t>ORD-5378</t>
  </si>
  <si>
    <t>ORD-5379</t>
  </si>
  <si>
    <t>ORD-5380</t>
  </si>
  <si>
    <t>CUST-839</t>
  </si>
  <si>
    <t>ORD-5381</t>
  </si>
  <si>
    <t>ORD-5382</t>
  </si>
  <si>
    <t>ORD-5383</t>
  </si>
  <si>
    <t>ORD-5384</t>
  </si>
  <si>
    <t>ORD-5385</t>
  </si>
  <si>
    <t>ORD-5386</t>
  </si>
  <si>
    <t>CUST-650</t>
  </si>
  <si>
    <t>ORD-5387</t>
  </si>
  <si>
    <t>CUST-880</t>
  </si>
  <si>
    <t>ORD-5388</t>
  </si>
  <si>
    <t>CUST-693</t>
  </si>
  <si>
    <t>ORD-5389</t>
  </si>
  <si>
    <t>CUST-708</t>
  </si>
  <si>
    <t>ORD-5390</t>
  </si>
  <si>
    <t>ORD-5391</t>
  </si>
  <si>
    <t>CUST-287</t>
  </si>
  <si>
    <t>ORD-5392</t>
  </si>
  <si>
    <t>CUST-250</t>
  </si>
  <si>
    <t>ORD-5393</t>
  </si>
  <si>
    <t>ORD-5394</t>
  </si>
  <si>
    <t>CUST-230</t>
  </si>
  <si>
    <t>ORD-5395</t>
  </si>
  <si>
    <t>ORD-5396</t>
  </si>
  <si>
    <t>ORD-5397</t>
  </si>
  <si>
    <t>CUST-430</t>
  </si>
  <si>
    <t>ORD-5398</t>
  </si>
  <si>
    <t>CUST-602</t>
  </si>
  <si>
    <t>ORD-5399</t>
  </si>
  <si>
    <t>ORD-5400</t>
  </si>
  <si>
    <t>CUST-846</t>
  </si>
  <si>
    <t>ORD-5401</t>
  </si>
  <si>
    <t>CUST-413</t>
  </si>
  <si>
    <t>ORD-5402</t>
  </si>
  <si>
    <t>CUST-340</t>
  </si>
  <si>
    <t>ORD-5403</t>
  </si>
  <si>
    <t>CUST-734</t>
  </si>
  <si>
    <t>ORD-5404</t>
  </si>
  <si>
    <t>CUST-655</t>
  </si>
  <si>
    <t>ORD-5405</t>
  </si>
  <si>
    <t>CUST-478</t>
  </si>
  <si>
    <t>ORD-5406</t>
  </si>
  <si>
    <t>CUST-627</t>
  </si>
  <si>
    <t>ORD-5407</t>
  </si>
  <si>
    <t>CUST-325</t>
  </si>
  <si>
    <t>ORD-5408</t>
  </si>
  <si>
    <t>CUST-311</t>
  </si>
  <si>
    <t>ORD-5409</t>
  </si>
  <si>
    <t>CUST-298</t>
  </si>
  <si>
    <t>ORD-5410</t>
  </si>
  <si>
    <t>ORD-5411</t>
  </si>
  <si>
    <t>ORD-5412</t>
  </si>
  <si>
    <t>ORD-5413</t>
  </si>
  <si>
    <t>ORD-5414</t>
  </si>
  <si>
    <t>CUST-393</t>
  </si>
  <si>
    <t>ORD-5415</t>
  </si>
  <si>
    <t>ORD-5416</t>
  </si>
  <si>
    <t>CUST-760</t>
  </si>
  <si>
    <t>ORD-5417</t>
  </si>
  <si>
    <t>CUST-308</t>
  </si>
  <si>
    <t>ORD-5418</t>
  </si>
  <si>
    <t>CUST-433</t>
  </si>
  <si>
    <t>ORD-5419</t>
  </si>
  <si>
    <t>ORD-5420</t>
  </si>
  <si>
    <t>CUST-506</t>
  </si>
  <si>
    <t>ORD-5421</t>
  </si>
  <si>
    <t>ORD-5422</t>
  </si>
  <si>
    <t>ORD-5423</t>
  </si>
  <si>
    <t>CUST-251</t>
  </si>
  <si>
    <t>ORD-5424</t>
  </si>
  <si>
    <t>ORD-5425</t>
  </si>
  <si>
    <t>CUST-762</t>
  </si>
  <si>
    <t>ORD-5426</t>
  </si>
  <si>
    <t>ORD-5427</t>
  </si>
  <si>
    <t>CUST-899</t>
  </si>
  <si>
    <t>ORD-5428</t>
  </si>
  <si>
    <t>CUST-437</t>
  </si>
  <si>
    <t>ORD-5429</t>
  </si>
  <si>
    <t>CUST-381</t>
  </si>
  <si>
    <t>ORD-5430</t>
  </si>
  <si>
    <t>ORD-5431</t>
  </si>
  <si>
    <t>ORD-5432</t>
  </si>
  <si>
    <t>ORD-5433</t>
  </si>
  <si>
    <t>CUST-863</t>
  </si>
  <si>
    <t>ORD-5434</t>
  </si>
  <si>
    <t>CUST-624</t>
  </si>
  <si>
    <t>ORD-5435</t>
  </si>
  <si>
    <t>ORD-5436</t>
  </si>
  <si>
    <t>ORD-5437</t>
  </si>
  <si>
    <t>CUST-235</t>
  </si>
  <si>
    <t>ORD-5438</t>
  </si>
  <si>
    <t>CUST-640</t>
  </si>
  <si>
    <t>ORD-5439</t>
  </si>
  <si>
    <t>CUST-490</t>
  </si>
  <si>
    <t>ORD-5440</t>
  </si>
  <si>
    <t>ORD-5441</t>
  </si>
  <si>
    <t>ORD-5442</t>
  </si>
  <si>
    <t>CUST-307</t>
  </si>
  <si>
    <t>ORD-5443</t>
  </si>
  <si>
    <t>ORD-5444</t>
  </si>
  <si>
    <t>ORD-5445</t>
  </si>
  <si>
    <t>ORD-5446</t>
  </si>
  <si>
    <t>ORD-5447</t>
  </si>
  <si>
    <t>CUST-765</t>
  </si>
  <si>
    <t>ORD-5448</t>
  </si>
  <si>
    <t>ORD-6844</t>
  </si>
  <si>
    <t>ORD-5449</t>
  </si>
  <si>
    <t>ORD-5450</t>
  </si>
  <si>
    <t>ORD-5451</t>
  </si>
  <si>
    <t>ORD-5452</t>
  </si>
  <si>
    <t>CUST-735</t>
  </si>
  <si>
    <t>ORD-5453</t>
  </si>
  <si>
    <t>ORD-5454</t>
  </si>
  <si>
    <t>CUST-270</t>
  </si>
  <si>
    <t>ORD-5455</t>
  </si>
  <si>
    <t>ORD-5456</t>
  </si>
  <si>
    <t>ORD-5457</t>
  </si>
  <si>
    <t>CUST-343</t>
  </si>
  <si>
    <t>ORD-5458</t>
  </si>
  <si>
    <t>ORD-5459</t>
  </si>
  <si>
    <t>CUST-364</t>
  </si>
  <si>
    <t>ORD-5460</t>
  </si>
  <si>
    <t>CUST-306</t>
  </si>
  <si>
    <t>ORD-5461</t>
  </si>
  <si>
    <t>CUST-535</t>
  </si>
  <si>
    <t>ORD-5462</t>
  </si>
  <si>
    <t>CUST-282</t>
  </si>
  <si>
    <t>ORD-5463</t>
  </si>
  <si>
    <t>CUST-540</t>
  </si>
  <si>
    <t>ORD-5464</t>
  </si>
  <si>
    <t>ORD-5465</t>
  </si>
  <si>
    <t>CUST-696</t>
  </si>
  <si>
    <t>ORD-5466</t>
  </si>
  <si>
    <t>ORD-5467</t>
  </si>
  <si>
    <t>ORD-5468</t>
  </si>
  <si>
    <t>ORD-5469</t>
  </si>
  <si>
    <t>CUST-733</t>
  </si>
  <si>
    <t>ORD-5470</t>
  </si>
  <si>
    <t>ORD-5471</t>
  </si>
  <si>
    <t>ORD-5472</t>
  </si>
  <si>
    <t>ORD-5473</t>
  </si>
  <si>
    <t>CUST-353</t>
  </si>
  <si>
    <t>ORD-5474</t>
  </si>
  <si>
    <t>CUST-383</t>
  </si>
  <si>
    <t>ORD-5475</t>
  </si>
  <si>
    <t>ORD-5476</t>
  </si>
  <si>
    <t>ORD-5477</t>
  </si>
  <si>
    <t>CUST-755</t>
  </si>
  <si>
    <t>ORD-5478</t>
  </si>
  <si>
    <t>CUST-379</t>
  </si>
  <si>
    <t>ORD-5479</t>
  </si>
  <si>
    <t>ORD-5480</t>
  </si>
  <si>
    <t>CUST-376</t>
  </si>
  <si>
    <t>ORD-5481</t>
  </si>
  <si>
    <t>CUST-281</t>
  </si>
  <si>
    <t>ORD-5482</t>
  </si>
  <si>
    <t>ORD-5483</t>
  </si>
  <si>
    <t>CUST-554</t>
  </si>
  <si>
    <t>ORD-5484</t>
  </si>
  <si>
    <t>CUST-648</t>
  </si>
  <si>
    <t>ORD-5485</t>
  </si>
  <si>
    <t>CUST-487</t>
  </si>
  <si>
    <t>ORD-5486</t>
  </si>
  <si>
    <t>CUST-828</t>
  </si>
  <si>
    <t>ORD-5487</t>
  </si>
  <si>
    <t>ORD-5488</t>
  </si>
  <si>
    <t>ORD-5489</t>
  </si>
  <si>
    <t>ORD-5490</t>
  </si>
  <si>
    <t>ORD-5491</t>
  </si>
  <si>
    <t>CUST-663</t>
  </si>
  <si>
    <t>ORD-5492</t>
  </si>
  <si>
    <t>ORD-5493</t>
  </si>
  <si>
    <t>ORD-5494</t>
  </si>
  <si>
    <t>ORD-5495</t>
  </si>
  <si>
    <t>ORD-5496</t>
  </si>
  <si>
    <t>CUST-633</t>
  </si>
  <si>
    <t>ORD-5497</t>
  </si>
  <si>
    <t>ORD-5498</t>
  </si>
  <si>
    <t>ORD-5499</t>
  </si>
  <si>
    <t>ORD-5500</t>
  </si>
  <si>
    <t>CUST-812</t>
  </si>
  <si>
    <t>ORD-5501</t>
  </si>
  <si>
    <t>ORD-5502</t>
  </si>
  <si>
    <t>CUST-838</t>
  </si>
  <si>
    <t>ORD-5503</t>
  </si>
  <si>
    <t>ORD-5504</t>
  </si>
  <si>
    <t>ORD-5505</t>
  </si>
  <si>
    <t>CUST-689</t>
  </si>
  <si>
    <t>ORD-5506</t>
  </si>
  <si>
    <t>ORD-5507</t>
  </si>
  <si>
    <t>ORD-5508</t>
  </si>
  <si>
    <t>CUST-314</t>
  </si>
  <si>
    <t>ORD-5509</t>
  </si>
  <si>
    <t>CUST-645</t>
  </si>
  <si>
    <t>ORD-5510</t>
  </si>
  <si>
    <t>ORD-5511</t>
  </si>
  <si>
    <t>ORD-5512</t>
  </si>
  <si>
    <t>CUST-841</t>
  </si>
  <si>
    <t>ORD-5513</t>
  </si>
  <si>
    <t>CUST-578</t>
  </si>
  <si>
    <t>ORD-5514</t>
  </si>
  <si>
    <t>ORD-5515</t>
  </si>
  <si>
    <t>ORD-5516</t>
  </si>
  <si>
    <t>CUST-528</t>
  </si>
  <si>
    <t>ORD-5517</t>
  </si>
  <si>
    <t>CUST-208</t>
  </si>
  <si>
    <t>ORD-5518</t>
  </si>
  <si>
    <t>ORD-5519</t>
  </si>
  <si>
    <t>ORD-5520</t>
  </si>
  <si>
    <t>ORD-5521</t>
  </si>
  <si>
    <t>CUST-576</t>
  </si>
  <si>
    <t>ORD-5522</t>
  </si>
  <si>
    <t>CUST-619</t>
  </si>
  <si>
    <t>ORD-5523</t>
  </si>
  <si>
    <t>CUST-790</t>
  </si>
  <si>
    <t>ORD-5524</t>
  </si>
  <si>
    <t>ORD-5525</t>
  </si>
  <si>
    <t>CUST-638</t>
  </si>
  <si>
    <t>ORD-5526</t>
  </si>
  <si>
    <t>ORD-5527</t>
  </si>
  <si>
    <t>CUST-794</t>
  </si>
  <si>
    <t>ORD-5528</t>
  </si>
  <si>
    <t>CUST-736</t>
  </si>
  <si>
    <t>ORD-5529</t>
  </si>
  <si>
    <t>ORD-5530</t>
  </si>
  <si>
    <t>ORD-5531</t>
  </si>
  <si>
    <t>ORD-5532</t>
  </si>
  <si>
    <t>CUST-743</t>
  </si>
  <si>
    <t>ORD-5533</t>
  </si>
  <si>
    <t>ORD-5534</t>
  </si>
  <si>
    <t>ORD-5535</t>
  </si>
  <si>
    <t>CUST-295</t>
  </si>
  <si>
    <t>ORD-5536</t>
  </si>
  <si>
    <t>CUST-710</t>
  </si>
  <si>
    <t>ORD-5537</t>
  </si>
  <si>
    <t>ORD-5538</t>
  </si>
  <si>
    <t>ORD-5539</t>
  </si>
  <si>
    <t>ORD-5540</t>
  </si>
  <si>
    <t>ORD-5541</t>
  </si>
  <si>
    <t>ORD-5542</t>
  </si>
  <si>
    <t>ORD-5543</t>
  </si>
  <si>
    <t>ORD-5544</t>
  </si>
  <si>
    <t>CUST-361</t>
  </si>
  <si>
    <t>ORD-5545</t>
  </si>
  <si>
    <t>CUST-871</t>
  </si>
  <si>
    <t>ORD-5546</t>
  </si>
  <si>
    <t>ORD-5547</t>
  </si>
  <si>
    <t>ORD-5548</t>
  </si>
  <si>
    <t>ORD-5549</t>
  </si>
  <si>
    <t>ORD-5550</t>
  </si>
  <si>
    <t>ORD-5551</t>
  </si>
  <si>
    <t>CUST-658</t>
  </si>
  <si>
    <t>ORD-5552</t>
  </si>
  <si>
    <t>ORD-5553</t>
  </si>
  <si>
    <t>ORD-5554</t>
  </si>
  <si>
    <t>CUST-732</t>
  </si>
  <si>
    <t>ORD-5555</t>
  </si>
  <si>
    <t>CUST-560</t>
  </si>
  <si>
    <t>ORD-5556</t>
  </si>
  <si>
    <t>CUST-220</t>
  </si>
  <si>
    <t>ORD-5557</t>
  </si>
  <si>
    <t>ORD-5558</t>
  </si>
  <si>
    <t>ORD-5559</t>
  </si>
  <si>
    <t>CUST-553</t>
  </si>
  <si>
    <t>ORD-5560</t>
  </si>
  <si>
    <t>ORD-5561</t>
  </si>
  <si>
    <t>ORD-5562</t>
  </si>
  <si>
    <t>CUST-596</t>
  </si>
  <si>
    <t>ORD-5563</t>
  </si>
  <si>
    <t>CUST-713</t>
  </si>
  <si>
    <t>ORD-5564</t>
  </si>
  <si>
    <t>ORD-5565</t>
  </si>
  <si>
    <t>CUST-285</t>
  </si>
  <si>
    <t>ORD-5566</t>
  </si>
  <si>
    <t>ORD-5567</t>
  </si>
  <si>
    <t>ORD-5568</t>
  </si>
  <si>
    <t>CUST-668</t>
  </si>
  <si>
    <t>ORD-5569</t>
  </si>
  <si>
    <t>ORD-5570</t>
  </si>
  <si>
    <t>CUST-855</t>
  </si>
  <si>
    <t>ORD-5571</t>
  </si>
  <si>
    <t>CUST-825</t>
  </si>
  <si>
    <t>ORD-5572</t>
  </si>
  <si>
    <t>CUST-756</t>
  </si>
  <si>
    <t>ORD-5573</t>
  </si>
  <si>
    <t>ORD-5574</t>
  </si>
  <si>
    <t>CUST-883</t>
  </si>
  <si>
    <t>ORD-5575</t>
  </si>
  <si>
    <t>ORD-5576</t>
  </si>
  <si>
    <t>ORD-5577</t>
  </si>
  <si>
    <t>CUST-649</t>
  </si>
  <si>
    <t>ORD-5578</t>
  </si>
  <si>
    <t>ORD-5579</t>
  </si>
  <si>
    <t>CUST-832</t>
  </si>
  <si>
    <t>ORD-5580</t>
  </si>
  <si>
    <t>CUST-570</t>
  </si>
  <si>
    <t>ORD-5581</t>
  </si>
  <si>
    <t>ORD-5582</t>
  </si>
  <si>
    <t>CUST-598</t>
  </si>
  <si>
    <t>ORD-5583</t>
  </si>
  <si>
    <t>CUST-680</t>
  </si>
  <si>
    <t>ORD-5584</t>
  </si>
  <si>
    <t>CUST-320</t>
  </si>
  <si>
    <t>ORD-5585</t>
  </si>
  <si>
    <t>ORD-5586</t>
  </si>
  <si>
    <t>ORD-5587</t>
  </si>
  <si>
    <t>ORD-5588</t>
  </si>
  <si>
    <t>CUST-475</t>
  </si>
  <si>
    <t>ORD-5590</t>
  </si>
  <si>
    <t>ORD-5591</t>
  </si>
  <si>
    <t>ORD-5592</t>
  </si>
  <si>
    <t>CUST-784</t>
  </si>
  <si>
    <t>ORD-5593</t>
  </si>
  <si>
    <t>CUST-215</t>
  </si>
  <si>
    <t>ORD-5594</t>
  </si>
  <si>
    <t>CUST-422</t>
  </si>
  <si>
    <t>ORD-5595</t>
  </si>
  <si>
    <t>CUST-720</t>
  </si>
  <si>
    <t>ORD-5596</t>
  </si>
  <si>
    <t>ORD-5597</t>
  </si>
  <si>
    <t>ORD-5598</t>
  </si>
  <si>
    <t>CUST-593</t>
  </si>
  <si>
    <t>ORD-5599</t>
  </si>
  <si>
    <t>ORD-5600</t>
  </si>
  <si>
    <t>ORD-5601</t>
  </si>
  <si>
    <t>CUST-749</t>
  </si>
  <si>
    <t>ORD-5602</t>
  </si>
  <si>
    <t>CUST-385</t>
  </si>
  <si>
    <t>ORD-5603</t>
  </si>
  <si>
    <t>ORD-5604</t>
  </si>
  <si>
    <t>CUST-697</t>
  </si>
  <si>
    <t>ORD-5605</t>
  </si>
  <si>
    <t>CUST-470</t>
  </si>
  <si>
    <t>ORD-5606</t>
  </si>
  <si>
    <t>CUST-544</t>
  </si>
  <si>
    <t>ORD-5607</t>
  </si>
  <si>
    <t>ORD-5608</t>
  </si>
  <si>
    <t>ORD-5609</t>
  </si>
  <si>
    <t>CUST-791</t>
  </si>
  <si>
    <t>ORD-5610</t>
  </si>
  <si>
    <t>CUST-239</t>
  </si>
  <si>
    <t>ORD-5611</t>
  </si>
  <si>
    <t>ORD-5612</t>
  </si>
  <si>
    <t>ORD-5613</t>
  </si>
  <si>
    <t>CUST-558</t>
  </si>
  <si>
    <t>ORD-5614</t>
  </si>
  <si>
    <t>CUST-245</t>
  </si>
  <si>
    <t>ORD-5615</t>
  </si>
  <si>
    <t>ORD-5616</t>
  </si>
  <si>
    <t>ORD-5617</t>
  </si>
  <si>
    <t>ORD-5618</t>
  </si>
  <si>
    <t>ORD-5619</t>
  </si>
  <si>
    <t>CUST-573</t>
  </si>
  <si>
    <t>ORD-5620</t>
  </si>
  <si>
    <t>CUST-371</t>
  </si>
  <si>
    <t>ORD-5621</t>
  </si>
  <si>
    <t>CUST-647</t>
  </si>
  <si>
    <t>ORD-5622</t>
  </si>
  <si>
    <t>ORD-5623</t>
  </si>
  <si>
    <t>CUST-319</t>
  </si>
  <si>
    <t>ORD-5624</t>
  </si>
  <si>
    <t>ORD-5625</t>
  </si>
  <si>
    <t>CUST-654</t>
  </si>
  <si>
    <t>ORD-5626</t>
  </si>
  <si>
    <t>CUST-318</t>
  </si>
  <si>
    <t>ORD-5627</t>
  </si>
  <si>
    <t>ORD-5628</t>
  </si>
  <si>
    <t>ORD-5629</t>
  </si>
  <si>
    <t>CUST-206</t>
  </si>
  <si>
    <t>ORD-5630</t>
  </si>
  <si>
    <t>CUST-248</t>
  </si>
  <si>
    <t>ORD-5631</t>
  </si>
  <si>
    <t>ORD-5632</t>
  </si>
  <si>
    <t>CUST-358</t>
  </si>
  <si>
    <t>ORD-5633</t>
  </si>
  <si>
    <t>CUST-709</t>
  </si>
  <si>
    <t>ORD-5634</t>
  </si>
  <si>
    <t>ORD-5635</t>
  </si>
  <si>
    <t>CUST-787</t>
  </si>
  <si>
    <t>ORD-5636</t>
  </si>
  <si>
    <t>ORD-5637</t>
  </si>
  <si>
    <t>ORD-5638</t>
  </si>
  <si>
    <t>CUST-867</t>
  </si>
  <si>
    <t>ORD-5639</t>
  </si>
  <si>
    <t>ORD-5640</t>
  </si>
  <si>
    <t>ORD-5641</t>
  </si>
  <si>
    <t>ORD-5642</t>
  </si>
  <si>
    <t>CUST-404</t>
  </si>
  <si>
    <t>ORD-5643</t>
  </si>
  <si>
    <t>CUST-615</t>
  </si>
  <si>
    <t>ORD-5644</t>
  </si>
  <si>
    <t>CUST-843</t>
  </si>
  <si>
    <t>ORD-5645</t>
  </si>
  <si>
    <t>ORD-5646</t>
  </si>
  <si>
    <t>CUST-246</t>
  </si>
  <si>
    <t>ORD-5647</t>
  </si>
  <si>
    <t>ORD-5648</t>
  </si>
  <si>
    <t>CUST-278</t>
  </si>
  <si>
    <t>ORD-5649</t>
  </si>
  <si>
    <t>ORD-5650</t>
  </si>
  <si>
    <t>CUST-225</t>
  </si>
  <si>
    <t>ORD-5651</t>
  </si>
  <si>
    <t>ORD-5652</t>
  </si>
  <si>
    <t>CUST-537</t>
  </si>
  <si>
    <t>ORD-5653</t>
  </si>
  <si>
    <t>CUST-436</t>
  </si>
  <si>
    <t>ORD-5654</t>
  </si>
  <si>
    <t>ORD-5655</t>
  </si>
  <si>
    <t>ORD-5656</t>
  </si>
  <si>
    <t>ORD-5657</t>
  </si>
  <si>
    <t>ORD-5658</t>
  </si>
  <si>
    <t>CUST-244</t>
  </si>
  <si>
    <t>ORD-5659</t>
  </si>
  <si>
    <t>CUST-280</t>
  </si>
  <si>
    <t>ORD-5660</t>
  </si>
  <si>
    <t>CUST-522</t>
  </si>
  <si>
    <t>ORD-5661</t>
  </si>
  <si>
    <t>ORD-5662</t>
  </si>
  <si>
    <t>ORD-6910</t>
  </si>
  <si>
    <t>ORD-5663</t>
  </si>
  <si>
    <t>ORD-5664</t>
  </si>
  <si>
    <t>ORD-5665</t>
  </si>
  <si>
    <t>ORD-5666</t>
  </si>
  <si>
    <t>ORD-5667</t>
  </si>
  <si>
    <t>ORD-5668</t>
  </si>
  <si>
    <t>CUST-704</t>
  </si>
  <si>
    <t>ORD-5669</t>
  </si>
  <si>
    <t>CUST-681</t>
  </si>
  <si>
    <t>ORD-5670</t>
  </si>
  <si>
    <t>CUST-290</t>
  </si>
  <si>
    <t>ORD-5671</t>
  </si>
  <si>
    <t>ORD-5672</t>
  </si>
  <si>
    <t>CUST-628</t>
  </si>
  <si>
    <t>ORD-5673</t>
  </si>
  <si>
    <t>ORD-5674</t>
  </si>
  <si>
    <t>ORD-5675</t>
  </si>
  <si>
    <t>ORD-5676</t>
  </si>
  <si>
    <t>ORD-5677</t>
  </si>
  <si>
    <t>CUST-377</t>
  </si>
  <si>
    <t>ORD-5678</t>
  </si>
  <si>
    <t>CUST-375</t>
  </si>
  <si>
    <t>ORD-5679</t>
  </si>
  <si>
    <t>ORD-5680</t>
  </si>
  <si>
    <t>ORD-5681</t>
  </si>
  <si>
    <t>ORD-5682</t>
  </si>
  <si>
    <t>ORD-5683</t>
  </si>
  <si>
    <t>ORD-5684</t>
  </si>
  <si>
    <t>CUST-796</t>
  </si>
  <si>
    <t>ORD-5685</t>
  </si>
  <si>
    <t>CUST-334</t>
  </si>
  <si>
    <t>ORD-5686</t>
  </si>
  <si>
    <t>CUST-484</t>
  </si>
  <si>
    <t>ORD-5687</t>
  </si>
  <si>
    <t>ORD-5688</t>
  </si>
  <si>
    <t>CUST-401</t>
  </si>
  <si>
    <t>ORD-5689</t>
  </si>
  <si>
    <t>ORD-5690</t>
  </si>
  <si>
    <t>ORD-5691</t>
  </si>
  <si>
    <t>CUST-635</t>
  </si>
  <si>
    <t>ORD-5692</t>
  </si>
  <si>
    <t>ORD-5693</t>
  </si>
  <si>
    <t>ORD-5694</t>
  </si>
  <si>
    <t>ORD-5695</t>
  </si>
  <si>
    <t>CUST-816</t>
  </si>
  <si>
    <t>ORD-5696</t>
  </si>
  <si>
    <t>ORD-5697</t>
  </si>
  <si>
    <t>CUST-443</t>
  </si>
  <si>
    <t>ORD-5698</t>
  </si>
  <si>
    <t>ORD-5699</t>
  </si>
  <si>
    <t>CUST-214</t>
  </si>
  <si>
    <t>ORD-5700</t>
  </si>
  <si>
    <t>ORD-5701</t>
  </si>
  <si>
    <t>CUST-255</t>
  </si>
  <si>
    <t>ORD-5702</t>
  </si>
  <si>
    <t>ORD-5703</t>
  </si>
  <si>
    <t>ORD-5704</t>
  </si>
  <si>
    <t>ORD-5705</t>
  </si>
  <si>
    <t>ORD-5706</t>
  </si>
  <si>
    <t>ORD-5707</t>
  </si>
  <si>
    <t>CUST-464</t>
  </si>
  <si>
    <t>ORD-5708</t>
  </si>
  <si>
    <t>CUST-741</t>
  </si>
  <si>
    <t>ORD-5709</t>
  </si>
  <si>
    <t>ORD-5710</t>
  </si>
  <si>
    <t>ORD-5711</t>
  </si>
  <si>
    <t>CUST-889</t>
  </si>
  <si>
    <t>ORD-5712</t>
  </si>
  <si>
    <t>ORD-5713</t>
  </si>
  <si>
    <t>CUST-269</t>
  </si>
  <si>
    <t>ORD-5714</t>
  </si>
  <si>
    <t>CUST-609</t>
  </si>
  <si>
    <t>ORD-5715</t>
  </si>
  <si>
    <t>ORD-5716</t>
  </si>
  <si>
    <t>ORD-5717</t>
  </si>
  <si>
    <t>ORD-5718</t>
  </si>
  <si>
    <t>CUST-391</t>
  </si>
  <si>
    <t>ORD-5719</t>
  </si>
  <si>
    <t>CUST-262</t>
  </si>
  <si>
    <t>ORD-5720</t>
  </si>
  <si>
    <t>ORD-5721</t>
  </si>
  <si>
    <t>ORD-5722</t>
  </si>
  <si>
    <t>ORD-5723</t>
  </si>
  <si>
    <t>ORD-5724</t>
  </si>
  <si>
    <t>ORD-5725</t>
  </si>
  <si>
    <t>ORD-5726</t>
  </si>
  <si>
    <t>ORD-5727</t>
  </si>
  <si>
    <t>CUST-224</t>
  </si>
  <si>
    <t>ORD-5728</t>
  </si>
  <si>
    <t>ORD-5729</t>
  </si>
  <si>
    <t>CUST-616</t>
  </si>
  <si>
    <t>ORD-5730</t>
  </si>
  <si>
    <t>ORD-5731</t>
  </si>
  <si>
    <t>ORD-5732</t>
  </si>
  <si>
    <t>ORD-5733</t>
  </si>
  <si>
    <t>CUST-670</t>
  </si>
  <si>
    <t>ORD-5734</t>
  </si>
  <si>
    <t>ORD-5735</t>
  </si>
  <si>
    <t>CUST-873</t>
  </si>
  <si>
    <t>ORD-5736</t>
  </si>
  <si>
    <t>CUST-677</t>
  </si>
  <si>
    <t>ORD-5737</t>
  </si>
  <si>
    <t>ORD-5738</t>
  </si>
  <si>
    <t>CUST-639</t>
  </si>
  <si>
    <t>ORD-5739</t>
  </si>
  <si>
    <t>CUST-473</t>
  </si>
  <si>
    <t>ORD-5740</t>
  </si>
  <si>
    <t>ORD-5741</t>
  </si>
  <si>
    <t>CUST-587</t>
  </si>
  <si>
    <t>ORD-5742</t>
  </si>
  <si>
    <t>ORD-5743</t>
  </si>
  <si>
    <t>CUST-808</t>
  </si>
  <si>
    <t>ORD-5744</t>
  </si>
  <si>
    <t>CUST-567</t>
  </si>
  <si>
    <t>ORD-5745</t>
  </si>
  <si>
    <t>ORD-5746</t>
  </si>
  <si>
    <t>CUST-296</t>
  </si>
  <si>
    <t>ORD-5747</t>
  </si>
  <si>
    <t>ORD-5748</t>
  </si>
  <si>
    <t>ORD-5749</t>
  </si>
  <si>
    <t>ORD-5750</t>
  </si>
  <si>
    <t>ORD-5751</t>
  </si>
  <si>
    <t>CUST-608</t>
  </si>
  <si>
    <t>ORD-5752</t>
  </si>
  <si>
    <t>ORD-5753</t>
  </si>
  <si>
    <t>CUST-836</t>
  </si>
  <si>
    <t>ORD-5754</t>
  </si>
  <si>
    <t>ORD-5755</t>
  </si>
  <si>
    <t>ORD-5756</t>
  </si>
  <si>
    <t>CUST-753</t>
  </si>
  <si>
    <t>ORD-5757</t>
  </si>
  <si>
    <t>ORD-5758</t>
  </si>
  <si>
    <t>ORD-5759</t>
  </si>
  <si>
    <t>ORD-5760</t>
  </si>
  <si>
    <t>CUST-476</t>
  </si>
  <si>
    <t>ORD-5761</t>
  </si>
  <si>
    <t>ORD-5762</t>
  </si>
  <si>
    <t>ORD-5763</t>
  </si>
  <si>
    <t>CUST-659</t>
  </si>
  <si>
    <t>ORD-5764</t>
  </si>
  <si>
    <t>CUST-387</t>
  </si>
  <si>
    <t>ORD-5765</t>
  </si>
  <si>
    <t>CUST-398</t>
  </si>
  <si>
    <t>ORD-5766</t>
  </si>
  <si>
    <t>ORD-5767</t>
  </si>
  <si>
    <t>CUST-509</t>
  </si>
  <si>
    <t>ORD-5768</t>
  </si>
  <si>
    <t>ORD-5769</t>
  </si>
  <si>
    <t>ORD-5770</t>
  </si>
  <si>
    <t>ORD-5771</t>
  </si>
  <si>
    <t>ORD-5772</t>
  </si>
  <si>
    <t>ORD-5773</t>
  </si>
  <si>
    <t>ORD-5774</t>
  </si>
  <si>
    <t>CUST-483</t>
  </si>
  <si>
    <t>ORD-5775</t>
  </si>
  <si>
    <t>ORD-5776</t>
  </si>
  <si>
    <t>ORD-5777</t>
  </si>
  <si>
    <t>ORD-5778</t>
  </si>
  <si>
    <t>ORD-5779</t>
  </si>
  <si>
    <t>ORD-5780</t>
  </si>
  <si>
    <t>ORD-5781</t>
  </si>
  <si>
    <t>ORD-5782</t>
  </si>
  <si>
    <t>CUST-397</t>
  </si>
  <si>
    <t>ORD-5783</t>
  </si>
  <si>
    <t>CUST-268</t>
  </si>
  <si>
    <t>ORD-5784</t>
  </si>
  <si>
    <t>ORD-5785</t>
  </si>
  <si>
    <t>CUST-731</t>
  </si>
  <si>
    <t>ORD-5786</t>
  </si>
  <si>
    <t>ORD-5787</t>
  </si>
  <si>
    <t>ORD-5788</t>
  </si>
  <si>
    <t>ORD-5789</t>
  </si>
  <si>
    <t>ORD-5790</t>
  </si>
  <si>
    <t>CUST-690</t>
  </si>
  <si>
    <t>ORD-5791</t>
  </si>
  <si>
    <t>CUST-705</t>
  </si>
  <si>
    <t>ORD-5792</t>
  </si>
  <si>
    <t>ORD-5793</t>
  </si>
  <si>
    <t>ORD-5794</t>
  </si>
  <si>
    <t>CUST-813</t>
  </si>
  <si>
    <t>ORD-5795</t>
  </si>
  <si>
    <t>CUST-820</t>
  </si>
  <si>
    <t>ORD-5796</t>
  </si>
  <si>
    <t>ORD-5797</t>
  </si>
  <si>
    <t>ORD-5798</t>
  </si>
  <si>
    <t>ORD-5799</t>
  </si>
  <si>
    <t>ORD-5800</t>
  </si>
  <si>
    <t>ORD-5801</t>
  </si>
  <si>
    <t>ORD-5802</t>
  </si>
  <si>
    <t>CUST-356</t>
  </si>
  <si>
    <t>ORD-5803</t>
  </si>
  <si>
    <t>ORD-5804</t>
  </si>
  <si>
    <t>ORD-5805</t>
  </si>
  <si>
    <t>CUST-698</t>
  </si>
  <si>
    <t>ORD-5806</t>
  </si>
  <si>
    <t>CUST-811</t>
  </si>
  <si>
    <t>ORD-5807</t>
  </si>
  <si>
    <t>ORD-5808</t>
  </si>
  <si>
    <t>ORD-5809</t>
  </si>
  <si>
    <t>ORD-5810</t>
  </si>
  <si>
    <t>ORD-5811</t>
  </si>
  <si>
    <t>CUST-773</t>
  </si>
  <si>
    <t>ORD-5812</t>
  </si>
  <si>
    <t>CUST-459</t>
  </si>
  <si>
    <t>ORD-5813</t>
  </si>
  <si>
    <t>ORD-5814</t>
  </si>
  <si>
    <t>ORD-5815</t>
  </si>
  <si>
    <t>ORD-5816</t>
  </si>
  <si>
    <t>ORD-5817</t>
  </si>
  <si>
    <t>ORD-5818</t>
  </si>
  <si>
    <t>CUST-252</t>
  </si>
  <si>
    <t>ORD-5819</t>
  </si>
  <si>
    <t>CUST-771</t>
  </si>
  <si>
    <t>ORD-5820</t>
  </si>
  <si>
    <t>ORD-5821</t>
  </si>
  <si>
    <t>ORD-5822</t>
  </si>
  <si>
    <t>CUST-305</t>
  </si>
  <si>
    <t>ORD-5823</t>
  </si>
  <si>
    <t>ORD-5824</t>
  </si>
  <si>
    <t>ORD-5825</t>
  </si>
  <si>
    <t>ORD-5826</t>
  </si>
  <si>
    <t>ORD-5827</t>
  </si>
  <si>
    <t>ORD-5828</t>
  </si>
  <si>
    <t>ORD-5829</t>
  </si>
  <si>
    <t>ORD-5830</t>
  </si>
  <si>
    <t>CUST-767</t>
  </si>
  <si>
    <t>ORD-5831</t>
  </si>
  <si>
    <t>CUST-604</t>
  </si>
  <si>
    <t>ORD-5832</t>
  </si>
  <si>
    <t>CUST-218</t>
  </si>
  <si>
    <t>ORD-5833</t>
  </si>
  <si>
    <t>ORD-5834</t>
  </si>
  <si>
    <t>CUST-847</t>
  </si>
  <si>
    <t>ORD-5835</t>
  </si>
  <si>
    <t>ORD-5836</t>
  </si>
  <si>
    <t>ORD-5837</t>
  </si>
  <si>
    <t>ORD-5838</t>
  </si>
  <si>
    <t>ORD-5839</t>
  </si>
  <si>
    <t>ORD-5840</t>
  </si>
  <si>
    <t>ORD-5841</t>
  </si>
  <si>
    <t>ORD-5842</t>
  </si>
  <si>
    <t>ORD-5843</t>
  </si>
  <si>
    <t>CUST-789</t>
  </si>
  <si>
    <t>ORD-5844</t>
  </si>
  <si>
    <t>CUST-870</t>
  </si>
  <si>
    <t>ORD-5845</t>
  </si>
  <si>
    <t>ORD-5846</t>
  </si>
  <si>
    <t>ORD-5847</t>
  </si>
  <si>
    <t>CUST-454</t>
  </si>
  <si>
    <t>ORD-5848</t>
  </si>
  <si>
    <t>ORD-5849</t>
  </si>
  <si>
    <t>CUST-338</t>
  </si>
  <si>
    <t>ORD-5850</t>
  </si>
  <si>
    <t>ORD-5851</t>
  </si>
  <si>
    <t>ORD-5852</t>
  </si>
  <si>
    <t>ORD-5853</t>
  </si>
  <si>
    <t>CUST-591</t>
  </si>
  <si>
    <t>ORD-5854</t>
  </si>
  <si>
    <t>CUST-414</t>
  </si>
  <si>
    <t>ORD-5855</t>
  </si>
  <si>
    <t>ORD-5856</t>
  </si>
  <si>
    <t>ORD-5857</t>
  </si>
  <si>
    <t>ORD-5858</t>
  </si>
  <si>
    <t>ORD-5859</t>
  </si>
  <si>
    <t>ORD-5860</t>
  </si>
  <si>
    <t>ORD-5861</t>
  </si>
  <si>
    <t>ORD-5862</t>
  </si>
  <si>
    <t>ORD-5863</t>
  </si>
  <si>
    <t>ORD-5864</t>
  </si>
  <si>
    <t>ORD-5865</t>
  </si>
  <si>
    <t>ORD-5866</t>
  </si>
  <si>
    <t>CUST-552</t>
  </si>
  <si>
    <t>ORD-5867</t>
  </si>
  <si>
    <t>ORD-5868</t>
  </si>
  <si>
    <t>ORD-5869</t>
  </si>
  <si>
    <t>ORD-5870</t>
  </si>
  <si>
    <t>ORD-5871</t>
  </si>
  <si>
    <t>CUST-423</t>
  </si>
  <si>
    <t>ORD-5872</t>
  </si>
  <si>
    <t>ORD-5873</t>
  </si>
  <si>
    <t>CUST-299</t>
  </si>
  <si>
    <t>ORD-5874</t>
  </si>
  <si>
    <t>ORD-5875</t>
  </si>
  <si>
    <t>CUST-503</t>
  </si>
  <si>
    <t>ORD-5876</t>
  </si>
  <si>
    <t>ORD-5877</t>
  </si>
  <si>
    <t>ORD-5878</t>
  </si>
  <si>
    <t>CUST-834</t>
  </si>
  <si>
    <t>ORD-5879</t>
  </si>
  <si>
    <t>ORD-5880</t>
  </si>
  <si>
    <t>CUST-737</t>
  </si>
  <si>
    <t>ORD-5881</t>
  </si>
  <si>
    <t>ORD-5882</t>
  </si>
  <si>
    <t>ORD-5883</t>
  </si>
  <si>
    <t>ORD-5884</t>
  </si>
  <si>
    <t>CUST-802</t>
  </si>
  <si>
    <t>ORD-5885</t>
  </si>
  <si>
    <t>CUST-792</t>
  </si>
  <si>
    <t>ORD-5886</t>
  </si>
  <si>
    <t>ORD-5887</t>
  </si>
  <si>
    <t>CUST-297</t>
  </si>
  <si>
    <t>ORD-5888</t>
  </si>
  <si>
    <t>ORD-5889</t>
  </si>
  <si>
    <t>CUST-216</t>
  </si>
  <si>
    <t>ORD-5890</t>
  </si>
  <si>
    <t>CUST-574</t>
  </si>
  <si>
    <t>ORD-5891</t>
  </si>
  <si>
    <t>ORD-5892</t>
  </si>
  <si>
    <t>ORD-5893</t>
  </si>
  <si>
    <t>ORD-5894</t>
  </si>
  <si>
    <t>ORD-5895</t>
  </si>
  <si>
    <t>CUST-507</t>
  </si>
  <si>
    <t>ORD-5896</t>
  </si>
  <si>
    <t>ORD-5897</t>
  </si>
  <si>
    <t>ORD-5898</t>
  </si>
  <si>
    <t>ORD-5899</t>
  </si>
  <si>
    <t>ORD-5900</t>
  </si>
  <si>
    <t>CUST-471</t>
  </si>
  <si>
    <t>ORD-5901</t>
  </si>
  <si>
    <t>CUST-666</t>
  </si>
  <si>
    <t>ORD-5902</t>
  </si>
  <si>
    <t>ORD-5903</t>
  </si>
  <si>
    <t>ORD-5904</t>
  </si>
  <si>
    <t>CUST-271</t>
  </si>
  <si>
    <t>ORD-5905</t>
  </si>
  <si>
    <t>ORD-5906</t>
  </si>
  <si>
    <t>ORD-5907</t>
  </si>
  <si>
    <t>ORD-5908</t>
  </si>
  <si>
    <t>CUST-233</t>
  </si>
  <si>
    <t>ORD-5909</t>
  </si>
  <si>
    <t>ORD-5910</t>
  </si>
  <si>
    <t>CUST-669</t>
  </si>
  <si>
    <t>ORD-5911</t>
  </si>
  <si>
    <t>CUST-217</t>
  </si>
  <si>
    <t>ORD-5912</t>
  </si>
  <si>
    <t>ORD-5913</t>
  </si>
  <si>
    <t>ORD-5914</t>
  </si>
  <si>
    <t>ORD-5915</t>
  </si>
  <si>
    <t>CUST-817</t>
  </si>
  <si>
    <t>ORD-5916</t>
  </si>
  <si>
    <t>ORD-5917</t>
  </si>
  <si>
    <t>ORD-5918</t>
  </si>
  <si>
    <t>CUST-477</t>
  </si>
  <si>
    <t>ORD-5919</t>
  </si>
  <si>
    <t>ORD-5920</t>
  </si>
  <si>
    <t>ORD-5921</t>
  </si>
  <si>
    <t>ORD-5922</t>
  </si>
  <si>
    <t>ORD-5923</t>
  </si>
  <si>
    <t>CUST-310</t>
  </si>
  <si>
    <t>ORD-5924</t>
  </si>
  <si>
    <t>ORD-5925</t>
  </si>
  <si>
    <t>ORD-5926</t>
  </si>
  <si>
    <t>ORD-5927</t>
  </si>
  <si>
    <t>ORD-5928</t>
  </si>
  <si>
    <t>CUST-803</t>
  </si>
  <si>
    <t>ORD-5929</t>
  </si>
  <si>
    <t>ORD-5930</t>
  </si>
  <si>
    <t>ORD-5931</t>
  </si>
  <si>
    <t>CUST-502</t>
  </si>
  <si>
    <t>ORD-5932</t>
  </si>
  <si>
    <t>ORD-5933</t>
  </si>
  <si>
    <t>ORD-5934</t>
  </si>
  <si>
    <t>ORD-5935</t>
  </si>
  <si>
    <t>ORD-5936</t>
  </si>
  <si>
    <t>ORD-5937</t>
  </si>
  <si>
    <t>ORD-5938</t>
  </si>
  <si>
    <t>CUST-551</t>
  </si>
  <si>
    <t>ORD-5939</t>
  </si>
  <si>
    <t>CUST-819</t>
  </si>
  <si>
    <t>ORD-5940</t>
  </si>
  <si>
    <t>ORD-5941</t>
  </si>
  <si>
    <t>CUST-739</t>
  </si>
  <si>
    <t>ORD-5942</t>
  </si>
  <si>
    <t>ORD-5943</t>
  </si>
  <si>
    <t>ORD-5944</t>
  </si>
  <si>
    <t>CUST-674</t>
  </si>
  <si>
    <t>ORD-5945</t>
  </si>
  <si>
    <t>ORD-5946</t>
  </si>
  <si>
    <t>ORD-5947</t>
  </si>
  <si>
    <t>ORD-5948</t>
  </si>
  <si>
    <t>ORD-5949</t>
  </si>
  <si>
    <t>CUST-455</t>
  </si>
  <si>
    <t>ORD-5950</t>
  </si>
  <si>
    <t>ORD-5951</t>
  </si>
  <si>
    <t>CUST-818</t>
  </si>
  <si>
    <t>ORD-5952</t>
  </si>
  <si>
    <t>ORD-5953</t>
  </si>
  <si>
    <t>CUST-636</t>
  </si>
  <si>
    <t>ORD-5954</t>
  </si>
  <si>
    <t>ORD-5955</t>
  </si>
  <si>
    <t>ORD-5956</t>
  </si>
  <si>
    <t>ORD-5957</t>
  </si>
  <si>
    <t>ORD-5958</t>
  </si>
  <si>
    <t>ORD-5959</t>
  </si>
  <si>
    <t>ORD-5960</t>
  </si>
  <si>
    <t>ORD-5961</t>
  </si>
  <si>
    <t>ORD-5962</t>
  </si>
  <si>
    <t>ORD-5963</t>
  </si>
  <si>
    <t>ORD-5964</t>
  </si>
  <si>
    <t>ORD-5965</t>
  </si>
  <si>
    <t>ORD-5966</t>
  </si>
  <si>
    <t>CUST-442</t>
  </si>
  <si>
    <t>ORD-5967</t>
  </si>
  <si>
    <t>ORD-5968</t>
  </si>
  <si>
    <t>CUST-859</t>
  </si>
  <si>
    <t>ORD-5969</t>
  </si>
  <si>
    <t>ORD-5970</t>
  </si>
  <si>
    <t>ORD-5971</t>
  </si>
  <si>
    <t>ORD-5972</t>
  </si>
  <si>
    <t>ORD-5973</t>
  </si>
  <si>
    <t>ORD-5974</t>
  </si>
  <si>
    <t>ORD-5975</t>
  </si>
  <si>
    <t>CUST-309</t>
  </si>
  <si>
    <t>ORD-5976</t>
  </si>
  <si>
    <t>ORD-5977</t>
  </si>
  <si>
    <t>ORD-5978</t>
  </si>
  <si>
    <t>ORD-5979</t>
  </si>
  <si>
    <t>ORD-5980</t>
  </si>
  <si>
    <t>ORD-5981</t>
  </si>
  <si>
    <t>CUST-686</t>
  </si>
  <si>
    <t>ORD-5982</t>
  </si>
  <si>
    <t>ORD-5983</t>
  </si>
  <si>
    <t>ORD-5984</t>
  </si>
  <si>
    <t>ORD-5985</t>
  </si>
  <si>
    <t>ORD-5986</t>
  </si>
  <si>
    <t>ORD-5987</t>
  </si>
  <si>
    <t>CUST-563</t>
  </si>
  <si>
    <t>ORD-5988</t>
  </si>
  <si>
    <t>ORD-5989</t>
  </si>
  <si>
    <t>CUST-388</t>
  </si>
  <si>
    <t>ORD-5990</t>
  </si>
  <si>
    <t>ORD-5991</t>
  </si>
  <si>
    <t>CUST-428</t>
  </si>
  <si>
    <t>ORD-5992</t>
  </si>
  <si>
    <t>ORD-5993</t>
  </si>
  <si>
    <t>ORD-5994</t>
  </si>
  <si>
    <t>CUST-466</t>
  </si>
  <si>
    <t>ORD-5995</t>
  </si>
  <si>
    <t>ORD-5996</t>
  </si>
  <si>
    <t>ORD-5997</t>
  </si>
  <si>
    <t>ORD-5998</t>
  </si>
  <si>
    <t>ORD-5999</t>
  </si>
  <si>
    <t>ORD-6000</t>
  </si>
  <si>
    <t>ORD-6001</t>
  </si>
  <si>
    <t>ORD-6002</t>
  </si>
  <si>
    <t>ORD-6003</t>
  </si>
  <si>
    <t>CUST-300</t>
  </si>
  <si>
    <t>ORD-6004</t>
  </si>
  <si>
    <t>CUST-588</t>
  </si>
  <si>
    <t>ORD-6005</t>
  </si>
  <si>
    <t>CUST-581</t>
  </si>
  <si>
    <t>ORD-6006</t>
  </si>
  <si>
    <t>ORD-6007</t>
  </si>
  <si>
    <t>CUST-480</t>
  </si>
  <si>
    <t>ORD-6008</t>
  </si>
  <si>
    <t>ORD-6009</t>
  </si>
  <si>
    <t>ORD-6010</t>
  </si>
  <si>
    <t>ORD-6011</t>
  </si>
  <si>
    <t>CUST-441</t>
  </si>
  <si>
    <t>ORD-6012</t>
  </si>
  <si>
    <t>CUST-384</t>
  </si>
  <si>
    <t>ORD-6013</t>
  </si>
  <si>
    <t>ORD-6014</t>
  </si>
  <si>
    <t>ORD-6015</t>
  </si>
  <si>
    <t>ORD-6016</t>
  </si>
  <si>
    <t>CUST-766</t>
  </si>
  <si>
    <t>ORD-6017</t>
  </si>
  <si>
    <t>CUST-781</t>
  </si>
  <si>
    <t>ORD-6018</t>
  </si>
  <si>
    <t>ORD-6019</t>
  </si>
  <si>
    <t>CUST-586</t>
  </si>
  <si>
    <t>ORD-6020</t>
  </si>
  <si>
    <t>ORD-6021</t>
  </si>
  <si>
    <t>CUST-517</t>
  </si>
  <si>
    <t>ORD-6022</t>
  </si>
  <si>
    <t>ORD-6023</t>
  </si>
  <si>
    <t>CUST-665</t>
  </si>
  <si>
    <t>ORD-6024</t>
  </si>
  <si>
    <t>ORD-6025</t>
  </si>
  <si>
    <t>CUST-646</t>
  </si>
  <si>
    <t>ORD-6026</t>
  </si>
  <si>
    <t>CUST-717</t>
  </si>
  <si>
    <t>ORD-6027</t>
  </si>
  <si>
    <t>ORD-6028</t>
  </si>
  <si>
    <t>ORD-6029</t>
  </si>
  <si>
    <t>CUST-688</t>
  </si>
  <si>
    <t>ORD-6030</t>
  </si>
  <si>
    <t>ORD-6031</t>
  </si>
  <si>
    <t>ORD-6032</t>
  </si>
  <si>
    <t>ORD-6033</t>
  </si>
  <si>
    <t>ORD-6034</t>
  </si>
  <si>
    <t>ORD-6035</t>
  </si>
  <si>
    <t>ORD-6036</t>
  </si>
  <si>
    <t>ORD-6037</t>
  </si>
  <si>
    <t>CUST-498</t>
  </si>
  <si>
    <t>ORD-6038</t>
  </si>
  <si>
    <t>ORD-6039</t>
  </si>
  <si>
    <t>ORD-6040</t>
  </si>
  <si>
    <t>ORD-6041</t>
  </si>
  <si>
    <t>CUST-623</t>
  </si>
  <si>
    <t>ORD-6042</t>
  </si>
  <si>
    <t>CUST-850</t>
  </si>
  <si>
    <t>ORD-6043</t>
  </si>
  <si>
    <t>ORD-6044</t>
  </si>
  <si>
    <t>ORD-6045</t>
  </si>
  <si>
    <t>CUST-539</t>
  </si>
  <si>
    <t>ORD-6046</t>
  </si>
  <si>
    <t>ORD-6047</t>
  </si>
  <si>
    <t>ORD-6048</t>
  </si>
  <si>
    <t>ORD-6049</t>
  </si>
  <si>
    <t>ORD-6050</t>
  </si>
  <si>
    <t>ORD-6051</t>
  </si>
  <si>
    <t>ORD-6052</t>
  </si>
  <si>
    <t>ORD-6053</t>
  </si>
  <si>
    <t>ORD-6054</t>
  </si>
  <si>
    <t>ORD-6055</t>
  </si>
  <si>
    <t>CUST-329</t>
  </si>
  <si>
    <t>ORD-6056</t>
  </si>
  <si>
    <t>ORD-6057</t>
  </si>
  <si>
    <t>CUST-757</t>
  </si>
  <si>
    <t>ORD-6058</t>
  </si>
  <si>
    <t>CUST-725</t>
  </si>
  <si>
    <t>ORD-6059</t>
  </si>
  <si>
    <t>ORD-6060</t>
  </si>
  <si>
    <t>ORD-6061</t>
  </si>
  <si>
    <t>ORD-6062</t>
  </si>
  <si>
    <t>ORD-6063</t>
  </si>
  <si>
    <t>ORD-6064</t>
  </si>
  <si>
    <t>ORD-6065</t>
  </si>
  <si>
    <t>ORD-6066</t>
  </si>
  <si>
    <t>ORD-6067</t>
  </si>
  <si>
    <t>CUST-890</t>
  </si>
  <si>
    <t>ORD-6068</t>
  </si>
  <si>
    <t>CUST-344</t>
  </si>
  <si>
    <t>ORD-6069</t>
  </si>
  <si>
    <t>ORD-6070</t>
  </si>
  <si>
    <t>ORD-6071</t>
  </si>
  <si>
    <t>ORD-6072</t>
  </si>
  <si>
    <t>ORD-6073</t>
  </si>
  <si>
    <t>ORD-6074</t>
  </si>
  <si>
    <t>ORD-6075</t>
  </si>
  <si>
    <t>ORD-6076</t>
  </si>
  <si>
    <t>ORD-6077</t>
  </si>
  <si>
    <t>ORD-6078</t>
  </si>
  <si>
    <t>ORD-6079</t>
  </si>
  <si>
    <t>CUST-786</t>
  </si>
  <si>
    <t>ORD-6080</t>
  </si>
  <si>
    <t>ORD-6081</t>
  </si>
  <si>
    <t>ORD-6082</t>
  </si>
  <si>
    <t>ORD-6083</t>
  </si>
  <si>
    <t>ORD-6084</t>
  </si>
  <si>
    <t>ORD-6085</t>
  </si>
  <si>
    <t>ORD-6086</t>
  </si>
  <si>
    <t>ORD-6087</t>
  </si>
  <si>
    <t>ORD-6088</t>
  </si>
  <si>
    <t>ORD-6089</t>
  </si>
  <si>
    <t>ORD-6090</t>
  </si>
  <si>
    <t>ORD-6091</t>
  </si>
  <si>
    <t>ORD-6092</t>
  </si>
  <si>
    <t>CUST-575</t>
  </si>
  <si>
    <t>ORD-6093</t>
  </si>
  <si>
    <t>CUST-256</t>
  </si>
  <si>
    <t>ORD-6094</t>
  </si>
  <si>
    <t>ORD-6095</t>
  </si>
  <si>
    <t>CUST-286</t>
  </si>
  <si>
    <t>ORD-6096</t>
  </si>
  <si>
    <t>CUST-793</t>
  </si>
  <si>
    <t>ORD-6097</t>
  </si>
  <si>
    <t>CUST-810</t>
  </si>
  <si>
    <t>ORD-6098</t>
  </si>
  <si>
    <t>ORD-6099</t>
  </si>
  <si>
    <t>ORD-6100</t>
  </si>
  <si>
    <t>ORD-6101</t>
  </si>
  <si>
    <t>ORD-6102</t>
  </si>
  <si>
    <t>ORD-6103</t>
  </si>
  <si>
    <t>ORD-6104</t>
  </si>
  <si>
    <t>CUST-730</t>
  </si>
  <si>
    <t>ORD-6105</t>
  </si>
  <si>
    <t>ORD-6106</t>
  </si>
  <si>
    <t>ORD-6107</t>
  </si>
  <si>
    <t>ORD-6108</t>
  </si>
  <si>
    <t>ORD-6109</t>
  </si>
  <si>
    <t>ORD-6110</t>
  </si>
  <si>
    <t>CUST-226</t>
  </si>
  <si>
    <t>ORD-6111</t>
  </si>
  <si>
    <t>ORD-6112</t>
  </si>
  <si>
    <t>ORD-6113</t>
  </si>
  <si>
    <t>ORD-6114</t>
  </si>
  <si>
    <t>ORD-6115</t>
  </si>
  <si>
    <t>ORD-6116</t>
  </si>
  <si>
    <t>ORD-6117</t>
  </si>
  <si>
    <t>CUST-348</t>
  </si>
  <si>
    <t>ORD-6118</t>
  </si>
  <si>
    <t>ORD-6119</t>
  </si>
  <si>
    <t>ORD-6120</t>
  </si>
  <si>
    <t>ORD-6121</t>
  </si>
  <si>
    <t>CUST-620</t>
  </si>
  <si>
    <t>ORD-6122</t>
  </si>
  <si>
    <t>ORD-6123</t>
  </si>
  <si>
    <t>ORD-6124</t>
  </si>
  <si>
    <t>ORD-6125</t>
  </si>
  <si>
    <t>ORD-6126</t>
  </si>
  <si>
    <t>ORD-6127</t>
  </si>
  <si>
    <t>ORD-6128</t>
  </si>
  <si>
    <t>ORD-6129</t>
  </si>
  <si>
    <t>CUST-534</t>
  </si>
  <si>
    <t>ORD-6130</t>
  </si>
  <si>
    <t>CUST-565</t>
  </si>
  <si>
    <t>ORD-6131</t>
  </si>
  <si>
    <t>CUST-742</t>
  </si>
  <si>
    <t>ORD-6132</t>
  </si>
  <si>
    <t>ORD-6133</t>
  </si>
  <si>
    <t>ORD-6134</t>
  </si>
  <si>
    <t>CUST-519</t>
  </si>
  <si>
    <t>ORD-6135</t>
  </si>
  <si>
    <t>ORD-6136</t>
  </si>
  <si>
    <t>CUST-637</t>
  </si>
  <si>
    <t>ORD-6137</t>
  </si>
  <si>
    <t>ORD-6138</t>
  </si>
  <si>
    <t>ORD-6139</t>
  </si>
  <si>
    <t>ORD-6140</t>
  </si>
  <si>
    <t>CUST-775</t>
  </si>
  <si>
    <t>ORD-6141</t>
  </si>
  <si>
    <t>ORD-6142</t>
  </si>
  <si>
    <t>ORD-6143</t>
  </si>
  <si>
    <t>ORD-6144</t>
  </si>
  <si>
    <t>CUST-321</t>
  </si>
  <si>
    <t>ORD-6145</t>
  </si>
  <si>
    <t>ORD-6146</t>
  </si>
  <si>
    <t>ORD-6147</t>
  </si>
  <si>
    <t>ORD-6148</t>
  </si>
  <si>
    <t>CUST-513</t>
  </si>
  <si>
    <t>ORD-6149</t>
  </si>
  <si>
    <t>ORD-6150</t>
  </si>
  <si>
    <t>ORD-6151</t>
  </si>
  <si>
    <t>ORD-6152</t>
  </si>
  <si>
    <t>ORD-6153</t>
  </si>
  <si>
    <t>ORD-6154</t>
  </si>
  <si>
    <t>ORD-6155</t>
  </si>
  <si>
    <t>CUST-651</t>
  </si>
  <si>
    <t>ORD-6156</t>
  </si>
  <si>
    <t>ORD-6157</t>
  </si>
  <si>
    <t>ORD-6158</t>
  </si>
  <si>
    <t>ORD-6159</t>
  </si>
  <si>
    <t>ORD-6160</t>
  </si>
  <si>
    <t>ORD-6161</t>
  </si>
  <si>
    <t>CUST-435</t>
  </si>
  <si>
    <t>ORD-6162</t>
  </si>
  <si>
    <t>ORD-6163</t>
  </si>
  <si>
    <t>ORD-6164</t>
  </si>
  <si>
    <t>ORD-6165</t>
  </si>
  <si>
    <t>CUST-425</t>
  </si>
  <si>
    <t>ORD-6166</t>
  </si>
  <si>
    <t>ORD-6167</t>
  </si>
  <si>
    <t>ORD-6168</t>
  </si>
  <si>
    <t>ORD-6169</t>
  </si>
  <si>
    <t>ORD-6170</t>
  </si>
  <si>
    <t>CUST-610</t>
  </si>
  <si>
    <t>ORD-6171</t>
  </si>
  <si>
    <t>CUST-360</t>
  </si>
  <si>
    <t>ORD-6172</t>
  </si>
  <si>
    <t>ORD-6173</t>
  </si>
  <si>
    <t>ORD-6174</t>
  </si>
  <si>
    <t>CUST-724</t>
  </si>
  <si>
    <t>ORD-6175</t>
  </si>
  <si>
    <t>ORD-6176</t>
  </si>
  <si>
    <t>ORD-6177</t>
  </si>
  <si>
    <t>CUST-378</t>
  </si>
  <si>
    <t>ORD-6178</t>
  </si>
  <si>
    <t>ORD-6179</t>
  </si>
  <si>
    <t>CUST-888</t>
  </si>
  <si>
    <t>ORD-6180</t>
  </si>
  <si>
    <t>CUST-494</t>
  </si>
  <si>
    <t>ORD-6181</t>
  </si>
  <si>
    <t>ORD-6182</t>
  </si>
  <si>
    <t>ORD-6183</t>
  </si>
  <si>
    <t>ORD-6184</t>
  </si>
  <si>
    <t>ORD-6185</t>
  </si>
  <si>
    <t>ORD-6186</t>
  </si>
  <si>
    <t>ORD-6187</t>
  </si>
  <si>
    <t>ORD-6188</t>
  </si>
  <si>
    <t>ORD-6189</t>
  </si>
  <si>
    <t>CUST-249</t>
  </si>
  <si>
    <t>ORD-6190</t>
  </si>
  <si>
    <t>ORD-6191</t>
  </si>
  <si>
    <t>ORD-6192</t>
  </si>
  <si>
    <t>ORD-6193</t>
  </si>
  <si>
    <t>ORD-6194</t>
  </si>
  <si>
    <t>ORD-6195</t>
  </si>
  <si>
    <t>ORD-6196</t>
  </si>
  <si>
    <t>CUST-530</t>
  </si>
  <si>
    <t>ORD-6197</t>
  </si>
  <si>
    <t>ORD-6198</t>
  </si>
  <si>
    <t>ORD-6199</t>
  </si>
  <si>
    <t>ORD-6200</t>
  </si>
  <si>
    <t>ORD-6201</t>
  </si>
  <si>
    <t>ORD-6202</t>
  </si>
  <si>
    <t>ORD-6203</t>
  </si>
  <si>
    <t>ORD-6204</t>
  </si>
  <si>
    <t>ORD-6205</t>
  </si>
  <si>
    <t>ORD-6206</t>
  </si>
  <si>
    <t>ORD-6207</t>
  </si>
  <si>
    <t>ORD-6208</t>
  </si>
  <si>
    <t>ORD-6209</t>
  </si>
  <si>
    <t>CUST-232</t>
  </si>
  <si>
    <t>ORD-6210</t>
  </si>
  <si>
    <t>ORD-6211</t>
  </si>
  <si>
    <t>ORD-6212</t>
  </si>
  <si>
    <t>ORD-6213</t>
  </si>
  <si>
    <t>ORD-6214</t>
  </si>
  <si>
    <t>ORD-6215</t>
  </si>
  <si>
    <t>ORD-6216</t>
  </si>
  <si>
    <t>ORD-6217</t>
  </si>
  <si>
    <t>ORD-6218</t>
  </si>
  <si>
    <t>ORD-6219</t>
  </si>
  <si>
    <t>ORD-6220</t>
  </si>
  <si>
    <t>ORD-6221</t>
  </si>
  <si>
    <t>CUST-457</t>
  </si>
  <si>
    <t>ORD-6222</t>
  </si>
  <si>
    <t>ORD-6223</t>
  </si>
  <si>
    <t>ORD-6224</t>
  </si>
  <si>
    <t>ORD-6225</t>
  </si>
  <si>
    <t>ORD-6226</t>
  </si>
  <si>
    <t>ORD-6227</t>
  </si>
  <si>
    <t>ORD-6228</t>
  </si>
  <si>
    <t>ORD-6229</t>
  </si>
  <si>
    <t>CUST-254</t>
  </si>
  <si>
    <t>ORD-6230</t>
  </si>
  <si>
    <t>ORD-6231</t>
  </si>
  <si>
    <t>ORD-6232</t>
  </si>
  <si>
    <t>ORD-6233</t>
  </si>
  <si>
    <t>ORD-6234</t>
  </si>
  <si>
    <t>ORD-6235</t>
  </si>
  <si>
    <t>ORD-6236</t>
  </si>
  <si>
    <t>ORD-6237</t>
  </si>
  <si>
    <t>ORD-6238</t>
  </si>
  <si>
    <t>ORD-6239</t>
  </si>
  <si>
    <t>ORD-6240</t>
  </si>
  <si>
    <t>CUST-479</t>
  </si>
  <si>
    <t>ORD-6241</t>
  </si>
  <si>
    <t>ORD-6242</t>
  </si>
  <si>
    <t>CUST-349</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</si>
  <si>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</si>
  <si>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</si>
  <si>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</si>
  <si>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</si>
  <si>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</si>
  <si>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</si>
  <si>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</si>
  <si>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</si>
  <si>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</si>
  <si>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</si>
  <si>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</si>
  <si>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</si>
  <si>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</si>
  <si>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</si>
  <si>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</si>
  <si>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</si>
  <si>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</si>
  <si>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</si>
  <si>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</si>
  <si>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</si>
  <si>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</si>
  <si>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CUST-584</t>
  </si>
  <si>
    <t>ORD-6264</t>
  </si>
  <si>
    <t>ORD-6265</t>
  </si>
  <si>
    <t>ORD-6266</t>
  </si>
  <si>
    <t>ORD-6267</t>
  </si>
  <si>
    <t>ORD-6268</t>
  </si>
  <si>
    <t>ORD-6269</t>
  </si>
  <si>
    <t>ORD-6270</t>
  </si>
  <si>
    <t>ORD-6271</t>
  </si>
  <si>
    <t>CUST-893</t>
  </si>
  <si>
    <t>ORD-6272</t>
  </si>
  <si>
    <t>ORD-6273</t>
  </si>
  <si>
    <t>ORD-6274</t>
  </si>
  <si>
    <t>ORD-6275</t>
  </si>
  <si>
    <t>CUST-744</t>
  </si>
  <si>
    <t>ORD-6276</t>
  </si>
  <si>
    <t>ORD-6277</t>
  </si>
  <si>
    <t>ORD-6278</t>
  </si>
  <si>
    <t>ORD-6279</t>
  </si>
  <si>
    <t>ORD-6280</t>
  </si>
  <si>
    <t>ORD-6281</t>
  </si>
  <si>
    <t>CUST-605</t>
  </si>
  <si>
    <t>ORD-6282</t>
  </si>
  <si>
    <t>ORD-6283</t>
  </si>
  <si>
    <t>ORD-6284</t>
  </si>
  <si>
    <t>ORD-6285</t>
  </si>
  <si>
    <t>ORD-6286</t>
  </si>
  <si>
    <t>ORD-6287</t>
  </si>
  <si>
    <t>ORD-6288</t>
  </si>
  <si>
    <t>ORD-6289</t>
  </si>
  <si>
    <t>ORD-6290</t>
  </si>
  <si>
    <t>ORD-6291</t>
  </si>
  <si>
    <t>CUST-392</t>
  </si>
  <si>
    <t>ORD-6292</t>
  </si>
  <si>
    <t>ORD-6293</t>
  </si>
  <si>
    <t>ORD-6294</t>
  </si>
  <si>
    <t>ORD-6295</t>
  </si>
  <si>
    <t>ORD-6296</t>
  </si>
  <si>
    <t>CUST-683</t>
  </si>
  <si>
    <t>ORD-6297</t>
  </si>
  <si>
    <t>CUST-368</t>
  </si>
  <si>
    <t>ORD-6298</t>
  </si>
  <si>
    <t>ORD-6299</t>
  </si>
  <si>
    <t>ORD-6300</t>
  </si>
  <si>
    <t>ORD-6301</t>
  </si>
  <si>
    <t>ORD-6302</t>
  </si>
  <si>
    <t>ORD-6303</t>
  </si>
  <si>
    <t>ORD-6304</t>
  </si>
  <si>
    <t>CUST-671</t>
  </si>
  <si>
    <t>ORD-6305</t>
  </si>
  <si>
    <t>ORD-6306</t>
  </si>
  <si>
    <t>ORD-6307</t>
  </si>
  <si>
    <t>CUST-754</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</si>
  <si>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</si>
  <si>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</si>
  <si>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</si>
  <si>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</si>
  <si>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</si>
  <si>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</si>
  <si>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</si>
  <si>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</si>
  <si>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</si>
  <si>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</si>
  <si>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</si>
  <si>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</si>
  <si>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</si>
  <si>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</si>
  <si>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</si>
  <si>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</si>
  <si>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</si>
  <si>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</si>
  <si>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</si>
  <si>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</si>
  <si>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</si>
  <si>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</si>
  <si>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CUST-823</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</si>
  <si>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</si>
  <si>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</si>
  <si>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</si>
  <si>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</si>
  <si>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</si>
  <si>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</si>
  <si>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</si>
  <si>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</si>
  <si>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</si>
  <si>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</si>
  <si>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</si>
  <si>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</si>
  <si>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</si>
  <si>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</si>
  <si>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</si>
  <si>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</si>
  <si>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</si>
  <si>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</si>
  <si>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</si>
  <si>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</si>
  <si>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CUST-366</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</si>
  <si>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</si>
  <si>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</si>
  <si>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</si>
  <si>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</si>
  <si>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</si>
  <si>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</si>
  <si>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</si>
  <si>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</si>
  <si>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</si>
  <si>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</si>
  <si>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</si>
  <si>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</si>
  <si>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</si>
  <si>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</si>
  <si>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</si>
  <si>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</si>
  <si>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</si>
  <si>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</si>
  <si>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</si>
  <si>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</si>
  <si>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</si>
  <si>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</si>
  <si>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</si>
  <si>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</si>
  <si>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</si>
  <si>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</si>
  <si>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</si>
  <si>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</si>
  <si>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</si>
  <si>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</si>
  <si>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</si>
  <si>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CUST-330</t>
  </si>
  <si>
    <t>ORD-6381</t>
  </si>
  <si>
    <t>ORD-6382</t>
  </si>
  <si>
    <t>ORD-6383</t>
  </si>
  <si>
    <t>ORD-6384</t>
  </si>
  <si>
    <t>ORD-6385</t>
  </si>
  <si>
    <t>ORD-6386</t>
  </si>
  <si>
    <t>CUST-527</t>
  </si>
  <si>
    <t>ORD-6387</t>
  </si>
  <si>
    <t>ORD-6388</t>
  </si>
  <si>
    <t>ORD-6389</t>
  </si>
  <si>
    <t>ORD-6390</t>
  </si>
  <si>
    <t>ORD-6391</t>
  </si>
  <si>
    <t>CUST-482</t>
  </si>
  <si>
    <t>ORD-6392</t>
  </si>
  <si>
    <t>CUST-446</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</si>
  <si>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</si>
  <si>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</si>
  <si>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</si>
  <si>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</si>
  <si>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</si>
  <si>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</si>
  <si>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</si>
  <si>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</si>
  <si>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</si>
  <si>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</si>
  <si>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</si>
  <si>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</si>
  <si>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</si>
  <si>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</si>
  <si>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</si>
  <si>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</si>
  <si>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</si>
  <si>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</si>
  <si>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CUST-417</t>
  </si>
  <si>
    <t>ORD-6411</t>
  </si>
  <si>
    <t>ORD-6412</t>
  </si>
  <si>
    <t>ORD-6413</t>
  </si>
  <si>
    <t>ORD-6414</t>
  </si>
  <si>
    <t>ORD-6415</t>
  </si>
  <si>
    <t>CUST-702</t>
  </si>
  <si>
    <t>ORD-6416</t>
  </si>
  <si>
    <t>CUST-402</t>
  </si>
  <si>
    <t>ORD-6417</t>
  </si>
  <si>
    <t>ORD-6418</t>
  </si>
  <si>
    <t>ORD-6419</t>
  </si>
  <si>
    <t>CUST-223</t>
  </si>
  <si>
    <t>ORD-6420</t>
  </si>
  <si>
    <t>ORD-6421</t>
  </si>
  <si>
    <t>ORD-6422</t>
  </si>
  <si>
    <t>ORD-6423</t>
  </si>
  <si>
    <t>CUST-440</t>
  </si>
  <si>
    <t>ORD-6424</t>
  </si>
  <si>
    <t>CUST-337</t>
  </si>
  <si>
    <t>ORD-6425</t>
  </si>
  <si>
    <t>ORD-6426</t>
  </si>
  <si>
    <t>ORD-6427</t>
  </si>
  <si>
    <t>ORD-6428</t>
  </si>
  <si>
    <t>ORD-6429</t>
  </si>
  <si>
    <t>ORD-6430</t>
  </si>
  <si>
    <t>ORD-6431</t>
  </si>
  <si>
    <t>ORD-6432</t>
  </si>
  <si>
    <t>ORD-6433</t>
  </si>
  <si>
    <t>ORD-6434</t>
  </si>
  <si>
    <t>ORD-6435</t>
  </si>
  <si>
    <t>ORD-6436</t>
  </si>
  <si>
    <t>ORD-6437</t>
  </si>
  <si>
    <t>CUST-582</t>
  </si>
  <si>
    <t>ORD-6438</t>
  </si>
  <si>
    <t>ORD-6439</t>
  </si>
  <si>
    <t>ORD-6440</t>
  </si>
  <si>
    <t>ORD-6441</t>
  </si>
  <si>
    <t>ORD-6442</t>
  </si>
  <si>
    <t>ORD-6443</t>
  </si>
  <si>
    <t>ORD-6444</t>
  </si>
  <si>
    <t>ORD-6445</t>
  </si>
  <si>
    <t>ORD-6446</t>
  </si>
  <si>
    <t>ORD-6447</t>
  </si>
  <si>
    <t>ORD-6448</t>
  </si>
  <si>
    <t>ORD-6449</t>
  </si>
  <si>
    <t>ORD-6450</t>
  </si>
  <si>
    <t>ORD-6451</t>
  </si>
  <si>
    <t>ORD-6452</t>
  </si>
  <si>
    <t>CUST-691</t>
  </si>
  <si>
    <t>ORD-6453</t>
  </si>
  <si>
    <t>ORD-6454</t>
  </si>
  <si>
    <t>ORD-6455</t>
  </si>
  <si>
    <t>ORD-6456</t>
  </si>
  <si>
    <t>ORD-6457</t>
  </si>
  <si>
    <t>ORD-6458</t>
  </si>
  <si>
    <t>CUST-351</t>
  </si>
  <si>
    <t>ORD-6459</t>
  </si>
  <si>
    <t>ORD-6460</t>
  </si>
  <si>
    <t>ORD-6461</t>
  </si>
  <si>
    <t>ORD-6462</t>
  </si>
  <si>
    <t>ORD-6463</t>
  </si>
  <si>
    <t>ORD-6464</t>
  </si>
  <si>
    <t>ORD-6465</t>
  </si>
  <si>
    <t>ORD-6466</t>
  </si>
  <si>
    <t>ORD-6467</t>
  </si>
  <si>
    <t>CUST-205</t>
  </si>
  <si>
    <t>ORD-6468</t>
  </si>
  <si>
    <t>ORD-6469</t>
  </si>
  <si>
    <t>CUST-257</t>
  </si>
  <si>
    <t>ORD-6470</t>
  </si>
  <si>
    <t>CUST-856</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</si>
  <si>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</si>
  <si>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</si>
  <si>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</si>
  <si>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</si>
  <si>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</si>
  <si>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</si>
  <si>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</si>
  <si>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</si>
  <si>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</si>
  <si>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</si>
  <si>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</si>
  <si>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</si>
  <si>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</si>
  <si>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</si>
  <si>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</si>
  <si>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</si>
  <si>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</si>
  <si>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</si>
  <si>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</si>
  <si>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</si>
  <si>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</si>
  <si>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</si>
  <si>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</si>
  <si>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</si>
  <si>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</si>
  <si>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</si>
  <si>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</si>
  <si>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</si>
  <si>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</si>
  <si>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</si>
  <si>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</si>
  <si>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</si>
  <si>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</si>
  <si>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CUST-505</t>
  </si>
  <si>
    <t>ORD-6504</t>
  </si>
  <si>
    <t>ORD-6505</t>
  </si>
  <si>
    <t>ORD-6506</t>
  </si>
  <si>
    <t>ORD-6507</t>
  </si>
  <si>
    <t>ORD-6508</t>
  </si>
  <si>
    <t>ORD-6509</t>
  </si>
  <si>
    <t>ORD-6510</t>
  </si>
  <si>
    <t>ORD-6511</t>
  </si>
  <si>
    <t>CUST-501</t>
  </si>
  <si>
    <t>ORD-6512</t>
  </si>
  <si>
    <t>ORD-6513</t>
  </si>
  <si>
    <t>CUST-603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</si>
  <si>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</si>
  <si>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</si>
  <si>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</si>
  <si>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</si>
  <si>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</si>
  <si>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</si>
  <si>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</si>
  <si>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</si>
  <si>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</si>
  <si>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</si>
  <si>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</si>
  <si>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</si>
  <si>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</si>
  <si>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</si>
  <si>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</si>
  <si>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</si>
  <si>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</si>
  <si>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</si>
  <si>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</si>
  <si>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</si>
  <si>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</si>
  <si>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</si>
  <si>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</si>
  <si>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</si>
  <si>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</si>
  <si>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CUST-780</t>
  </si>
  <si>
    <t>ORD-6539</t>
  </si>
  <si>
    <t>ORD-6540</t>
  </si>
  <si>
    <t>ORD-6541</t>
  </si>
  <si>
    <t>ORD-6542</t>
  </si>
  <si>
    <t>CUST-432</t>
  </si>
  <si>
    <t>ORD-6543</t>
  </si>
  <si>
    <t>ORD-6544</t>
  </si>
  <si>
    <t>ORD-6545</t>
  </si>
  <si>
    <t>ORD-6546</t>
  </si>
  <si>
    <t>ORD-6547</t>
  </si>
  <si>
    <t>ORD-6548</t>
  </si>
  <si>
    <t>CUST-806</t>
  </si>
  <si>
    <t>ORD-6549</t>
  </si>
  <si>
    <t>ORD-6550</t>
  </si>
  <si>
    <t>ORD-6551</t>
  </si>
  <si>
    <t>ORD-6552</t>
  </si>
  <si>
    <t>ORD-6553</t>
  </si>
  <si>
    <t>ORD-6554</t>
  </si>
  <si>
    <t>ORD-6555</t>
  </si>
  <si>
    <t>ORD-6556</t>
  </si>
  <si>
    <t>ORD-6557</t>
  </si>
  <si>
    <t>ORD-6558</t>
  </si>
  <si>
    <t>CUST-209</t>
  </si>
  <si>
    <t>ORD-6559</t>
  </si>
  <si>
    <t>ORD-6560</t>
  </si>
  <si>
    <t>ORD-6561</t>
  </si>
  <si>
    <t>ORD-6562</t>
  </si>
  <si>
    <t>CUST-801</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</si>
  <si>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</si>
  <si>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</si>
  <si>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</si>
  <si>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</si>
  <si>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</si>
  <si>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</si>
  <si>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</si>
  <si>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</si>
  <si>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</si>
  <si>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</si>
  <si>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</si>
  <si>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</si>
  <si>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</si>
  <si>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</si>
  <si>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</si>
  <si>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</si>
  <si>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</si>
  <si>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</si>
  <si>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</si>
  <si>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</si>
  <si>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</si>
  <si>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CUST-504</t>
  </si>
  <si>
    <t>ORD-6584</t>
  </si>
  <si>
    <t>ORD-6585</t>
  </si>
  <si>
    <t>ORD-6586</t>
  </si>
  <si>
    <t>ORD-6587</t>
  </si>
  <si>
    <t>ORD-6588</t>
  </si>
  <si>
    <t>ORD-6589</t>
  </si>
  <si>
    <t>CUST-750</t>
  </si>
  <si>
    <t>ORD-6590</t>
  </si>
  <si>
    <t>ORD-6591</t>
  </si>
  <si>
    <t>ORD-6592</t>
  </si>
  <si>
    <t>ORD-6593</t>
  </si>
  <si>
    <t>ORD-6594</t>
  </si>
  <si>
    <t>ORD-6595</t>
  </si>
  <si>
    <t>ORD-6596</t>
  </si>
  <si>
    <t>ORD-6597</t>
  </si>
  <si>
    <t>ORD-6598</t>
  </si>
  <si>
    <t>ORD-6599</t>
  </si>
  <si>
    <t>ORD-6600</t>
  </si>
  <si>
    <t>ORD-6601</t>
  </si>
  <si>
    <t>CUST-557</t>
  </si>
  <si>
    <t>ORD-6602</t>
  </si>
  <si>
    <t>ORD-6603</t>
  </si>
  <si>
    <t>ORD-6604</t>
  </si>
  <si>
    <t>ORD-6605</t>
  </si>
  <si>
    <t>ORD-6606</t>
  </si>
  <si>
    <t>ORD-6607</t>
  </si>
  <si>
    <t>ORD-6608</t>
  </si>
  <si>
    <t>CUST-759</t>
  </si>
  <si>
    <t>ORD-6609</t>
  </si>
  <si>
    <t>ORD-6610</t>
  </si>
  <si>
    <t>ORD-6611</t>
  </si>
  <si>
    <t>ORD-6612</t>
  </si>
  <si>
    <t>ORD-6613</t>
  </si>
  <si>
    <t>ORD-6614</t>
  </si>
  <si>
    <t>ORD-6615</t>
  </si>
  <si>
    <t>ORD-6616</t>
  </si>
  <si>
    <t>ORD-6617</t>
  </si>
  <si>
    <t>ORD-6618</t>
  </si>
  <si>
    <t>ORD-6619</t>
  </si>
  <si>
    <t>ORD-6620</t>
  </si>
  <si>
    <t>CUST-682</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</si>
  <si>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</si>
  <si>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</si>
  <si>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</si>
  <si>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</si>
  <si>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</si>
  <si>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</si>
  <si>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</si>
  <si>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</si>
  <si>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</si>
  <si>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</si>
  <si>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</si>
  <si>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</si>
  <si>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</si>
  <si>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</si>
  <si>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</si>
  <si>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</si>
  <si>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</si>
  <si>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</si>
  <si>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</si>
  <si>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</si>
  <si>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</si>
  <si>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</si>
  <si>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</si>
  <si>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</si>
  <si>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</si>
  <si>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</si>
  <si>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</si>
  <si>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</si>
  <si>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</si>
  <si>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</si>
  <si>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</si>
  <si>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</si>
  <si>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</si>
  <si>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</si>
  <si>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CUST-763</t>
  </si>
  <si>
    <t>ORD-6655</t>
  </si>
  <si>
    <t>ORD-6656</t>
  </si>
  <si>
    <t>ORD-6657</t>
  </si>
  <si>
    <t>ORD-6658</t>
  </si>
  <si>
    <t>ORD-6659</t>
  </si>
  <si>
    <t>ORD-6660</t>
  </si>
  <si>
    <t>ORD-6661</t>
  </si>
  <si>
    <t>ORD-6662</t>
  </si>
  <si>
    <t>CUST-486</t>
  </si>
  <si>
    <t>ORD-6663</t>
  </si>
  <si>
    <t>ORD-6664</t>
  </si>
  <si>
    <t>ORD-6665</t>
  </si>
  <si>
    <t>ORD-6666</t>
  </si>
  <si>
    <t>CUST-406</t>
  </si>
  <si>
    <t>ORD-6667</t>
  </si>
  <si>
    <t>ORD-6668</t>
  </si>
  <si>
    <t>ORD-6669</t>
  </si>
  <si>
    <t>ORD-6670</t>
  </si>
  <si>
    <t>ORD-6671</t>
  </si>
  <si>
    <t>ORD-6672</t>
  </si>
  <si>
    <t>ORD-6673</t>
  </si>
  <si>
    <t>ORD-6674</t>
  </si>
  <si>
    <t>CUST-829</t>
  </si>
  <si>
    <t>ORD-6675</t>
  </si>
  <si>
    <t>ORD-6676</t>
  </si>
  <si>
    <t>CUST-204</t>
  </si>
  <si>
    <t>ORD-6677</t>
  </si>
  <si>
    <t>CUST-718</t>
  </si>
  <si>
    <t>ORD-6678</t>
  </si>
  <si>
    <t>ORD-6679</t>
  </si>
  <si>
    <t>ORD-6680</t>
  </si>
  <si>
    <t>ORD-6681</t>
  </si>
  <si>
    <t>CUST-752</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</si>
  <si>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</si>
  <si>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</si>
  <si>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</si>
  <si>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</si>
  <si>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</si>
  <si>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</si>
  <si>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</si>
  <si>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</si>
  <si>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</si>
  <si>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</si>
  <si>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</si>
  <si>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</si>
  <si>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</si>
  <si>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</si>
  <si>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</si>
  <si>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</si>
  <si>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</si>
  <si>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</si>
  <si>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</si>
  <si>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</si>
  <si>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</si>
  <si>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</si>
  <si>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</si>
  <si>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</si>
  <si>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</si>
  <si>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</si>
  <si>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</si>
  <si>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</si>
  <si>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CUST-439</t>
  </si>
  <si>
    <t>ORD-6710</t>
  </si>
  <si>
    <t>ORD-6711</t>
  </si>
  <si>
    <t>ORD-6788</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</si>
  <si>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</si>
  <si>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</si>
  <si>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</si>
  <si>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</si>
  <si>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</si>
  <si>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</si>
  <si>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</si>
  <si>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</si>
  <si>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</si>
  <si>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</si>
  <si>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</si>
  <si>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</si>
  <si>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</si>
  <si>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</si>
  <si>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</si>
  <si>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</si>
  <si>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</si>
  <si>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</si>
  <si>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</si>
  <si>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</si>
  <si>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</si>
  <si>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</si>
  <si>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</si>
  <si>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</si>
  <si>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</si>
  <si>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</si>
  <si>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</si>
  <si>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</si>
  <si>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</si>
  <si>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</si>
  <si>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</si>
  <si>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</si>
  <si>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</si>
  <si>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CUST-653</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</si>
  <si>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</si>
  <si>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</si>
  <si>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</si>
  <si>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</si>
  <si>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</si>
  <si>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</si>
  <si>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</si>
  <si>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</si>
  <si>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</si>
  <si>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</si>
  <si>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</si>
  <si>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</si>
  <si>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</si>
  <si>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</si>
  <si>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</si>
  <si>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</si>
  <si>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</si>
  <si>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</si>
  <si>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</si>
  <si>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</si>
  <si>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</si>
  <si>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</si>
  <si>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</si>
  <si>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</si>
  <si>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CUST-456</t>
  </si>
  <si>
    <t>ORD-6769</t>
  </si>
  <si>
    <t>ORD-6770</t>
  </si>
  <si>
    <t>ORD-6771</t>
  </si>
  <si>
    <t>ORD-6772</t>
  </si>
  <si>
    <t>CUST-263</t>
  </si>
  <si>
    <t>ORD-6773</t>
  </si>
  <si>
    <t>ORD-6774</t>
  </si>
  <si>
    <t>ORD-6775</t>
  </si>
  <si>
    <t>ORD-6776</t>
  </si>
  <si>
    <t>ORD-6777</t>
  </si>
  <si>
    <t>ORD-6778</t>
  </si>
  <si>
    <t>ORD-6779</t>
  </si>
  <si>
    <t>CUST-807</t>
  </si>
  <si>
    <t>ORD-6780</t>
  </si>
  <si>
    <t>ORD-6781</t>
  </si>
  <si>
    <t>ORD-6782</t>
  </si>
  <si>
    <t>ORD-6783</t>
  </si>
  <si>
    <t>ORD-6784</t>
  </si>
  <si>
    <t>ORD-6785</t>
  </si>
  <si>
    <t>ORD-6786</t>
  </si>
  <si>
    <t>ORD-6787</t>
  </si>
  <si>
    <t>ORD-6789</t>
  </si>
  <si>
    <t>ORD-6790</t>
  </si>
  <si>
    <t>ORD-6791</t>
  </si>
  <si>
    <t>ORD-6792</t>
  </si>
  <si>
    <t>ORD-6793</t>
  </si>
  <si>
    <t>ORD-6794</t>
  </si>
  <si>
    <t>ORD-6795</t>
  </si>
  <si>
    <t>ORD-6796</t>
  </si>
  <si>
    <t>ORD-6797</t>
  </si>
  <si>
    <t>ORD-6798</t>
  </si>
  <si>
    <t>ORD-6799</t>
  </si>
  <si>
    <t>CUST-852</t>
  </si>
  <si>
    <t>ORD-6800</t>
  </si>
  <si>
    <t>ORD-6801</t>
  </si>
  <si>
    <t>CUST-840</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</si>
  <si>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</si>
  <si>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</si>
  <si>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</si>
  <si>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</si>
  <si>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</si>
  <si>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</si>
  <si>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</si>
  <si>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</si>
  <si>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</si>
  <si>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</si>
  <si>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</si>
  <si>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</si>
  <si>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</si>
  <si>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</si>
  <si>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</si>
  <si>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</si>
  <si>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</si>
  <si>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</si>
  <si>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</si>
  <si>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</si>
  <si>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</si>
  <si>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</si>
  <si>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CUST-231</t>
  </si>
  <si>
    <t>ORD-6824</t>
  </si>
  <si>
    <t>ORD-6825</t>
  </si>
  <si>
    <t>ORD-6826</t>
  </si>
  <si>
    <t>ORD-6827</t>
  </si>
  <si>
    <t>ORD-6828</t>
  </si>
  <si>
    <t>ORD-6829</t>
  </si>
  <si>
    <t>ORD-6830</t>
  </si>
  <si>
    <t>ORD-6831</t>
  </si>
  <si>
    <t>CUST-703</t>
  </si>
  <si>
    <t>ORD-6832</t>
  </si>
  <si>
    <t>ORD-6833</t>
  </si>
  <si>
    <t>ORD-6834</t>
  </si>
  <si>
    <t>ORD-6835</t>
  </si>
  <si>
    <t>ORD-6836</t>
  </si>
  <si>
    <t>ORD-6837</t>
  </si>
  <si>
    <t>ORD-6838</t>
  </si>
  <si>
    <t>ORD-6839</t>
  </si>
  <si>
    <t>ORD-6840</t>
  </si>
  <si>
    <t>ORD-6841</t>
  </si>
  <si>
    <t>ORD-6842</t>
  </si>
  <si>
    <t>ORD-6843</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</si>
  <si>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</si>
  <si>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</si>
  <si>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</si>
  <si>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</si>
  <si>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</si>
  <si>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</si>
  <si>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</si>
  <si>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</si>
  <si>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</si>
  <si>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</si>
  <si>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</si>
  <si>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</si>
  <si>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</si>
  <si>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</si>
  <si>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</si>
  <si>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</si>
  <si>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</si>
  <si>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</si>
  <si>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</si>
  <si>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</si>
  <si>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</si>
  <si>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</si>
  <si>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</si>
  <si>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</si>
  <si>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ORD-6870</t>
  </si>
  <si>
    <t>CUST-667</t>
  </si>
  <si>
    <t>ORD-6871</t>
  </si>
  <si>
    <t>ORD-6872</t>
  </si>
  <si>
    <t>ORD-6873</t>
  </si>
  <si>
    <t>ORD-6874</t>
  </si>
  <si>
    <t>ORD-6875</t>
  </si>
  <si>
    <t>ORD-6876</t>
  </si>
  <si>
    <t>ORD-6877</t>
  </si>
  <si>
    <t>ORD-6878</t>
  </si>
  <si>
    <t>ORD-6879</t>
  </si>
  <si>
    <t>ORD-6880</t>
  </si>
  <si>
    <t>ORD-6881</t>
  </si>
  <si>
    <t>ORD-6882</t>
  </si>
  <si>
    <t>ORD-6883</t>
  </si>
  <si>
    <t>ORD-6884</t>
  </si>
  <si>
    <t>ORD-6885</t>
  </si>
  <si>
    <t>CUST-833</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</si>
  <si>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</si>
  <si>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</si>
  <si>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</si>
  <si>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</si>
  <si>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</si>
  <si>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</si>
  <si>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</si>
  <si>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</si>
  <si>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</si>
  <si>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</si>
  <si>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</si>
  <si>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</si>
  <si>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</si>
  <si>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</si>
  <si>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</si>
  <si>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</si>
  <si>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</si>
  <si>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</si>
  <si>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</si>
  <si>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</si>
  <si>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</si>
  <si>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</si>
  <si>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</si>
  <si>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</si>
  <si>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</si>
  <si>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</si>
  <si>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</si>
  <si>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</si>
  <si>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</si>
  <si>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</si>
  <si>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</si>
  <si>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</si>
  <si>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</si>
  <si>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</si>
  <si>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</si>
  <si>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</si>
  <si>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</si>
  <si>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</si>
  <si>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</si>
  <si>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</si>
  <si>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</si>
  <si>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</si>
  <si>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</si>
  <si>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</si>
  <si>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</si>
  <si>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</si>
  <si>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</si>
  <si>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</si>
  <si>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</si>
  <si>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</si>
  <si>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</si>
  <si>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</si>
  <si>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</si>
  <si>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</si>
  <si>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</si>
  <si>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</si>
  <si>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CUST-283</t>
  </si>
  <si>
    <t>ORD-6943</t>
  </si>
  <si>
    <t>ORD-6944</t>
  </si>
  <si>
    <t>ORD-6945</t>
  </si>
  <si>
    <t>ORD-6946</t>
  </si>
  <si>
    <t>ORD-6947</t>
  </si>
  <si>
    <t>ORD-6948</t>
  </si>
  <si>
    <t>ORD-6949</t>
  </si>
  <si>
    <t>ORD-6950</t>
  </si>
  <si>
    <t>ORD-6951</t>
  </si>
  <si>
    <t>ORD-6952</t>
  </si>
  <si>
    <t>ORD-6953</t>
  </si>
  <si>
    <t>ORD-6954</t>
  </si>
  <si>
    <t>ORD-6955</t>
  </si>
  <si>
    <t>ORD-6956</t>
  </si>
  <si>
    <t>ORD-6957</t>
  </si>
  <si>
    <t>ORD-6958</t>
  </si>
  <si>
    <t>CUST-886</t>
  </si>
  <si>
    <t>ORD-6959</t>
  </si>
  <si>
    <t>ORD-6960</t>
  </si>
  <si>
    <t>ORD-6961</t>
  </si>
  <si>
    <t>ORD-6962</t>
  </si>
  <si>
    <t>ORD-6963</t>
  </si>
  <si>
    <t>ORD-6964</t>
  </si>
  <si>
    <t>ORD-6965</t>
  </si>
  <si>
    <t>ORD-6966</t>
  </si>
  <si>
    <t>ORD-6967</t>
  </si>
  <si>
    <t>ORD-6968</t>
  </si>
  <si>
    <t>ORD-6969</t>
  </si>
  <si>
    <t>ORD-6970</t>
  </si>
  <si>
    <t>CUST-448</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</si>
  <si>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</si>
  <si>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</si>
  <si>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</si>
  <si>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</si>
  <si>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</si>
  <si>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</si>
  <si>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</si>
  <si>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</si>
  <si>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</si>
  <si>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</si>
  <si>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</si>
  <si>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</si>
  <si>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</si>
  <si>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</si>
  <si>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</si>
  <si>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</si>
  <si>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</si>
  <si>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</si>
  <si>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</si>
  <si>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</si>
  <si>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</si>
  <si>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</si>
  <si>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</si>
  <si>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CUST-600</t>
  </si>
  <si>
    <t>ORD-6994</t>
  </si>
  <si>
    <t>ORD-6995</t>
  </si>
  <si>
    <t>ORD-6996</t>
  </si>
  <si>
    <t>ORD-6997</t>
  </si>
  <si>
    <t>ORD-6998</t>
  </si>
  <si>
    <t>CUST-315</t>
  </si>
  <si>
    <t>ORD-6999</t>
  </si>
  <si>
    <t>ORD-7000</t>
  </si>
  <si>
    <t>Month</t>
  </si>
  <si>
    <t>Discounted_amt</t>
  </si>
  <si>
    <t>Gross_revenue</t>
  </si>
  <si>
    <t>Net_revenue</t>
  </si>
  <si>
    <t>Total Order</t>
  </si>
  <si>
    <t>Total Unit Sold</t>
  </si>
  <si>
    <t>Return Rate%</t>
  </si>
  <si>
    <t>Repeat Customer %</t>
  </si>
  <si>
    <t>Average Discount Given%</t>
  </si>
  <si>
    <t>Average Order Value</t>
  </si>
  <si>
    <t>Total Revenue Amount</t>
  </si>
  <si>
    <t>Cancelled Order %</t>
  </si>
  <si>
    <t>Top Region</t>
  </si>
  <si>
    <t>Best Month</t>
  </si>
  <si>
    <t>Row Labels</t>
  </si>
  <si>
    <t>Jan</t>
  </si>
  <si>
    <t>Feb</t>
  </si>
  <si>
    <t>Mar</t>
  </si>
  <si>
    <t>Apr</t>
  </si>
  <si>
    <t>May</t>
  </si>
  <si>
    <t>Jun</t>
  </si>
  <si>
    <t>Jul</t>
  </si>
  <si>
    <t>Aug</t>
  </si>
  <si>
    <t>Sep</t>
  </si>
  <si>
    <t>Oct</t>
  </si>
  <si>
    <t>Nov</t>
  </si>
  <si>
    <t>Dec</t>
  </si>
  <si>
    <t>Grand Total</t>
  </si>
  <si>
    <t>Sum of Net_revenue</t>
  </si>
  <si>
    <t>month</t>
  </si>
  <si>
    <t>revenue %</t>
  </si>
  <si>
    <t>Count of Order ID</t>
  </si>
  <si>
    <t>Column Labels</t>
  </si>
  <si>
    <t xml:space="preserve">  Sales Analysis Report</t>
  </si>
  <si>
    <t xml:space="preserve">repeated </t>
  </si>
  <si>
    <t>April</t>
  </si>
  <si>
    <t>State</t>
  </si>
  <si>
    <t>Bengal</t>
  </si>
  <si>
    <t>Maharashtra</t>
  </si>
  <si>
    <t>Tamilnadu</t>
  </si>
  <si>
    <t>Utterpradesh</t>
  </si>
  <si>
    <t>Karnataka</t>
  </si>
  <si>
    <t>Telangana</t>
  </si>
  <si>
    <t>Rajasthan</t>
  </si>
  <si>
    <t>Gujrat</t>
  </si>
  <si>
    <t>Region</t>
  </si>
  <si>
    <t>west</t>
  </si>
  <si>
    <t>East</t>
  </si>
  <si>
    <t>West</t>
  </si>
  <si>
    <t>South</t>
  </si>
  <si>
    <t>North</t>
  </si>
  <si>
    <t>Unknown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</si>
</sst>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39]* #,##0.00_ ;_ [$₹-439]* \-#,##0.00_ ;_ [$₹-439]* &quot;-&quot;??_ ;_ @_ "/>
    <numFmt numFmtId="165" formatCode="_ [$₹-4009]\ * #,##0.00_ ;_ [$₹-4009]\ * \-#,##0.00_ ;_ [$₹-4009]\ * &quot;-&quot;??_ ;_ @_ "/>
    <numFmt numFmtId="166" formatCode="&quot;$&quot;#,##0.00"/>
  </numFmts>
  <fonts count="11" x14ac:knownFonts="1">
    <font>
      <sz val="11"/>
      <color theme="1"/>
      <name val="Calibri"/>
      <family val="2"/>
      <scheme val="minor"/>
    </font>
    <font>
      <b/>
      <sz val="11"/>
      <color rgb="FFFFFFFF"/>
      <name val="Arial"/>
    </font>
    <font>
      <sz val="10"/>
      <name val="Arial"/>
    </font>
    <font>
      <sz val="11"/>
      <color theme="1"/>
      <name val="Calibri"/>
      <family val="2"/>
      <scheme val="minor"/>
    </font>
    <font>
      <b/>
      <sz val="11"/>
      <color rgb="FFFFFFFF"/>
      <name val="Arial"/>
      <family val="2"/>
    </font>
    <font>
      <sz val="10"/>
      <name val="Arial"/>
      <family val="2"/>
    </font>
    <font>
      <b/>
      <sz val="14"/>
      <color theme="0"/>
      <name val="Calibri"/>
      <family val="2"/>
      <scheme val="minor"/>
    </font>
    <font>
      <b/>
      <sz val="12"/>
      <color theme="0"/>
      <name val="Calibri"/>
      <family val="2"/>
      <scheme val="minor"/>
    </font>
    <font>
      <b/>
      <sz val="24"/>
      <color theme="1"/>
      <name val="Calibri"/>
      <family val="2"/>
      <scheme val="minor"/>
    </font>
    <font>
      <b/>
      <sz val="28"/>
      <color theme="1"/>
      <name val="Calibri"/>
      <family val="2"/>
      <scheme val="minor"/>
    </font>
    <font>
      <b/>
      <u/>
      <sz val="36"/>
      <color theme="0"/>
      <name val="Calibri"/>
      <family val="2"/>
      <scheme val="minor"/>
    </font>
  </fonts>
  <fills count="8">
    <fill>
      <patternFill patternType="none"/>
    </fill>
    <fill>
      <patternFill patternType="gray125"/>
    </fill>
    <fill>
      <patternFill patternType="solid">
        <fgColor rgb="FF1F4E78"/>
      </patternFill>
    </fill>
    <fill>
      <patternFill patternType="solid">
        <fgColor theme="3"/>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1F4E78"/>
        <bgColor indexed="64"/>
      </patternFill>
    </fill>
    <fill>
      <patternFill patternType="solid">
        <fgColor theme="9"/>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45">
    <xf numFmtId="0" fontId="0" fillId="0" borderId="0" xfId="0"/>
    <xf numFmtId="0" fontId="1" fillId="2" borderId="0" xfId="0" applyFont="1" applyFill="1" applyAlignment="1">
      <alignment horizontal="center"/>
    </xf>
    <xf numFmtId="0" fontId="2" fillId="0" borderId="0" xfId="0" applyFont="1"/>
    <xf numFmtId="9" fontId="2" fillId="0" borderId="0" xfId="0" applyNumberFormat="1" applyFont="1"/>
    <xf numFmtId="14" fontId="1" fillId="2" borderId="0" xfId="0" applyNumberFormat="1" applyFont="1" applyFill="1" applyAlignment="1">
      <alignment horizontal="center"/>
    </xf>
    <xf numFmtId="14" fontId="2" fillId="0" borderId="0" xfId="0" applyNumberFormat="1" applyFont="1"/>
    <xf numFmtId="14" fontId="0" fillId="0" borderId="0" xfId="0" applyNumberFormat="1"/>
    <xf numFmtId="164" fontId="1" fillId="2" borderId="0" xfId="0" applyNumberFormat="1" applyFont="1" applyFill="1" applyAlignment="1">
      <alignment horizontal="center"/>
    </xf>
    <xf numFmtId="164" fontId="2" fillId="0" borderId="0" xfId="0" applyNumberFormat="1" applyFont="1"/>
    <xf numFmtId="164" fontId="0" fillId="0" borderId="0" xfId="0" applyNumberFormat="1"/>
    <xf numFmtId="14" fontId="4" fillId="2" borderId="0" xfId="0" applyNumberFormat="1" applyFont="1" applyFill="1" applyAlignment="1">
      <alignment horizontal="center"/>
    </xf>
    <xf numFmtId="165" fontId="4" fillId="2" borderId="0" xfId="0" applyNumberFormat="1" applyFont="1" applyFill="1" applyAlignment="1">
      <alignment horizontal="center"/>
    </xf>
    <xf numFmtId="165" fontId="2"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5" borderId="0" xfId="0" applyFill="1"/>
    <xf numFmtId="0" fontId="5" fillId="0" borderId="0" xfId="0" applyFont="1"/>
    <xf numFmtId="0" fontId="4" fillId="6" borderId="0" xfId="0" applyFont="1" applyFill="1" applyAlignment="1">
      <alignment horizontal="center"/>
    </xf>
    <xf numFmtId="9" fontId="5" fillId="0" borderId="0" xfId="1" applyFont="1"/>
    <xf numFmtId="166" fontId="0" fillId="0" borderId="0" xfId="0" pivotButton="1" applyNumberFormat="1"/>
    <xf numFmtId="0" fontId="6" fillId="3" borderId="1" xfId="0" applyFont="1" applyFill="1" applyBorder="1" applyAlignment="1">
      <alignment horizontal="center"/>
    </xf>
    <xf numFmtId="0" fontId="6" fillId="3" borderId="2" xfId="0" applyFont="1" applyFill="1" applyBorder="1" applyAlignment="1">
      <alignment horizontal="center"/>
    </xf>
    <xf numFmtId="0" fontId="7" fillId="3" borderId="2" xfId="0" applyFont="1" applyFill="1" applyBorder="1" applyAlignment="1">
      <alignment horizontal="center"/>
    </xf>
    <xf numFmtId="0" fontId="6" fillId="3" borderId="3" xfId="0" applyFont="1" applyFill="1" applyBorder="1" applyAlignment="1">
      <alignment horizontal="center"/>
    </xf>
    <xf numFmtId="10" fontId="9" fillId="4" borderId="5" xfId="1" applyNumberFormat="1" applyFont="1" applyFill="1" applyBorder="1" applyAlignment="1">
      <alignment horizontal="center" vertical="center"/>
    </xf>
    <xf numFmtId="10" fontId="9" fillId="4" borderId="6" xfId="1" applyNumberFormat="1" applyFont="1" applyFill="1" applyBorder="1" applyAlignment="1">
      <alignment horizontal="center" vertical="center"/>
    </xf>
    <xf numFmtId="10" fontId="9" fillId="4" borderId="7" xfId="1" applyNumberFormat="1" applyFont="1" applyFill="1" applyBorder="1" applyAlignment="1">
      <alignment horizontal="center" vertical="center"/>
    </xf>
    <xf numFmtId="10" fontId="9" fillId="4" borderId="9" xfId="1" applyNumberFormat="1" applyFont="1" applyFill="1" applyBorder="1" applyAlignment="1">
      <alignment horizontal="center" vertical="center"/>
    </xf>
    <xf numFmtId="10" fontId="0" fillId="4" borderId="5" xfId="0" applyNumberFormat="1" applyFill="1" applyBorder="1" applyAlignment="1">
      <alignment horizontal="center"/>
    </xf>
    <xf numFmtId="0" fontId="0" fillId="4" borderId="4"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9" xfId="0" applyFont="1" applyFill="1" applyBorder="1" applyAlignment="1">
      <alignment horizontal="center" vertical="center"/>
    </xf>
    <xf numFmtId="165" fontId="8" fillId="4" borderId="5" xfId="0" applyNumberFormat="1" applyFont="1" applyFill="1" applyBorder="1" applyAlignment="1">
      <alignment horizontal="center" vertical="center"/>
    </xf>
    <xf numFmtId="165" fontId="8" fillId="4" borderId="6" xfId="0" applyNumberFormat="1" applyFont="1" applyFill="1" applyBorder="1" applyAlignment="1">
      <alignment horizontal="center" vertical="center"/>
    </xf>
    <xf numFmtId="165" fontId="8" fillId="4" borderId="7" xfId="0" applyNumberFormat="1" applyFont="1" applyFill="1" applyBorder="1" applyAlignment="1">
      <alignment horizontal="center" vertical="center"/>
    </xf>
    <xf numFmtId="165" fontId="8" fillId="4" borderId="9" xfId="0" applyNumberFormat="1" applyFont="1" applyFill="1" applyBorder="1" applyAlignment="1">
      <alignment horizontal="center" vertical="center"/>
    </xf>
    <xf numFmtId="0" fontId="0" fillId="0" borderId="0" xfId="0" applyNumberFormat="1"/>
    <xf numFmtId="0" fontId="0" fillId="0" borderId="0" xfId="0" applyNumberFormat="1" applyFont="1"/>
    <xf numFmtId="0" fontId="10" fillId="7" borderId="0" xfId="0" applyFont="1" applyFill="1" applyAlignment="1">
      <alignment horizontal="center" vertical="center"/>
    </xf>
  </cellXfs>
  <cellStyles count="2">
    <cellStyle name="Normal" xfId="0" builtinId="0"/>
    <cellStyle name="Percent" xfId="1" builtinId="5"/>
  </cellStyles>
  <dxfs count="78">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numFmt numFmtId="0" formatCode="General"/>
    </dxf>
    <dxf>
      <numFmt numFmtId="0" formatCode="General"/>
    </dxf>
    <dxf>
      <numFmt numFmtId="166" formatCode="&quot;$&quot;#,##0.00"/>
    </dxf>
    <dxf>
      <font>
        <color theme="1"/>
      </font>
    </dxf>
    <dxf>
      <font>
        <b val="0"/>
        <i val="0"/>
        <strike val="0"/>
        <condense val="0"/>
        <extend val="0"/>
        <outline val="0"/>
        <shadow val="0"/>
        <u val="none"/>
        <vertAlign val="baseline"/>
        <sz val="10"/>
        <color auto="1"/>
        <name val="Arial"/>
        <scheme val="none"/>
      </font>
      <numFmt numFmtId="0" formatCode="General"/>
    </dxf>
    <dxf>
      <numFmt numFmtId="0" formatCode="General"/>
    </dxf>
    <dxf>
      <numFmt numFmtId="0" formatCode="General"/>
    </dxf>
    <dxf>
      <numFmt numFmtId="166" formatCode="&quot;$&quot;#,##0.00"/>
    </dxf>
    <dxf>
      <font>
        <color theme="1"/>
      </font>
    </dxf>
    <dxf>
      <font>
        <b val="0"/>
        <i val="0"/>
        <strike val="0"/>
        <condense val="0"/>
        <extend val="0"/>
        <outline val="0"/>
        <shadow val="0"/>
        <u val="none"/>
        <vertAlign val="baseline"/>
        <sz val="10"/>
        <color auto="1"/>
        <name val="Arial"/>
        <scheme val="none"/>
      </font>
      <numFmt numFmtId="0" formatCode="General"/>
    </dxf>
    <dxf>
      <numFmt numFmtId="0" formatCode="General"/>
    </dxf>
    <dxf>
      <numFmt numFmtId="0" formatCode="General"/>
    </dxf>
    <dxf>
      <numFmt numFmtId="166" formatCode="&quot;$&quot;#,##0.00"/>
    </dxf>
    <dxf>
      <font>
        <color theme="1"/>
      </font>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_ [$₹-4009]\ * #,##0.00_ ;_ [$₹-4009]\ * \-#,##0.00_ ;_ [$₹-4009]\ * &quot;-&quot;??_ ;_ @_ "/>
    </dxf>
    <dxf>
      <font>
        <b val="0"/>
        <i val="0"/>
        <strike val="0"/>
        <condense val="0"/>
        <extend val="0"/>
        <outline val="0"/>
        <shadow val="0"/>
        <u val="none"/>
        <vertAlign val="baseline"/>
        <sz val="10"/>
        <color auto="1"/>
        <name val="Arial"/>
        <scheme val="none"/>
      </font>
      <numFmt numFmtId="165" formatCode="_ [$₹-4009]\ * #,##0.00_ ;_ [$₹-4009]\ * \-#,##0.00_ ;_ [$₹-4009]\ * &quot;-&quot;??_ ;_ @_ "/>
    </dxf>
    <dxf>
      <font>
        <b val="0"/>
        <i val="0"/>
        <strike val="0"/>
        <condense val="0"/>
        <extend val="0"/>
        <outline val="0"/>
        <shadow val="0"/>
        <u val="none"/>
        <vertAlign val="baseline"/>
        <sz val="10"/>
        <color auto="1"/>
        <name val="Arial"/>
        <scheme val="none"/>
      </font>
      <numFmt numFmtId="165" formatCode="_ [$₹-4009]\ * #,##0.00_ ;_ [$₹-4009]\ * \-#,##0.00_ ;_ [$₹-4009]\ * &quot;-&quot;??_ ;_ @_ "/>
    </dxf>
    <dxf>
      <font>
        <b val="0"/>
        <i val="0"/>
        <strike val="0"/>
        <condense val="0"/>
        <extend val="0"/>
        <outline val="0"/>
        <shadow val="0"/>
        <u val="none"/>
        <vertAlign val="baseline"/>
        <sz val="10"/>
        <color auto="1"/>
        <name val="Arial"/>
        <scheme val="none"/>
      </font>
      <numFmt numFmtId="13" formatCode="0%"/>
    </dxf>
    <dxf>
      <font>
        <b val="0"/>
        <i val="0"/>
        <strike val="0"/>
        <condense val="0"/>
        <extend val="0"/>
        <outline val="0"/>
        <shadow val="0"/>
        <u val="none"/>
        <vertAlign val="baseline"/>
        <sz val="10"/>
        <color auto="1"/>
        <name val="Arial"/>
        <scheme val="none"/>
      </font>
      <numFmt numFmtId="164" formatCode="_ [$₹-439]* #,##0.00_ ;_ [$₹-439]* \-#,##0.00_ ;_ [$₹-439]* &quot;-&quot;??_ ;_ @_ "/>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9" formatCode="yyyy/mm/dd"/>
    </dxf>
    <dxf>
      <font>
        <b val="0"/>
        <i val="0"/>
        <strike val="0"/>
        <condense val="0"/>
        <extend val="0"/>
        <outline val="0"/>
        <shadow val="0"/>
        <u val="none"/>
        <vertAlign val="baseline"/>
        <sz val="10"/>
        <color auto="1"/>
        <name val="Arial"/>
        <scheme val="none"/>
      </font>
      <numFmt numFmtId="19"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indexed="64"/>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 and revenue!PivotTable1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02537182852142"/>
          <c:y val="0.14856481481481484"/>
          <c:w val="0.70075196850393706"/>
          <c:h val="0.66070246427529888"/>
        </c:manualLayout>
      </c:layout>
      <c:lineChart>
        <c:grouping val="standard"/>
        <c:varyColors val="0"/>
        <c:ser>
          <c:idx val="0"/>
          <c:order val="0"/>
          <c:tx>
            <c:strRef>
              <c:f>'Month and revenue'!$B$3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and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and revenue'!$B$4:$B$15</c:f>
              <c:numCache>
                <c:formatCode>_ [$₹-4009]\ * #,##0.00_ ;_ [$₹-4009]\ * \-#,##0.00_ ;_ [$₹-4009]\ * "-"??_ ;_ @_ </c:formatCode>
                <c:ptCount val="12"/>
                <c:pt idx="0">
                  <c:v>542910</c:v>
                </c:pt>
                <c:pt idx="1">
                  <c:v>426845.04999999981</c:v>
                </c:pt>
                <c:pt idx="2">
                  <c:v>454297.4499999996</c:v>
                </c:pt>
                <c:pt idx="3">
                  <c:v>578367.84999999963</c:v>
                </c:pt>
                <c:pt idx="4">
                  <c:v>462707.19999999984</c:v>
                </c:pt>
                <c:pt idx="5">
                  <c:v>483619.24999999965</c:v>
                </c:pt>
                <c:pt idx="6">
                  <c:v>503282.59999999986</c:v>
                </c:pt>
                <c:pt idx="7">
                  <c:v>528153.29999999993</c:v>
                </c:pt>
                <c:pt idx="8">
                  <c:v>434953.14999999979</c:v>
                </c:pt>
                <c:pt idx="9">
                  <c:v>465911.05</c:v>
                </c:pt>
                <c:pt idx="10">
                  <c:v>493981.45000000019</c:v>
                </c:pt>
                <c:pt idx="11">
                  <c:v>424706.99999999988</c:v>
                </c:pt>
              </c:numCache>
            </c:numRef>
          </c:val>
          <c:smooth val="0"/>
          <c:extLst>
            <c:ext xmlns:c16="http://schemas.microsoft.com/office/drawing/2014/chart" uri="{C3380CC4-5D6E-409C-BE32-E72D297353CC}">
              <c16:uniqueId val="{00000001-DA9B-41D3-A432-C3149404BABC}"/>
            </c:ext>
          </c:extLst>
        </c:ser>
        <c:dLbls>
          <c:dLblPos val="t"/>
          <c:showLegendKey val="0"/>
          <c:showVal val="1"/>
          <c:showCatName val="0"/>
          <c:showSerName val="0"/>
          <c:showPercent val="0"/>
          <c:showBubbleSize val="0"/>
        </c:dLbls>
        <c:marker val="1"/>
        <c:smooth val="0"/>
        <c:axId val="882343248"/>
        <c:axId val="774507984"/>
      </c:lineChart>
      <c:catAx>
        <c:axId val="8823432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07984"/>
        <c:crosses val="autoZero"/>
        <c:auto val="1"/>
        <c:lblAlgn val="ctr"/>
        <c:lblOffset val="100"/>
        <c:noMultiLvlLbl val="0"/>
      </c:catAx>
      <c:valAx>
        <c:axId val="774507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43248"/>
        <c:crosses val="autoZero"/>
        <c:crossBetween val="between"/>
      </c:valAx>
      <c:spPr>
        <a:noFill/>
        <a:ln>
          <a:noFill/>
        </a:ln>
        <a:effectLst/>
      </c:spPr>
    </c:plotArea>
    <c:legend>
      <c:legendPos val="r"/>
      <c:layout>
        <c:manualLayout>
          <c:xMode val="edge"/>
          <c:yMode val="edge"/>
          <c:x val="0.84022178477690301"/>
          <c:y val="3.984908136482939E-2"/>
          <c:w val="0.140729387696096"/>
          <c:h val="8.15383140363052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[Sales_Analysis.xlsx]category shares!PivotTable3</c:name>
    <c:fmtId val="0"/>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category wise revenue shares</a:t>
            </a:r>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15:spPr xmlns:c15="http://schemas.microsoft.com/office/drawing/2012/chart">
                <a:prstGeom prst="wedgeRectCallout">
                  <a:avLst/>
                </a:prstGeom>
              </c15:spPr>
            </c:ext>
          </c:extLst>
        </c:dLbl>
      </c:pivotFmt>
      <c:pivotFmt>
        <c:idx val="1"/>
      </c:pivotFmt>
      <c:pivotFmt>
        <c:idx val="2"/>
      </c:pivotFmt>
      <c:pivotFmt>
        <c:idx val="3"/>
      </c:pivotFmt>
      <c:pivotFmt>
        <c:idx val="4"/>
      </c:pivotFmt>
      <c:pivotFmt>
        <c:idx val="5"/>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shares'!$B$3</c:f>
              <c:strCache>
                <c:ptCount val="1"/>
                <c:pt idx="0">
                  <c:v>Total</c:v>
                </c:pt>
              </c:strCache>
            </c:strRef>
          </c:tx>
          <c:cat>
            <c:strRef>
              <c:f>'category shares'!$A$4:$A$8</c:f>
              <c:strCache>
                <c:ptCount val="5"/>
                <c:pt idx="0">
                  <c:v>Beauty</c:v>
                </c:pt>
                <c:pt idx="1">
                  <c:v>Books</c:v>
                </c:pt>
                <c:pt idx="2">
                  <c:v>Electronics</c:v>
                </c:pt>
                <c:pt idx="3">
                  <c:v>Fashion</c:v>
                </c:pt>
                <c:pt idx="4">
                  <c:v>Home &amp; Kitchen</c:v>
                </c:pt>
              </c:strCache>
            </c:strRef>
          </c:cat>
          <c:val>
            <c:numRef>
              <c:f>'category shares'!$B$4:$B$8</c:f>
              <c:numCache>
                <c:formatCode>0.00%</c:formatCode>
                <c:ptCount val="5"/>
                <c:pt idx="0">
                  <c:v>7.1813785434192215E-2</c:v>
                </c:pt>
                <c:pt idx="1">
                  <c:v>1.8992616619998015E-2</c:v>
                </c:pt>
                <c:pt idx="2">
                  <c:v>0.41235635863970949</c:v>
                </c:pt>
                <c:pt idx="3">
                  <c:v>0.19389495936224047</c:v>
                </c:pt>
                <c:pt idx="4">
                  <c:v>0.30294227994385986</c:v>
                </c:pt>
              </c:numCache>
            </c:numRef>
          </c:val>
          <c:extLst>
            <c:ext xmlns:c16="http://schemas.microsoft.com/office/drawing/2014/chart" uri="{C3380CC4-5D6E-409C-BE32-E72D297353CC}">
              <c16:uniqueId val="{0000000B-DC33-437E-9E45-ACFE27AD71B0}"/>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[Sales_Analysis.xlsx]Product wise revenue!PivotTable2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768859537719079"/>
          <c:y val="0.20152777777777778"/>
          <c:w val="0.65353937007874019"/>
          <c:h val="0.502467556138816"/>
        </c:manualLayout>
      </c:layout>
      <c:barChart>
        <c:barDir val="col"/>
        <c:grouping val="clustered"/>
        <c:varyColors val="0"/>
        <c:ser>
          <c:idx val="0"/>
          <c:order val="0"/>
          <c:tx>
            <c:strRef>
              <c:f>'Product wise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revenue'!$A$4:$A$13</c:f>
              <c:strCache>
                <c:ptCount val="10"/>
                <c:pt idx="0">
                  <c:v>Air Fryer</c:v>
                </c:pt>
                <c:pt idx="1">
                  <c:v>Bluetooth Speaker</c:v>
                </c:pt>
                <c:pt idx="2">
                  <c:v>Cookware Set</c:v>
                </c:pt>
                <c:pt idx="3">
                  <c:v>Earbuds</c:v>
                </c:pt>
                <c:pt idx="4">
                  <c:v>Handbag</c:v>
                </c:pt>
                <c:pt idx="5">
                  <c:v>Mixer Grinder</c:v>
                </c:pt>
                <c:pt idx="6">
                  <c:v>Power Bank</c:v>
                </c:pt>
                <c:pt idx="7">
                  <c:v>Smartwatch</c:v>
                </c:pt>
                <c:pt idx="8">
                  <c:v>Sneakers</c:v>
                </c:pt>
                <c:pt idx="9">
                  <c:v>Webcam</c:v>
                </c:pt>
              </c:strCache>
            </c:strRef>
          </c:cat>
          <c:val>
            <c:numRef>
              <c:f>'Product wise revenue'!$B$4:$B$13</c:f>
              <c:numCache>
                <c:formatCode>_ [$₹-4009]\ * #,##0.00_ ;_ [$₹-4009]\ * \-#,##0.00_ ;_ [$₹-4009]\ * "-"??_ ;_ @_ </c:formatCode>
                <c:ptCount val="10"/>
                <c:pt idx="0">
                  <c:v>683250.74999999988</c:v>
                </c:pt>
                <c:pt idx="1">
                  <c:v>486930.14999999991</c:v>
                </c:pt>
                <c:pt idx="2">
                  <c:v>380384.1</c:v>
                </c:pt>
                <c:pt idx="3">
                  <c:v>312195.59999999992</c:v>
                </c:pt>
                <c:pt idx="4">
                  <c:v>294496.29999999993</c:v>
                </c:pt>
                <c:pt idx="5">
                  <c:v>461365.14999999985</c:v>
                </c:pt>
                <c:pt idx="6">
                  <c:v>226285.80000000005</c:v>
                </c:pt>
                <c:pt idx="7">
                  <c:v>851787.00000000035</c:v>
                </c:pt>
                <c:pt idx="8">
                  <c:v>386346.94999999995</c:v>
                </c:pt>
                <c:pt idx="9">
                  <c:v>380207.09999999992</c:v>
                </c:pt>
              </c:numCache>
            </c:numRef>
          </c:val>
          <c:extLst>
            <c:ext xmlns:c16="http://schemas.microsoft.com/office/drawing/2014/chart" uri="{C3380CC4-5D6E-409C-BE32-E72D297353CC}">
              <c16:uniqueId val="{00000007-3F0C-4212-90D5-7C3B89E06CBC}"/>
            </c:ext>
          </c:extLst>
        </c:ser>
        <c:dLbls>
          <c:dLblPos val="outEnd"/>
          <c:showLegendKey val="0"/>
          <c:showVal val="1"/>
          <c:showCatName val="0"/>
          <c:showSerName val="0"/>
          <c:showPercent val="0"/>
          <c:showBubbleSize val="0"/>
        </c:dLbls>
        <c:gapWidth val="100"/>
        <c:overlap val="-24"/>
        <c:axId val="1021721056"/>
        <c:axId val="1028507920"/>
      </c:barChart>
      <c:catAx>
        <c:axId val="1021721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07920"/>
        <c:crosses val="autoZero"/>
        <c:auto val="1"/>
        <c:lblAlgn val="ctr"/>
        <c:lblOffset val="100"/>
        <c:noMultiLvlLbl val="0"/>
      </c:catAx>
      <c:valAx>
        <c:axId val="1028507920"/>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210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[Sales_Analysis.xlsx]States wise order!PivotTable5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States by order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wise order'!$B$3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 wise order'!$A$4:$A$8</c:f>
              <c:strCache>
                <c:ptCount val="5"/>
                <c:pt idx="0">
                  <c:v>Bengaluru</c:v>
                </c:pt>
                <c:pt idx="1">
                  <c:v>Delhi</c:v>
                </c:pt>
                <c:pt idx="2">
                  <c:v>Hyderabad</c:v>
                </c:pt>
                <c:pt idx="3">
                  <c:v>Mumbai</c:v>
                </c:pt>
                <c:pt idx="4">
                  <c:v>Pune</c:v>
                </c:pt>
              </c:strCache>
            </c:strRef>
          </c:cat>
          <c:val>
            <c:numRef>
              <c:f>'States wise order'!$B$4:$B$8</c:f>
              <c:numCache>
                <c:formatCode>General</c:formatCode>
                <c:ptCount val="5"/>
                <c:pt idx="0">
                  <c:v>300</c:v>
                </c:pt>
                <c:pt idx="1">
                  <c:v>307</c:v>
                </c:pt>
                <c:pt idx="2">
                  <c:v>207</c:v>
                </c:pt>
                <c:pt idx="3">
                  <c:v>354</c:v>
                </c:pt>
                <c:pt idx="4">
                  <c:v>191</c:v>
                </c:pt>
              </c:numCache>
            </c:numRef>
          </c:val>
          <c:extLst>
            <c:ext xmlns:c16="http://schemas.microsoft.com/office/drawing/2014/chart" uri="{C3380CC4-5D6E-409C-BE32-E72D297353CC}">
              <c16:uniqueId val="{00000001-F248-400F-9CA3-E6EEF6E8BDA4}"/>
            </c:ext>
          </c:extLst>
        </c:ser>
        <c:dLbls>
          <c:dLblPos val="outEnd"/>
          <c:showLegendKey val="0"/>
          <c:showVal val="1"/>
          <c:showCatName val="0"/>
          <c:showSerName val="0"/>
          <c:showPercent val="0"/>
          <c:showBubbleSize val="0"/>
        </c:dLbls>
        <c:gapWidth val="115"/>
        <c:overlap val="-20"/>
        <c:axId val="1021274512"/>
        <c:axId val="1028504560"/>
      </c:barChart>
      <c:catAx>
        <c:axId val="102127451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04560"/>
        <c:crosses val="autoZero"/>
        <c:auto val="1"/>
        <c:lblAlgn val="ctr"/>
        <c:lblOffset val="100"/>
        <c:noMultiLvlLbl val="0"/>
      </c:catAx>
      <c:valAx>
        <c:axId val="10285045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Number Of Order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74512"/>
        <c:crosses val="autoZero"/>
        <c:crossBetween val="between"/>
      </c:valAx>
      <c:spPr>
        <a:noFill/>
        <a:ln>
          <a:noFill/>
        </a:ln>
        <a:effectLst/>
      </c:spPr>
    </c:plotArea>
    <c:legend>
      <c:legendPos val="r"/>
      <c:layout>
        <c:manualLayout>
          <c:xMode val="edge"/>
          <c:yMode val="edge"/>
          <c:x val="0.81831474190726172"/>
          <c:y val="3.7742782152230966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[Sales_Analysis.xlsx]pamentmethod!PivotTable6</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4"/>
          </a:solidFill>
          <a:ln w="19050">
            <a:solidFill>
              <a:schemeClr val="lt1"/>
            </a:solidFill>
          </a:ln>
          <a:effectLst/>
        </c:spPr>
      </c:pivotFmt>
    </c:pivotFmts>
    <c:plotArea>
      <c:layout>
        <c:manualLayout>
          <c:layoutTarget val="inner"/>
          <c:xMode val="edge"/>
          <c:yMode val="edge"/>
          <c:x val="8.85339503404899E-2"/>
          <c:y val="0.22876895596383787"/>
          <c:w val="0.69657776263160731"/>
          <c:h val="0.77123104403616216"/>
        </c:manualLayout>
      </c:layout>
      <c:ofPieChart>
        <c:ofPieType val="pie"/>
        <c:varyColors val="1"/>
        <c:ser>
          <c:idx val="0"/>
          <c:order val="0"/>
          <c:tx>
            <c:strRef>
              <c:f>pamentmethod!$B$3:$B$4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F-42C7-8847-4B11455183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F-42C7-8847-4B11455183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DF-42C7-8847-4B11455183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DF-42C7-8847-4B11455183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1B62-4C63-9FBB-AA2BBAE2152E}"/>
              </c:ext>
            </c:extLst>
          </c:dPt>
          <c:cat>
            <c:strRef>
              <c:f>pamentmethod!$A$5:$A$8</c:f>
              <c:strCache>
                <c:ptCount val="4"/>
                <c:pt idx="0">
                  <c:v>Card</c:v>
                </c:pt>
                <c:pt idx="1">
                  <c:v>COD</c:v>
                </c:pt>
                <c:pt idx="2">
                  <c:v>Net Banking</c:v>
                </c:pt>
                <c:pt idx="3">
                  <c:v>UPI</c:v>
                </c:pt>
              </c:strCache>
            </c:strRef>
          </c:cat>
          <c:val>
            <c:numRef>
              <c:f>pamentmethod!$B$5:$B$8</c:f>
              <c:numCache>
                <c:formatCode>General</c:formatCode>
                <c:ptCount val="4"/>
                <c:pt idx="0">
                  <c:v>39</c:v>
                </c:pt>
                <c:pt idx="1">
                  <c:v>27</c:v>
                </c:pt>
                <c:pt idx="2">
                  <c:v>17</c:v>
                </c:pt>
                <c:pt idx="3">
                  <c:v>73</c:v>
                </c:pt>
              </c:numCache>
            </c:numRef>
          </c:val>
          <c:extLst>
            <c:ext xmlns:c16="http://schemas.microsoft.com/office/drawing/2014/chart" uri="{C3380CC4-5D6E-409C-BE32-E72D297353CC}">
              <c16:uniqueId val="{00000000-1B62-4C63-9FBB-AA2BBAE2152E}"/>
            </c:ext>
          </c:extLst>
        </c:ser>
        <c:ser>
          <c:idx val="1"/>
          <c:order val="1"/>
          <c:tx>
            <c:strRef>
              <c:f>pamentmethod!$C$3:$C$4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4EB0-4C1B-9A55-0EA0266EA2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4EB0-4C1B-9A55-0EA0266EA2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4EB0-4C1B-9A55-0EA0266EA2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4EB0-4C1B-9A55-0EA0266EA2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4EB0-4C1B-9A55-0EA0266EA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pamentmethod!$A$5:$A$8</c:f>
              <c:strCache>
                <c:ptCount val="4"/>
                <c:pt idx="0">
                  <c:v>Card</c:v>
                </c:pt>
                <c:pt idx="1">
                  <c:v>COD</c:v>
                </c:pt>
                <c:pt idx="2">
                  <c:v>Net Banking</c:v>
                </c:pt>
                <c:pt idx="3">
                  <c:v>UPI</c:v>
                </c:pt>
              </c:strCache>
            </c:strRef>
          </c:cat>
          <c:val>
            <c:numRef>
              <c:f>pamentmethod!$C$5:$C$8</c:f>
              <c:numCache>
                <c:formatCode>General</c:formatCode>
                <c:ptCount val="4"/>
                <c:pt idx="0">
                  <c:v>97</c:v>
                </c:pt>
                <c:pt idx="1">
                  <c:v>90</c:v>
                </c:pt>
                <c:pt idx="2">
                  <c:v>26</c:v>
                </c:pt>
                <c:pt idx="3">
                  <c:v>176</c:v>
                </c:pt>
              </c:numCache>
            </c:numRef>
          </c:val>
          <c:extLst>
            <c:ext xmlns:c16="http://schemas.microsoft.com/office/drawing/2014/chart" uri="{C3380CC4-5D6E-409C-BE32-E72D297353CC}">
              <c16:uniqueId val="{0000000A-D8DF-42C7-8847-4B1145518363}"/>
            </c:ext>
          </c:extLst>
        </c:ser>
        <c:ser>
          <c:idx val="2"/>
          <c:order val="2"/>
          <c:tx>
            <c:strRef>
              <c:f>pamentmethod!$D$3:$D$4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4EB0-4C1B-9A55-0EA0266EA2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4EB0-4C1B-9A55-0EA0266EA2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4EB0-4C1B-9A55-0EA0266EA2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4EB0-4C1B-9A55-0EA0266EA2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4EB0-4C1B-9A55-0EA0266EA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pamentmethod!$A$5:$A$8</c:f>
              <c:strCache>
                <c:ptCount val="4"/>
                <c:pt idx="0">
                  <c:v>Card</c:v>
                </c:pt>
                <c:pt idx="1">
                  <c:v>COD</c:v>
                </c:pt>
                <c:pt idx="2">
                  <c:v>Net Banking</c:v>
                </c:pt>
                <c:pt idx="3">
                  <c:v>UPI</c:v>
                </c:pt>
              </c:strCache>
            </c:strRef>
          </c:cat>
          <c:val>
            <c:numRef>
              <c:f>pamentmethod!$D$5:$D$8</c:f>
              <c:numCache>
                <c:formatCode>General</c:formatCode>
                <c:ptCount val="4"/>
                <c:pt idx="0">
                  <c:v>158</c:v>
                </c:pt>
                <c:pt idx="1">
                  <c:v>139</c:v>
                </c:pt>
                <c:pt idx="2">
                  <c:v>66</c:v>
                </c:pt>
                <c:pt idx="3">
                  <c:v>322</c:v>
                </c:pt>
              </c:numCache>
            </c:numRef>
          </c:val>
          <c:extLst>
            <c:ext xmlns:c16="http://schemas.microsoft.com/office/drawing/2014/chart" uri="{C3380CC4-5D6E-409C-BE32-E72D297353CC}">
              <c16:uniqueId val="{0000000B-D8DF-42C7-8847-4B1145518363}"/>
            </c:ext>
          </c:extLst>
        </c:ser>
        <c:ser>
          <c:idx val="3"/>
          <c:order val="3"/>
          <c:tx>
            <c:strRef>
              <c:f>pamentmethod!$E$3:$E$4</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4EB0-4C1B-9A55-0EA0266EA2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4EB0-4C1B-9A55-0EA0266EA2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4EB0-4C1B-9A55-0EA0266EA2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4EB0-4C1B-9A55-0EA0266EA2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4EB0-4C1B-9A55-0EA0266EA2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pamentmethod!$A$5:$A$8</c:f>
              <c:strCache>
                <c:ptCount val="4"/>
                <c:pt idx="0">
                  <c:v>Card</c:v>
                </c:pt>
                <c:pt idx="1">
                  <c:v>COD</c:v>
                </c:pt>
                <c:pt idx="2">
                  <c:v>Net Banking</c:v>
                </c:pt>
                <c:pt idx="3">
                  <c:v>UPI</c:v>
                </c:pt>
              </c:strCache>
            </c:strRef>
          </c:cat>
          <c:val>
            <c:numRef>
              <c:f>pamentmethod!$E$5:$E$8</c:f>
              <c:numCache>
                <c:formatCode>General</c:formatCode>
                <c:ptCount val="4"/>
                <c:pt idx="0">
                  <c:v>201</c:v>
                </c:pt>
                <c:pt idx="1">
                  <c:v>168</c:v>
                </c:pt>
                <c:pt idx="2">
                  <c:v>64</c:v>
                </c:pt>
                <c:pt idx="3">
                  <c:v>329</c:v>
                </c:pt>
              </c:numCache>
            </c:numRef>
          </c:val>
          <c:extLst>
            <c:ext xmlns:c16="http://schemas.microsoft.com/office/drawing/2014/chart" uri="{C3380CC4-5D6E-409C-BE32-E72D297353CC}">
              <c16:uniqueId val="{0000000C-D8DF-42C7-8847-4B1145518363}"/>
            </c:ext>
          </c:extLst>
        </c:ser>
        <c:ser>
          <c:idx val="4"/>
          <c:order val="4"/>
          <c:tx>
            <c:strRef>
              <c:f>pamentmethod!$F$3:$F$4</c:f>
              <c:strCache>
                <c:ptCount val="1"/>
                <c:pt idx="0">
                  <c:v>Unknown region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pamentmethod!$A$5:$A$8</c:f>
              <c:strCache>
                <c:ptCount val="4"/>
                <c:pt idx="0">
                  <c:v>Card</c:v>
                </c:pt>
                <c:pt idx="1">
                  <c:v>COD</c:v>
                </c:pt>
                <c:pt idx="2">
                  <c:v>Net Banking</c:v>
                </c:pt>
                <c:pt idx="3">
                  <c:v>UPI</c:v>
                </c:pt>
              </c:strCache>
            </c:strRef>
          </c:cat>
          <c:val>
            <c:numRef>
              <c:f>pamentmethod!$F$5:$F$8</c:f>
              <c:numCache>
                <c:formatCode>General</c:formatCode>
                <c:ptCount val="4"/>
                <c:pt idx="0">
                  <c:v>1</c:v>
                </c:pt>
                <c:pt idx="1">
                  <c:v>2</c:v>
                </c:pt>
                <c:pt idx="2">
                  <c:v>2</c:v>
                </c:pt>
                <c:pt idx="3">
                  <c:v>3</c:v>
                </c:pt>
              </c:numCache>
            </c:numRef>
          </c:val>
          <c:extLst>
            <c:ext xmlns:c16="http://schemas.microsoft.com/office/drawing/2014/chart" uri="{C3380CC4-5D6E-409C-BE32-E72D297353CC}">
              <c16:uniqueId val="{00000028-4EB0-4C1B-9A55-0EA0266EA266}"/>
            </c:ext>
          </c:extLst>
        </c:ser>
        <c:dLbls>
          <c:dLblPos val="outEnd"/>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8255074365704291"/>
          <c:y val="4.4153907844852715E-2"/>
          <c:w val="0.21744923331951926"/>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[Sales_Analysis.xlsx]pamentmethod!PivotTable6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78980752405943"/>
          <c:y val="0.17171296296296296"/>
          <c:w val="0.61830293088363952"/>
          <c:h val="0.62271617089530473"/>
        </c:manualLayout>
      </c:layout>
      <c:bar3DChart>
        <c:barDir val="bar"/>
        <c:grouping val="clustered"/>
        <c:varyColors val="0"/>
        <c:ser>
          <c:idx val="0"/>
          <c:order val="0"/>
          <c:tx>
            <c:strRef>
              <c:f>pamentmethod!$B$3:$B$4</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pamentmethod!$B$5:$B$8</c:f>
              <c:numCache>
                <c:formatCode>General</c:formatCode>
                <c:ptCount val="4"/>
                <c:pt idx="0">
                  <c:v>39</c:v>
                </c:pt>
                <c:pt idx="1">
                  <c:v>27</c:v>
                </c:pt>
                <c:pt idx="2">
                  <c:v>17</c:v>
                </c:pt>
                <c:pt idx="3">
                  <c:v>73</c:v>
                </c:pt>
              </c:numCache>
            </c:numRef>
          </c:val>
          <c:extLst>
            <c:ext xmlns:c16="http://schemas.microsoft.com/office/drawing/2014/chart" uri="{C3380CC4-5D6E-409C-BE32-E72D297353CC}">
              <c16:uniqueId val="{00000000-F30F-4A2B-961F-5977589DA5FE}"/>
            </c:ext>
          </c:extLst>
        </c:ser>
        <c:ser>
          <c:idx val="1"/>
          <c:order val="1"/>
          <c:tx>
            <c:strRef>
              <c:f>pamentmethod!$C$3:$C$4</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pamentmethod!$C$5:$C$8</c:f>
              <c:numCache>
                <c:formatCode>General</c:formatCode>
                <c:ptCount val="4"/>
                <c:pt idx="0">
                  <c:v>97</c:v>
                </c:pt>
                <c:pt idx="1">
                  <c:v>90</c:v>
                </c:pt>
                <c:pt idx="2">
                  <c:v>26</c:v>
                </c:pt>
                <c:pt idx="3">
                  <c:v>176</c:v>
                </c:pt>
              </c:numCache>
            </c:numRef>
          </c:val>
          <c:extLst>
            <c:ext xmlns:c16="http://schemas.microsoft.com/office/drawing/2014/chart" uri="{C3380CC4-5D6E-409C-BE32-E72D297353CC}">
              <c16:uniqueId val="{00000001-F30F-4A2B-961F-5977589DA5FE}"/>
            </c:ext>
          </c:extLst>
        </c:ser>
        <c:ser>
          <c:idx val="2"/>
          <c:order val="2"/>
          <c:tx>
            <c:strRef>
              <c:f>pamentmethod!$D$3:$D$4</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pamentmethod!$D$5:$D$8</c:f>
              <c:numCache>
                <c:formatCode>General</c:formatCode>
                <c:ptCount val="4"/>
                <c:pt idx="0">
                  <c:v>158</c:v>
                </c:pt>
                <c:pt idx="1">
                  <c:v>139</c:v>
                </c:pt>
                <c:pt idx="2">
                  <c:v>66</c:v>
                </c:pt>
                <c:pt idx="3">
                  <c:v>322</c:v>
                </c:pt>
              </c:numCache>
            </c:numRef>
          </c:val>
          <c:extLst>
            <c:ext xmlns:c16="http://schemas.microsoft.com/office/drawing/2014/chart" uri="{C3380CC4-5D6E-409C-BE32-E72D297353CC}">
              <c16:uniqueId val="{00000002-F30F-4A2B-961F-5977589DA5FE}"/>
            </c:ext>
          </c:extLst>
        </c:ser>
        <c:ser>
          <c:idx val="3"/>
          <c:order val="3"/>
          <c:tx>
            <c:strRef>
              <c:f>pamentmethod!$E$3:$E$4</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pamentmethod!$E$5:$E$8</c:f>
              <c:numCache>
                <c:formatCode>General</c:formatCode>
                <c:ptCount val="4"/>
                <c:pt idx="0">
                  <c:v>201</c:v>
                </c:pt>
                <c:pt idx="1">
                  <c:v>168</c:v>
                </c:pt>
                <c:pt idx="2">
                  <c:v>64</c:v>
                </c:pt>
                <c:pt idx="3">
                  <c:v>329</c:v>
                </c:pt>
              </c:numCache>
            </c:numRef>
          </c:val>
          <c:extLst>
            <c:ext xmlns:c16="http://schemas.microsoft.com/office/drawing/2014/chart" uri="{C3380CC4-5D6E-409C-BE32-E72D297353CC}">
              <c16:uniqueId val="{00000003-F30F-4A2B-961F-5977589DA5FE}"/>
            </c:ext>
          </c:extLst>
        </c:ser>
        <c:ser>
          <c:idx val="4"/>
          <c:order val="4"/>
          <c:tx>
            <c:strRef>
              <c:f>pamentmethod!$F$3:$F$4</c:f>
              <c:strCache>
                <c:ptCount val="1"/>
                <c:pt idx="0">
                  <c:v>Unknown region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pamentmethod!$F$5:$F$8</c:f>
              <c:numCache>
                <c:formatCode>General</c:formatCode>
                <c:ptCount val="4"/>
                <c:pt idx="0">
                  <c:v>1</c:v>
                </c:pt>
                <c:pt idx="1">
                  <c:v>2</c:v>
                </c:pt>
                <c:pt idx="2">
                  <c:v>2</c:v>
                </c:pt>
                <c:pt idx="3">
                  <c:v>3</c:v>
                </c:pt>
              </c:numCache>
            </c:numRef>
          </c:val>
          <c:extLst>
            <c:ext xmlns:c16="http://schemas.microsoft.com/office/drawing/2014/chart" uri="{C3380CC4-5D6E-409C-BE32-E72D297353CC}">
              <c16:uniqueId val="{00000000-3396-49C7-9302-C3B1F8D54FC1}"/>
            </c:ext>
          </c:extLst>
        </c:ser>
        <c:dLbls>
          <c:showLegendKey val="0"/>
          <c:showVal val="1"/>
          <c:showCatName val="0"/>
          <c:showSerName val="0"/>
          <c:showPercent val="0"/>
          <c:showBubbleSize val="0"/>
        </c:dLbls>
        <c:gapWidth val="150"/>
        <c:shape val="box"/>
        <c:axId val="1936875952"/>
        <c:axId val="1943877520"/>
        <c:axId val="0"/>
      </c:bar3DChart>
      <c:catAx>
        <c:axId val="193687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77520"/>
        <c:crosses val="autoZero"/>
        <c:auto val="1"/>
        <c:lblAlgn val="ctr"/>
        <c:lblOffset val="100"/>
        <c:noMultiLvlLbl val="0"/>
      </c:catAx>
      <c:valAx>
        <c:axId val="1943877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Numeber</a:t>
                </a:r>
                <a:r>
                  <a:rPr lang="en-US" baseline="0"/>
                  <a:t> of Payment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8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[Sales_Analysis.xlsx]category return!PivotTable7</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return'!$B$3:$B$4</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return'!$B$5:$B$7</c:f>
              <c:numCache>
                <c:formatCode>General</c:formatCode>
                <c:ptCount val="3"/>
                <c:pt idx="0">
                  <c:v>12</c:v>
                </c:pt>
                <c:pt idx="1">
                  <c:v>240</c:v>
                </c:pt>
                <c:pt idx="2">
                  <c:v>13</c:v>
                </c:pt>
              </c:numCache>
            </c:numRef>
          </c:val>
          <c:extLst>
            <c:ext xmlns:c16="http://schemas.microsoft.com/office/drawing/2014/chart" uri="{C3380CC4-5D6E-409C-BE32-E72D297353CC}">
              <c16:uniqueId val="{00000005-3937-4CB2-8363-94A69D0D1697}"/>
            </c:ext>
          </c:extLst>
        </c:ser>
        <c:ser>
          <c:idx val="1"/>
          <c:order val="1"/>
          <c:tx>
            <c:strRef>
              <c:f>'category return'!$C$3:$C$4</c:f>
              <c:strCache>
                <c:ptCount val="1"/>
                <c:pt idx="0">
                  <c:v>Books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return'!$C$5:$C$7</c:f>
              <c:numCache>
                <c:formatCode>General</c:formatCode>
                <c:ptCount val="3"/>
                <c:pt idx="0">
                  <c:v>7</c:v>
                </c:pt>
                <c:pt idx="1">
                  <c:v>164</c:v>
                </c:pt>
                <c:pt idx="2">
                  <c:v>3</c:v>
                </c:pt>
              </c:numCache>
            </c:numRef>
          </c:val>
          <c:extLst>
            <c:ext xmlns:c16="http://schemas.microsoft.com/office/drawing/2014/chart" uri="{C3380CC4-5D6E-409C-BE32-E72D297353CC}">
              <c16:uniqueId val="{00000006-3937-4CB2-8363-94A69D0D1697}"/>
            </c:ext>
          </c:extLst>
        </c:ser>
        <c:ser>
          <c:idx val="2"/>
          <c:order val="2"/>
          <c:tx>
            <c:strRef>
              <c:f>'category return'!$D$3:$D$4</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return'!$D$5:$D$7</c:f>
              <c:numCache>
                <c:formatCode>General</c:formatCode>
                <c:ptCount val="3"/>
                <c:pt idx="0">
                  <c:v>33</c:v>
                </c:pt>
                <c:pt idx="1">
                  <c:v>550</c:v>
                </c:pt>
                <c:pt idx="2">
                  <c:v>97</c:v>
                </c:pt>
              </c:numCache>
            </c:numRef>
          </c:val>
          <c:extLst>
            <c:ext xmlns:c16="http://schemas.microsoft.com/office/drawing/2014/chart" uri="{C3380CC4-5D6E-409C-BE32-E72D297353CC}">
              <c16:uniqueId val="{00000007-3937-4CB2-8363-94A69D0D1697}"/>
            </c:ext>
          </c:extLst>
        </c:ser>
        <c:ser>
          <c:idx val="3"/>
          <c:order val="3"/>
          <c:tx>
            <c:strRef>
              <c:f>'category return'!$E$3:$E$4</c:f>
              <c:strCache>
                <c:ptCount val="1"/>
                <c:pt idx="0">
                  <c:v>Fashion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return'!$E$5:$E$7</c:f>
              <c:numCache>
                <c:formatCode>General</c:formatCode>
                <c:ptCount val="3"/>
                <c:pt idx="0">
                  <c:v>24</c:v>
                </c:pt>
                <c:pt idx="1">
                  <c:v>388</c:v>
                </c:pt>
                <c:pt idx="2">
                  <c:v>66</c:v>
                </c:pt>
              </c:numCache>
            </c:numRef>
          </c:val>
          <c:extLst>
            <c:ext xmlns:c16="http://schemas.microsoft.com/office/drawing/2014/chart" uri="{C3380CC4-5D6E-409C-BE32-E72D297353CC}">
              <c16:uniqueId val="{00000008-3937-4CB2-8363-94A69D0D1697}"/>
            </c:ext>
          </c:extLst>
        </c:ser>
        <c:ser>
          <c:idx val="4"/>
          <c:order val="4"/>
          <c:tx>
            <c:strRef>
              <c:f>'category return'!$F$3:$F$4</c:f>
              <c:strCache>
                <c:ptCount val="1"/>
                <c:pt idx="0">
                  <c:v>Home &amp; Kitchen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return'!$F$5:$F$7</c:f>
              <c:numCache>
                <c:formatCode>General</c:formatCode>
                <c:ptCount val="3"/>
                <c:pt idx="0">
                  <c:v>23</c:v>
                </c:pt>
                <c:pt idx="1">
                  <c:v>351</c:v>
                </c:pt>
                <c:pt idx="2">
                  <c:v>21</c:v>
                </c:pt>
              </c:numCache>
            </c:numRef>
          </c:val>
          <c:extLst>
            <c:ext xmlns:c16="http://schemas.microsoft.com/office/drawing/2014/chart" uri="{C3380CC4-5D6E-409C-BE32-E72D297353CC}">
              <c16:uniqueId val="{00000009-3937-4CB2-8363-94A69D0D1697}"/>
            </c:ext>
          </c:extLst>
        </c:ser>
        <c:dLbls>
          <c:dLblPos val="inEnd"/>
          <c:showLegendKey val="0"/>
          <c:showVal val="1"/>
          <c:showCatName val="0"/>
          <c:showSerName val="0"/>
          <c:showPercent val="0"/>
          <c:showBubbleSize val="0"/>
        </c:dLbls>
        <c:gapWidth val="100"/>
        <c:overlap val="-24"/>
        <c:axId val="1381854064"/>
        <c:axId val="1028517040"/>
      </c:barChart>
      <c:catAx>
        <c:axId val="13818540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t>Order</a:t>
                </a:r>
                <a:r>
                  <a:rPr lang="en-US" sz="1000" b="1" baseline="0"/>
                  <a:t> Status</a:t>
                </a:r>
                <a:endParaRPr lang="en-US" sz="1000" b="1"/>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17040"/>
        <c:crosses val="autoZero"/>
        <c:auto val="1"/>
        <c:lblAlgn val="ctr"/>
        <c:lblOffset val="100"/>
        <c:noMultiLvlLbl val="0"/>
      </c:catAx>
      <c:valAx>
        <c:axId val="102851704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t>Number</a:t>
                </a:r>
                <a:r>
                  <a:rPr lang="en-US" sz="1000" b="1" baseline="0"/>
                  <a:t> of order</a:t>
                </a:r>
                <a:endParaRPr lang="en-US" sz="1000"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54064"/>
        <c:crosses val="autoZero"/>
        <c:crossBetween val="between"/>
      </c:valAx>
      <c:spPr>
        <a:noFill/>
        <a:ln>
          <a:noFill/>
        </a:ln>
        <a:effectLst/>
      </c:spPr>
    </c:plotArea>
    <c:legend>
      <c:legendPos val="r"/>
      <c:layout>
        <c:manualLayout>
          <c:xMode val="edge"/>
          <c:yMode val="edge"/>
          <c:x val="0.74967541557305328"/>
          <c:y val="2.1052785068533086E-2"/>
          <c:w val="0.2503245335815989"/>
          <c:h val="0.505848864215714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[Sales_Analysis.xlsx]Sales By region!PivotTable9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
        <c:idx val="2"/>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s>
    <c:plotArea>
      <c:layout>
        <c:manualLayout>
          <c:layoutTarget val="inner"/>
          <c:xMode val="edge"/>
          <c:yMode val="edge"/>
          <c:x val="0.11348498104403616"/>
          <c:y val="0.17171296296296296"/>
          <c:w val="0.55836419753086419"/>
          <c:h val="0.82828703703703699"/>
        </c:manualLayout>
      </c:layout>
      <c:doughnut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8.9506172839506168E-2"/>
                  <c:y val="-6.0185185185185182E-2"/>
                </c:manualLayout>
              </c:layout>
              <c:showLegendKey val="0"/>
              <c:showVal val="0"/>
              <c:showCatName val="1"/>
              <c:showSerName val="0"/>
              <c:showPercent val="1"/>
              <c:showBubbleSize val="0"/>
              <c:extLst>
                <c:ext xmlns:c15="http://schemas.microsoft.com/office/drawing/2012/chart" uri="{CE6537A1-D6FC-4f65-9D91-7224C49458BB}"/>
              </c:extLst>
            </c:dLbl>
            <c:dLbl>
              <c:idx val="1"/>
              <c:layout>
                <c:manualLayout>
                  <c:x val="6.790123456790112E-2"/>
                  <c:y val="-0.11111111111111106"/>
                </c:manualLayout>
              </c:layout>
              <c:showLegendKey val="0"/>
              <c:showVal val="0"/>
              <c:showCatName val="1"/>
              <c:showSerName val="0"/>
              <c:showPercent val="1"/>
              <c:showBubbleSize val="0"/>
              <c:extLst>
                <c:ext xmlns:c15="http://schemas.microsoft.com/office/drawing/2012/chart" uri="{CE6537A1-D6FC-4f65-9D91-7224C49458BB}"/>
              </c:extLst>
            </c:dLbl>
            <c:dLbl>
              <c:idx val="2"/>
              <c:layout>
                <c:manualLayout>
                  <c:x val="0.16049382716049382"/>
                  <c:y val="-1.3888888888888888E-2"/>
                </c:manualLayout>
              </c:layout>
              <c:showLegendKey val="0"/>
              <c:showVal val="0"/>
              <c:showCatName val="1"/>
              <c:showSerName val="0"/>
              <c:showPercent val="1"/>
              <c:showBubbleSize val="0"/>
              <c:extLst>
                <c:ext xmlns:c15="http://schemas.microsoft.com/office/drawing/2012/chart" uri="{CE6537A1-D6FC-4f65-9D91-7224C49458BB}"/>
              </c:extLst>
            </c:dLbl>
            <c:dLbl>
              <c:idx val="3"/>
              <c:layout>
                <c:manualLayout>
                  <c:x val="-0.10185185185185185"/>
                  <c:y val="0.27777777777777768"/>
                </c:manualLayout>
              </c:layout>
              <c:showLegendKey val="0"/>
              <c:showVal val="0"/>
              <c:showCatName val="1"/>
              <c:showSerName val="0"/>
              <c:showPercent val="1"/>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region'!$A$4:$A$7</c:f>
              <c:strCache>
                <c:ptCount val="4"/>
                <c:pt idx="0">
                  <c:v>East</c:v>
                </c:pt>
                <c:pt idx="1">
                  <c:v>North</c:v>
                </c:pt>
                <c:pt idx="2">
                  <c:v>South</c:v>
                </c:pt>
                <c:pt idx="3">
                  <c:v>West</c:v>
                </c:pt>
              </c:strCache>
            </c:strRef>
          </c:cat>
          <c:val>
            <c:numRef>
              <c:f>'Sales By region'!$B$4:$B$7</c:f>
              <c:numCache>
                <c:formatCode>General</c:formatCode>
                <c:ptCount val="4"/>
                <c:pt idx="0">
                  <c:v>469185.24999999994</c:v>
                </c:pt>
                <c:pt idx="1">
                  <c:v>1106020.6999999995</c:v>
                </c:pt>
                <c:pt idx="2">
                  <c:v>1994031.600000002</c:v>
                </c:pt>
                <c:pt idx="3">
                  <c:v>2230497.8000000054</c:v>
                </c:pt>
              </c:numCache>
            </c:numRef>
          </c:val>
          <c:extLst>
            <c:ext xmlns:c16="http://schemas.microsoft.com/office/drawing/2014/chart" uri="{C3380CC4-5D6E-409C-BE32-E72D297353CC}">
              <c16:uniqueId val="{0000000C-A86C-4523-A995-47E899BE18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075119082336915"/>
          <c:y val="1.322761738116069E-2"/>
          <c:w val="0.12906851373868722"/>
          <c:h val="0.35885418628891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[Sales_Analysis.xlsx]Month and revenue!PivotTable1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88854886992607"/>
          <c:y val="0.34510867957266461"/>
          <c:w val="0.70075196850393706"/>
          <c:h val="0.54508837882112715"/>
        </c:manualLayout>
      </c:layout>
      <c:lineChart>
        <c:grouping val="standard"/>
        <c:varyColors val="0"/>
        <c:ser>
          <c:idx val="0"/>
          <c:order val="0"/>
          <c:tx>
            <c:strRef>
              <c:f>'Month and revenue'!$B$3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and revenue'!$A$4:$A$15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and revenue'!$B$4:$B$15</c:f>
              <c:numCache>
                <c:formatCode>_ [$₹-4009]\ * #,##0.00_ ;_ [$₹-4009]\ * \-#,##0.00_ ;_ [$₹-4009]\ * "-"??_ ;_ @_ </c:formatCode>
                <c:ptCount val="12"/>
                <c:pt idx="0">
                  <c:v>542910</c:v>
                </c:pt>
                <c:pt idx="1">
                  <c:v>426845.04999999981</c:v>
                </c:pt>
                <c:pt idx="2">
                  <c:v>454297.4499999996</c:v>
                </c:pt>
                <c:pt idx="3">
                  <c:v>578367.84999999963</c:v>
                </c:pt>
                <c:pt idx="4">
                  <c:v>462707.19999999984</c:v>
                </c:pt>
                <c:pt idx="5">
                  <c:v>483619.24999999965</c:v>
                </c:pt>
                <c:pt idx="6">
                  <c:v>503282.59999999986</c:v>
                </c:pt>
                <c:pt idx="7">
                  <c:v>528153.29999999993</c:v>
                </c:pt>
                <c:pt idx="8">
                  <c:v>434953.14999999979</c:v>
                </c:pt>
                <c:pt idx="9">
                  <c:v>465911.05</c:v>
                </c:pt>
                <c:pt idx="10">
                  <c:v>493981.45000000019</c:v>
                </c:pt>
                <c:pt idx="11">
                  <c:v>424706.99999999988</c:v>
                </c:pt>
              </c:numCache>
            </c:numRef>
          </c:val>
          <c:smooth val="0"/>
          <c:extLst>
            <c:ext xmlns:c16="http://schemas.microsoft.com/office/drawing/2014/chart" uri="{C3380CC4-5D6E-409C-BE32-E72D297353CC}">
              <c16:uniqueId val="{00000000-4404-427A-B147-99632A0D9882}"/>
            </c:ext>
          </c:extLst>
        </c:ser>
        <c:dLbls>
          <c:dLblPos val="t"/>
          <c:showLegendKey val="0"/>
          <c:showVal val="1"/>
          <c:showCatName val="0"/>
          <c:showSerName val="0"/>
          <c:showPercent val="0"/>
          <c:showBubbleSize val="0"/>
        </c:dLbls>
        <c:marker val="1"/>
        <c:smooth val="0"/>
        <c:axId val="882343248"/>
        <c:axId val="774507984"/>
      </c:lineChart>
      <c:catAx>
        <c:axId val="8823432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07984"/>
        <c:crosses val="autoZero"/>
        <c:auto val="1"/>
        <c:lblAlgn val="ctr"/>
        <c:lblOffset val="100"/>
        <c:noMultiLvlLbl val="0"/>
      </c:catAx>
      <c:valAx>
        <c:axId val="7745079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343248"/>
        <c:crosses val="autoZero"/>
        <c:crossBetween val="between"/>
      </c:valAx>
      <c:spPr>
        <a:noFill/>
        <a:ln>
          <a:noFill/>
        </a:ln>
        <a:effectLst/>
      </c:spPr>
    </c:plotArea>
    <c:legend>
      <c:legendPos val="r"/>
      <c:layout>
        <c:manualLayout>
          <c:xMode val="edge"/>
          <c:yMode val="edge"/>
          <c:x val="0.76298557336662354"/>
          <c:y val="3.4510905658029903E-2"/>
          <c:w val="0.14823501733120389"/>
          <c:h val="9.85827187457307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[Sales_Analysis.xlsx]Product wise revenue!PivotTable2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Product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9065481496976165E-3"/>
              <c:y val="-4.6296296296296294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59990437627936E-2"/>
                  <c:h val="8.789370078740158E-2"/>
                </c:manualLayout>
              </c15:layout>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45100529416745E-7"/>
              <c:y val="-6.944444444444444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85E-2"/>
                </c:manualLayout>
              </c15:layout>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4.16666666666667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251106894370648E-3"/>
              <c:y val="-7.40740740740740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650096868821188E-2"/>
              <c:y val="-4.629611402741332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71E-2"/>
                </c:manualLayout>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5.09259259259259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9065481496976165E-3"/>
              <c:y val="-4.6296296296296294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59990437627936E-2"/>
                  <c:h val="8.789370078740158E-2"/>
                </c:manualLayout>
              </c15:layout>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45100529416745E-7"/>
              <c:y val="-6.944444444444444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85E-2"/>
                </c:manualLayout>
              </c15:layout>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4.16666666666667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650096868821188E-2"/>
              <c:y val="-4.629611402741332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71E-2"/>
                </c:manualLayout>
              </c15:layout>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5.09259259259259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251106894370648E-3"/>
              <c:y val="-7.40740740740740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9065481496976165E-3"/>
              <c:y val="-4.6296296296296294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59990437627936E-2"/>
                  <c:h val="8.789370078740158E-2"/>
                </c:manualLayout>
              </c15:layout>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45100529416745E-7"/>
              <c:y val="-6.944444444444444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85E-2"/>
                </c:manualLayout>
              </c15:layout>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7779E-3"/>
              <c:y val="-4.16666666666667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650096868821188E-2"/>
              <c:y val="-4.629611402741332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71E-2"/>
                </c:manualLayout>
              </c15:layout>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5.09259259259259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3251106894370648E-3"/>
              <c:y val="-7.40740740740740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93747913745063"/>
          <c:y val="0.18498367082325018"/>
          <c:w val="0.65353937007874019"/>
          <c:h val="0.502467556138816"/>
        </c:manualLayout>
      </c:layout>
      <c:barChart>
        <c:barDir val="col"/>
        <c:grouping val="clustered"/>
        <c:varyColors val="0"/>
        <c:ser>
          <c:idx val="0"/>
          <c:order val="0"/>
          <c:tx>
            <c:strRef>
              <c:f>'Product wise revenue'!$B$3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71F-43AF-B8DA-1E1AB6C2DD2B}"/>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1F-43AF-B8DA-1E1AB6C2DD2B}"/>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71F-43AF-B8DA-1E1AB6C2DD2B}"/>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71F-43AF-B8DA-1E1AB6C2DD2B}"/>
              </c:ext>
            </c:extLst>
          </c:dPt>
          <c:dPt>
            <c:idx val="5"/>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71F-43AF-B8DA-1E1AB6C2DD2B}"/>
              </c:ext>
            </c:extLst>
          </c:dPt>
          <c:dPt>
            <c:idx val="9"/>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B71F-43AF-B8DA-1E1AB6C2DD2B}"/>
              </c:ext>
            </c:extLst>
          </c:dPt>
          <c:dLbls>
            <c:dLbl>
              <c:idx val="0"/>
              <c:layout>
                <c:manualLayout>
                  <c:x val="7.9065481496976165E-3"/>
                  <c:y val="-4.6296296296296294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59990437627936E-2"/>
                      <c:h val="8.789370078740158E-2"/>
                    </c:manualLayout>
                  </c15:layout>
                </c:ext>
                <c:ext xmlns:c16="http://schemas.microsoft.com/office/drawing/2014/chart" uri="{C3380CC4-5D6E-409C-BE32-E72D297353CC}">
                  <c16:uniqueId val="{00000001-B71F-43AF-B8DA-1E1AB6C2DD2B}"/>
                </c:ext>
              </c:extLst>
            </c:dLbl>
            <c:dLbl>
              <c:idx val="1"/>
              <c:layout>
                <c:manualLayout>
                  <c:x val="1.245100529416745E-7"/>
                  <c:y val="-6.944444444444444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85E-2"/>
                    </c:manualLayout>
                  </c15:layout>
                </c:ext>
                <c:ext xmlns:c16="http://schemas.microsoft.com/office/drawing/2014/chart" uri="{C3380CC4-5D6E-409C-BE32-E72D297353CC}">
                  <c16:uniqueId val="{00000003-B71F-43AF-B8DA-1E1AB6C2DD2B}"/>
                </c:ext>
              </c:extLst>
            </c:dLbl>
            <c:dLbl>
              <c:idx val="2"/>
              <c:layout>
                <c:manualLayout>
                  <c:x val="2.7777777777777779E-3"/>
                  <c:y val="-4.16666666666667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1F-43AF-B8DA-1E1AB6C2DD2B}"/>
                </c:ext>
              </c:extLst>
            </c:dLbl>
            <c:dLbl>
              <c:idx val="4"/>
              <c:layout>
                <c:manualLayout>
                  <c:x val="-1.2650096868821188E-2"/>
                  <c:y val="-4.6296114027413328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3753828684127946E-2"/>
                      <c:h val="7.4004811898512671E-2"/>
                    </c:manualLayout>
                  </c15:layout>
                </c:ext>
                <c:ext xmlns:c16="http://schemas.microsoft.com/office/drawing/2014/chart" uri="{C3380CC4-5D6E-409C-BE32-E72D297353CC}">
                  <c16:uniqueId val="{00000007-B71F-43AF-B8DA-1E1AB6C2DD2B}"/>
                </c:ext>
              </c:extLst>
            </c:dLbl>
            <c:dLbl>
              <c:idx val="5"/>
              <c:layout>
                <c:manualLayout>
                  <c:x val="0"/>
                  <c:y val="-5.09259259259259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1F-43AF-B8DA-1E1AB6C2DD2B}"/>
                </c:ext>
              </c:extLst>
            </c:dLbl>
            <c:dLbl>
              <c:idx val="9"/>
              <c:layout>
                <c:manualLayout>
                  <c:x val="6.3251106894370648E-3"/>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1F-43AF-B8DA-1E1AB6C2DD2B}"/>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revenue'!$A$4:$A$13</c:f>
              <c:strCache>
                <c:ptCount val="10"/>
                <c:pt idx="0">
                  <c:v>Air Fryer</c:v>
                </c:pt>
                <c:pt idx="1">
                  <c:v>Bluetooth Speaker</c:v>
                </c:pt>
                <c:pt idx="2">
                  <c:v>Cookware Set</c:v>
                </c:pt>
                <c:pt idx="3">
                  <c:v>Earbuds</c:v>
                </c:pt>
                <c:pt idx="4">
                  <c:v>Handbag</c:v>
                </c:pt>
                <c:pt idx="5">
                  <c:v>Mixer Grinder</c:v>
                </c:pt>
                <c:pt idx="6">
                  <c:v>Power Bank</c:v>
                </c:pt>
                <c:pt idx="7">
                  <c:v>Smartwatch</c:v>
                </c:pt>
                <c:pt idx="8">
                  <c:v>Sneakers</c:v>
                </c:pt>
                <c:pt idx="9">
                  <c:v>Webcam</c:v>
                </c:pt>
              </c:strCache>
            </c:strRef>
          </c:cat>
          <c:val>
            <c:numRef>
              <c:f>'Product wise revenue'!$B$4:$B$13</c:f>
              <c:numCache>
                <c:formatCode>_ [$₹-4009]\ * #,##0.00_ ;_ [$₹-4009]\ * \-#,##0.00_ ;_ [$₹-4009]\ * "-"??_ ;_ @_ </c:formatCode>
                <c:ptCount val="10"/>
                <c:pt idx="0">
                  <c:v>683250.74999999988</c:v>
                </c:pt>
                <c:pt idx="1">
                  <c:v>486930.14999999991</c:v>
                </c:pt>
                <c:pt idx="2">
                  <c:v>380384.1</c:v>
                </c:pt>
                <c:pt idx="3">
                  <c:v>312195.59999999992</c:v>
                </c:pt>
                <c:pt idx="4">
                  <c:v>294496.29999999993</c:v>
                </c:pt>
                <c:pt idx="5">
                  <c:v>461365.14999999985</c:v>
                </c:pt>
                <c:pt idx="6">
                  <c:v>226285.80000000005</c:v>
                </c:pt>
                <c:pt idx="7">
                  <c:v>851787.00000000035</c:v>
                </c:pt>
                <c:pt idx="8">
                  <c:v>386346.94999999995</c:v>
                </c:pt>
                <c:pt idx="9">
                  <c:v>380207.09999999992</c:v>
                </c:pt>
              </c:numCache>
            </c:numRef>
          </c:val>
          <c:extLst>
            <c:ext xmlns:c16="http://schemas.microsoft.com/office/drawing/2014/chart" uri="{C3380CC4-5D6E-409C-BE32-E72D297353CC}">
              <c16:uniqueId val="{00000000-87DD-40F7-8503-F13CDC99A066}"/>
            </c:ext>
          </c:extLst>
        </c:ser>
        <c:dLbls>
          <c:dLblPos val="outEnd"/>
          <c:showLegendKey val="0"/>
          <c:showVal val="1"/>
          <c:showCatName val="0"/>
          <c:showSerName val="0"/>
          <c:showPercent val="0"/>
          <c:showBubbleSize val="0"/>
        </c:dLbls>
        <c:gapWidth val="100"/>
        <c:overlap val="-24"/>
        <c:axId val="1021721056"/>
        <c:axId val="1028507920"/>
      </c:barChart>
      <c:catAx>
        <c:axId val="1021721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07920"/>
        <c:crosses val="autoZero"/>
        <c:auto val="1"/>
        <c:lblAlgn val="ctr"/>
        <c:lblOffset val="100"/>
        <c:noMultiLvlLbl val="0"/>
      </c:catAx>
      <c:valAx>
        <c:axId val="1028507920"/>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210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[Sales_Analysis.xlsx]category shares!PivotTable3</c:name>
    <c:fmtId val="7"/>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category wise revenue shares</a:t>
            </a:r>
          </a:p>
        </c:rich>
      </c:tx>
      <c:layout>
        <c:manualLayout>
          <c:xMode val="edge"/>
          <c:yMode val="edge"/>
          <c:x val="0.14706050343372445"/>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layout>
            <c:manualLayout>
              <c:x val="4.1666666666666664E-2"/>
              <c:y val="3.7037037037037014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5"/>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15:xForSave val="1"/>
            </c:ext>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4.1666666666666664E-2"/>
              <c:y val="3.7037037037037014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4.1666666666666664E-2"/>
              <c:y val="3.7037037037037014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776409350304726E-2"/>
          <c:y val="0.39140027460621973"/>
          <c:w val="0.79698620819444455"/>
          <c:h val="0.49817363415538612"/>
        </c:manualLayout>
      </c:layout>
      <c:pie3DChart>
        <c:varyColors val="1"/>
        <c:ser>
          <c:idx val="0"/>
          <c:order val="0"/>
          <c:tx>
            <c:strRef>
              <c:f>'category shares'!$B$3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EC8C-4A94-96DD-A06DEDC37305}"/>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EC8C-4A94-96DD-A06DEDC37305}"/>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EC8C-4A94-96DD-A06DEDC37305}"/>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EC8C-4A94-96DD-A06DEDC37305}"/>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EC8C-4A94-96DD-A06DEDC37305}"/>
              </c:ext>
            </c:extLst>
          </c:dPt>
          <c:dLbls>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1-EC8C-4A94-96DD-A06DEDC37305}"/>
                </c:ext>
              </c:extLst>
            </c:dLbl>
            <c:dLbl>
              <c:idx val="1"/>
              <c:layout>
                <c:manualLayout>
                  <c:x val="4.1666666666666664E-2"/>
                  <c:y val="3.7037037037037014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3-EC8C-4A94-96DD-A06DEDC37305}"/>
                </c:ext>
              </c:extLst>
            </c:dLbl>
            <c:dLbl>
              <c:idx val="2"/>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5-EC8C-4A94-96DD-A06DEDC37305}"/>
                </c:ext>
              </c:extLst>
            </c:dLbl>
            <c:dLbl>
              <c:idx val="3"/>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7-EC8C-4A94-96DD-A06DEDC37305}"/>
                </c:ext>
              </c:extLst>
            </c:dLbl>
            <c:dLbl>
              <c:idx val="4"/>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 xmlns:c16="http://schemas.microsoft.com/office/drawing/2014/chart" uri="{C3380CC4-5D6E-409C-BE32-E72D297353CC}">
                  <c16:uniqueId val="{00000009-EC8C-4A94-96DD-A06DEDC37305}"/>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solidFill>
                    <a:round/>
                  </a:ln>
                </c15:spPr>
              </c:ext>
            </c:extLst>
          </c:dLbls>
          <c:cat>
            <c:strRef>
              <c:f>'category shares'!$A$4:$A$8</c:f>
              <c:strCache>
                <c:ptCount val="5"/>
                <c:pt idx="0">
                  <c:v>Beauty</c:v>
                </c:pt>
                <c:pt idx="1">
                  <c:v>Books</c:v>
                </c:pt>
                <c:pt idx="2">
                  <c:v>Electronics</c:v>
                </c:pt>
                <c:pt idx="3">
                  <c:v>Fashion</c:v>
                </c:pt>
                <c:pt idx="4">
                  <c:v>Home &amp; Kitchen</c:v>
                </c:pt>
              </c:strCache>
            </c:strRef>
          </c:cat>
          <c:val>
            <c:numRef>
              <c:f>'category shares'!$B$4:$B$8</c:f>
              <c:numCache>
                <c:formatCode>0.00%</c:formatCode>
                <c:ptCount val="5"/>
                <c:pt idx="0">
                  <c:v>7.1813785434192215E-2</c:v>
                </c:pt>
                <c:pt idx="1">
                  <c:v>1.8992616619998015E-2</c:v>
                </c:pt>
                <c:pt idx="2">
                  <c:v>0.41235635863970949</c:v>
                </c:pt>
                <c:pt idx="3">
                  <c:v>0.19389495936224047</c:v>
                </c:pt>
                <c:pt idx="4">
                  <c:v>0.30294227994385986</c:v>
                </c:pt>
              </c:numCache>
            </c:numRef>
          </c:val>
          <c:extLst>
            <c:ext xmlns:c16="http://schemas.microsoft.com/office/drawing/2014/chart" uri="{C3380CC4-5D6E-409C-BE32-E72D297353CC}">
              <c16:uniqueId val="{0000000A-AA0A-4812-B2D6-B50273BAC4C1}"/>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[Sales_Analysis.xlsx]States wise order!PivotTable5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States by order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wise order'!$B$3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 wise order'!$A$4:$A$8</c:f>
              <c:strCache>
                <c:ptCount val="5"/>
                <c:pt idx="0">
                  <c:v>Bengaluru</c:v>
                </c:pt>
                <c:pt idx="1">
                  <c:v>Delhi</c:v>
                </c:pt>
                <c:pt idx="2">
                  <c:v>Hyderabad</c:v>
                </c:pt>
                <c:pt idx="3">
                  <c:v>Mumbai</c:v>
                </c:pt>
                <c:pt idx="4">
                  <c:v>Pune</c:v>
                </c:pt>
              </c:strCache>
            </c:strRef>
          </c:cat>
          <c:val>
            <c:numRef>
              <c:f>'States wise order'!$B$4:$B$8</c:f>
              <c:numCache>
                <c:formatCode>General</c:formatCode>
                <c:ptCount val="5"/>
                <c:pt idx="0">
                  <c:v>300</c:v>
                </c:pt>
                <c:pt idx="1">
                  <c:v>307</c:v>
                </c:pt>
                <c:pt idx="2">
                  <c:v>207</c:v>
                </c:pt>
                <c:pt idx="3">
                  <c:v>354</c:v>
                </c:pt>
                <c:pt idx="4">
                  <c:v>191</c:v>
                </c:pt>
              </c:numCache>
            </c:numRef>
          </c:val>
          <c:extLst>
            <c:ext xmlns:c16="http://schemas.microsoft.com/office/drawing/2014/chart" uri="{C3380CC4-5D6E-409C-BE32-E72D297353CC}">
              <c16:uniqueId val="{00000000-240D-46B8-B32E-6F14E6F63C26}"/>
            </c:ext>
          </c:extLst>
        </c:ser>
        <c:dLbls>
          <c:dLblPos val="outEnd"/>
          <c:showLegendKey val="0"/>
          <c:showVal val="1"/>
          <c:showCatName val="0"/>
          <c:showSerName val="0"/>
          <c:showPercent val="0"/>
          <c:showBubbleSize val="0"/>
        </c:dLbls>
        <c:gapWidth val="115"/>
        <c:overlap val="-20"/>
        <c:axId val="1021274512"/>
        <c:axId val="1028504560"/>
      </c:barChart>
      <c:catAx>
        <c:axId val="102127451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04560"/>
        <c:crosses val="autoZero"/>
        <c:auto val="1"/>
        <c:lblAlgn val="ctr"/>
        <c:lblOffset val="100"/>
        <c:noMultiLvlLbl val="0"/>
      </c:catAx>
      <c:valAx>
        <c:axId val="10285045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a:t>Number Of Order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74512"/>
        <c:crosses val="autoZero"/>
        <c:crossBetween val="between"/>
      </c:valAx>
      <c:spPr>
        <a:noFill/>
        <a:ln>
          <a:noFill/>
        </a:ln>
        <a:effectLst/>
      </c:spPr>
    </c:plotArea>
    <c:legend>
      <c:legendPos val="r"/>
      <c:layout>
        <c:manualLayout>
          <c:xMode val="edge"/>
          <c:yMode val="edge"/>
          <c:x val="0.81831474190726172"/>
          <c:y val="3.7742782152230966E-2"/>
          <c:w val="7.6215401628035556E-2"/>
          <c:h val="7.64151478231663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[Sales_Analysis.xlsx]category return!PivotTable7</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return'!$B$3:$B$4</c:f>
              <c:strCache>
                <c:ptCount val="1"/>
                <c:pt idx="0">
                  <c:v>Beauty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return'!$B$5:$B$7</c:f>
              <c:numCache>
                <c:formatCode>General</c:formatCode>
                <c:ptCount val="3"/>
                <c:pt idx="0">
                  <c:v>12</c:v>
                </c:pt>
                <c:pt idx="1">
                  <c:v>240</c:v>
                </c:pt>
                <c:pt idx="2">
                  <c:v>13</c:v>
                </c:pt>
              </c:numCache>
            </c:numRef>
          </c:val>
          <c:extLst>
            <c:ext xmlns:c16="http://schemas.microsoft.com/office/drawing/2014/chart" uri="{C3380CC4-5D6E-409C-BE32-E72D297353CC}">
              <c16:uniqueId val="{0000000A-FA05-442B-BE83-7F70747EC6D5}"/>
            </c:ext>
          </c:extLst>
        </c:ser>
        <c:ser>
          <c:idx val="1"/>
          <c:order val="1"/>
          <c:tx>
            <c:strRef>
              <c:f>'category return'!$C$3:$C$4</c:f>
              <c:strCache>
                <c:ptCount val="1"/>
                <c:pt idx="0">
                  <c:v>Books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return'!$C$5:$C$7</c:f>
              <c:numCache>
                <c:formatCode>General</c:formatCode>
                <c:ptCount val="3"/>
                <c:pt idx="0">
                  <c:v>7</c:v>
                </c:pt>
                <c:pt idx="1">
                  <c:v>164</c:v>
                </c:pt>
                <c:pt idx="2">
                  <c:v>3</c:v>
                </c:pt>
              </c:numCache>
            </c:numRef>
          </c:val>
          <c:extLst>
            <c:ext xmlns:c16="http://schemas.microsoft.com/office/drawing/2014/chart" uri="{C3380CC4-5D6E-409C-BE32-E72D297353CC}">
              <c16:uniqueId val="{0000000B-FA05-442B-BE83-7F70747EC6D5}"/>
            </c:ext>
          </c:extLst>
        </c:ser>
        <c:ser>
          <c:idx val="2"/>
          <c:order val="2"/>
          <c:tx>
            <c:strRef>
              <c:f>'category return'!$D$3:$D$4</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return'!$D$5:$D$7</c:f>
              <c:numCache>
                <c:formatCode>General</c:formatCode>
                <c:ptCount val="3"/>
                <c:pt idx="0">
                  <c:v>33</c:v>
                </c:pt>
                <c:pt idx="1">
                  <c:v>550</c:v>
                </c:pt>
                <c:pt idx="2">
                  <c:v>97</c:v>
                </c:pt>
              </c:numCache>
            </c:numRef>
          </c:val>
          <c:extLst>
            <c:ext xmlns:c16="http://schemas.microsoft.com/office/drawing/2014/chart" uri="{C3380CC4-5D6E-409C-BE32-E72D297353CC}">
              <c16:uniqueId val="{0000000C-FA05-442B-BE83-7F70747EC6D5}"/>
            </c:ext>
          </c:extLst>
        </c:ser>
        <c:ser>
          <c:idx val="3"/>
          <c:order val="3"/>
          <c:tx>
            <c:strRef>
              <c:f>'category return'!$E$3:$E$4</c:f>
              <c:strCache>
                <c:ptCount val="1"/>
                <c:pt idx="0">
                  <c:v>Fashion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return'!$E$5:$E$7</c:f>
              <c:numCache>
                <c:formatCode>General</c:formatCode>
                <c:ptCount val="3"/>
                <c:pt idx="0">
                  <c:v>24</c:v>
                </c:pt>
                <c:pt idx="1">
                  <c:v>388</c:v>
                </c:pt>
                <c:pt idx="2">
                  <c:v>66</c:v>
                </c:pt>
              </c:numCache>
            </c:numRef>
          </c:val>
          <c:extLst>
            <c:ext xmlns:c16="http://schemas.microsoft.com/office/drawing/2014/chart" uri="{C3380CC4-5D6E-409C-BE32-E72D297353CC}">
              <c16:uniqueId val="{0000000D-FA05-442B-BE83-7F70747EC6D5}"/>
            </c:ext>
          </c:extLst>
        </c:ser>
        <c:ser>
          <c:idx val="4"/>
          <c:order val="4"/>
          <c:tx>
            <c:strRef>
              <c:f>'category return'!$F$3:$F$4</c:f>
              <c:strCache>
                <c:ptCount val="1"/>
                <c:pt idx="0">
                  <c:v>Home &amp; Kitchen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return'!$A$5:$A$7</c:f>
              <c:strCache>
                <c:ptCount val="3"/>
                <c:pt idx="0">
                  <c:v>Cancelled</c:v>
                </c:pt>
                <c:pt idx="1">
                  <c:v>Delivered</c:v>
                </c:pt>
                <c:pt idx="2">
                  <c:v>Returned</c:v>
                </c:pt>
              </c:strCache>
            </c:strRef>
          </c:cat>
          <c:val>
            <c:numRef>
              <c:f>'category return'!$F$5:$F$7</c:f>
              <c:numCache>
                <c:formatCode>General</c:formatCode>
                <c:ptCount val="3"/>
                <c:pt idx="0">
                  <c:v>23</c:v>
                </c:pt>
                <c:pt idx="1">
                  <c:v>351</c:v>
                </c:pt>
                <c:pt idx="2">
                  <c:v>21</c:v>
                </c:pt>
              </c:numCache>
            </c:numRef>
          </c:val>
          <c:extLst>
            <c:ext xmlns:c16="http://schemas.microsoft.com/office/drawing/2014/chart" uri="{C3380CC4-5D6E-409C-BE32-E72D297353CC}">
              <c16:uniqueId val="{0000000F-FA05-442B-BE83-7F70747EC6D5}"/>
            </c:ext>
          </c:extLst>
        </c:ser>
        <c:dLbls>
          <c:dLblPos val="inEnd"/>
          <c:showLegendKey val="0"/>
          <c:showVal val="1"/>
          <c:showCatName val="0"/>
          <c:showSerName val="0"/>
          <c:showPercent val="0"/>
          <c:showBubbleSize val="0"/>
        </c:dLbls>
        <c:gapWidth val="100"/>
        <c:overlap val="-24"/>
        <c:axId val="1381854064"/>
        <c:axId val="1028517040"/>
      </c:barChart>
      <c:catAx>
        <c:axId val="13818540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t>Order</a:t>
                </a:r>
                <a:r>
                  <a:rPr lang="en-US" sz="1000" b="1" baseline="0"/>
                  <a:t> Status</a:t>
                </a:r>
                <a:endParaRPr lang="en-US" sz="1000" b="1"/>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17040"/>
        <c:crosses val="autoZero"/>
        <c:auto val="1"/>
        <c:lblAlgn val="ctr"/>
        <c:lblOffset val="100"/>
        <c:noMultiLvlLbl val="0"/>
      </c:catAx>
      <c:valAx>
        <c:axId val="102851704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t>Number</a:t>
                </a:r>
                <a:r>
                  <a:rPr lang="en-US" sz="1000" b="1" baseline="0"/>
                  <a:t> of order</a:t>
                </a:r>
                <a:endParaRPr lang="en-US" sz="1000"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54064"/>
        <c:crosses val="autoZero"/>
        <c:crossBetween val="between"/>
      </c:valAx>
      <c:spPr>
        <a:noFill/>
        <a:ln>
          <a:noFill/>
        </a:ln>
        <a:effectLst/>
      </c:spPr>
    </c:plotArea>
    <c:legend>
      <c:legendPos val="r"/>
      <c:layout>
        <c:manualLayout>
          <c:xMode val="edge"/>
          <c:yMode val="edge"/>
          <c:x val="0.74967541557305328"/>
          <c:y val="2.1052785068533086E-2"/>
          <c:w val="0.25032461842990256"/>
          <c:h val="0.46612576700193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[Sales_Analysis.xlsx]pamentmethod!PivotTable6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345647419072618"/>
          <c:y val="0.1902314814814815"/>
          <c:w val="0.61830293088363952"/>
          <c:h val="0.62271617089530473"/>
        </c:manualLayout>
      </c:layout>
      <c:bar3DChart>
        <c:barDir val="bar"/>
        <c:grouping val="clustered"/>
        <c:varyColors val="0"/>
        <c:ser>
          <c:idx val="0"/>
          <c:order val="0"/>
          <c:tx>
            <c:strRef>
              <c:f>pamentmethod!$B$3:$B$4</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pamentmethod!$B$5:$B$8</c:f>
              <c:numCache>
                <c:formatCode>General</c:formatCode>
                <c:ptCount val="4"/>
                <c:pt idx="0">
                  <c:v>39</c:v>
                </c:pt>
                <c:pt idx="1">
                  <c:v>27</c:v>
                </c:pt>
                <c:pt idx="2">
                  <c:v>17</c:v>
                </c:pt>
                <c:pt idx="3">
                  <c:v>73</c:v>
                </c:pt>
              </c:numCache>
            </c:numRef>
          </c:val>
          <c:extLst>
            <c:ext xmlns:c16="http://schemas.microsoft.com/office/drawing/2014/chart" uri="{C3380CC4-5D6E-409C-BE32-E72D297353CC}">
              <c16:uniqueId val="{00000000-ABDB-4DC5-8C7E-B6CE4A83184D}"/>
            </c:ext>
          </c:extLst>
        </c:ser>
        <c:ser>
          <c:idx val="1"/>
          <c:order val="1"/>
          <c:tx>
            <c:strRef>
              <c:f>pamentmethod!$C$3:$C$4</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pamentmethod!$C$5:$C$8</c:f>
              <c:numCache>
                <c:formatCode>General</c:formatCode>
                <c:ptCount val="4"/>
                <c:pt idx="0">
                  <c:v>97</c:v>
                </c:pt>
                <c:pt idx="1">
                  <c:v>90</c:v>
                </c:pt>
                <c:pt idx="2">
                  <c:v>26</c:v>
                </c:pt>
                <c:pt idx="3">
                  <c:v>176</c:v>
                </c:pt>
              </c:numCache>
            </c:numRef>
          </c:val>
          <c:extLst>
            <c:ext xmlns:c16="http://schemas.microsoft.com/office/drawing/2014/chart" uri="{C3380CC4-5D6E-409C-BE32-E72D297353CC}">
              <c16:uniqueId val="{00000001-ABDB-4DC5-8C7E-B6CE4A83184D}"/>
            </c:ext>
          </c:extLst>
        </c:ser>
        <c:ser>
          <c:idx val="2"/>
          <c:order val="2"/>
          <c:tx>
            <c:strRef>
              <c:f>pamentmethod!$D$3:$D$4</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pamentmethod!$D$5:$D$8</c:f>
              <c:numCache>
                <c:formatCode>General</c:formatCode>
                <c:ptCount val="4"/>
                <c:pt idx="0">
                  <c:v>158</c:v>
                </c:pt>
                <c:pt idx="1">
                  <c:v>139</c:v>
                </c:pt>
                <c:pt idx="2">
                  <c:v>66</c:v>
                </c:pt>
                <c:pt idx="3">
                  <c:v>322</c:v>
                </c:pt>
              </c:numCache>
            </c:numRef>
          </c:val>
          <c:extLst>
            <c:ext xmlns:c16="http://schemas.microsoft.com/office/drawing/2014/chart" uri="{C3380CC4-5D6E-409C-BE32-E72D297353CC}">
              <c16:uniqueId val="{00000002-ABDB-4DC5-8C7E-B6CE4A83184D}"/>
            </c:ext>
          </c:extLst>
        </c:ser>
        <c:ser>
          <c:idx val="3"/>
          <c:order val="3"/>
          <c:tx>
            <c:strRef>
              <c:f>pamentmethod!$E$3:$E$4</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pamentmethod!$E$5:$E$8</c:f>
              <c:numCache>
                <c:formatCode>General</c:formatCode>
                <c:ptCount val="4"/>
                <c:pt idx="0">
                  <c:v>201</c:v>
                </c:pt>
                <c:pt idx="1">
                  <c:v>168</c:v>
                </c:pt>
                <c:pt idx="2">
                  <c:v>64</c:v>
                </c:pt>
                <c:pt idx="3">
                  <c:v>329</c:v>
                </c:pt>
              </c:numCache>
            </c:numRef>
          </c:val>
          <c:extLst>
            <c:ext xmlns:c16="http://schemas.microsoft.com/office/drawing/2014/chart" uri="{C3380CC4-5D6E-409C-BE32-E72D297353CC}">
              <c16:uniqueId val="{00000003-ABDB-4DC5-8C7E-B6CE4A83184D}"/>
            </c:ext>
          </c:extLst>
        </c:ser>
        <c:ser>
          <c:idx val="4"/>
          <c:order val="4"/>
          <c:tx>
            <c:strRef>
              <c:f>pamentmethod!$F$3:$F$4</c:f>
              <c:strCache>
                <c:ptCount val="1"/>
                <c:pt idx="0">
                  <c:v>Unknown region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pamentmethod!$A$5:$A$8</c:f>
              <c:strCache>
                <c:ptCount val="4"/>
                <c:pt idx="0">
                  <c:v>Card</c:v>
                </c:pt>
                <c:pt idx="1">
                  <c:v>COD</c:v>
                </c:pt>
                <c:pt idx="2">
                  <c:v>Net Banking</c:v>
                </c:pt>
                <c:pt idx="3">
                  <c:v>UPI</c:v>
                </c:pt>
              </c:strCache>
            </c:strRef>
          </c:cat>
          <c:val>
            <c:numRef>
              <c:f>pamentmethod!$F$5:$F$8</c:f>
              <c:numCache>
                <c:formatCode>General</c:formatCode>
                <c:ptCount val="4"/>
                <c:pt idx="0">
                  <c:v>1</c:v>
                </c:pt>
                <c:pt idx="1">
                  <c:v>2</c:v>
                </c:pt>
                <c:pt idx="2">
                  <c:v>2</c:v>
                </c:pt>
                <c:pt idx="3">
                  <c:v>3</c:v>
                </c:pt>
              </c:numCache>
            </c:numRef>
          </c:val>
          <c:extLst>
            <c:ext xmlns:c16="http://schemas.microsoft.com/office/drawing/2014/chart" uri="{C3380CC4-5D6E-409C-BE32-E72D297353CC}">
              <c16:uniqueId val="{00000000-5879-4BA7-B002-9DEDF8AFEB45}"/>
            </c:ext>
          </c:extLst>
        </c:ser>
        <c:dLbls>
          <c:showLegendKey val="0"/>
          <c:showVal val="1"/>
          <c:showCatName val="0"/>
          <c:showSerName val="0"/>
          <c:showPercent val="0"/>
          <c:showBubbleSize val="0"/>
        </c:dLbls>
        <c:gapWidth val="150"/>
        <c:shape val="box"/>
        <c:axId val="1936875952"/>
        <c:axId val="1943877520"/>
        <c:axId val="0"/>
      </c:bar3DChart>
      <c:catAx>
        <c:axId val="193687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877520"/>
        <c:crosses val="autoZero"/>
        <c:auto val="1"/>
        <c:lblAlgn val="ctr"/>
        <c:lblOffset val="100"/>
        <c:noMultiLvlLbl val="0"/>
      </c:catAx>
      <c:valAx>
        <c:axId val="1943877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Numeber</a:t>
                </a:r>
                <a:r>
                  <a:rPr lang="en-US" baseline="0"/>
                  <a:t> of Payment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87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[Sales_Analysis.xlsx]Sales By region!PivotTable9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
        <c:idx val="2"/>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
        <c:idx val="2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8.9506172839506168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6.790123456790112E-2"/>
              <c:y val="-0.111111111111111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1604938271604938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10185185185185185"/>
              <c:y val="0.277777777777777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13117283950617287"/>
              <c:y val="-9.2592592592592587E-2"/>
            </c:manualLayout>
          </c:layout>
          <c:spPr>
            <a:xfrm>
              <a:off x="683667" y="192210"/>
              <a:ext cx="744699" cy="3340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585"/>
                    <a:gd name="adj2" fmla="val 62307"/>
                  </a:avLst>
                </a:prstGeom>
                <a:noFill/>
                <a:ln>
                  <a:noFill/>
                </a:ln>
              </c15:spPr>
              <c15:layout>
                <c:manualLayout>
                  <c:w val="0.18098060659084281"/>
                  <c:h val="0.12178769320501603"/>
                </c:manualLayout>
              </c15:layout>
            </c:ext>
          </c:extLst>
        </c:dLbl>
      </c:pivotFmt>
    </c:pivotFmts>
    <c:plotArea>
      <c:layout>
        <c:manualLayout>
          <c:layoutTarget val="inner"/>
          <c:xMode val="edge"/>
          <c:yMode val="edge"/>
          <c:x val="0.11348498104403616"/>
          <c:y val="0.17171296296296296"/>
          <c:w val="0.55836419753086419"/>
          <c:h val="0.82828703703703699"/>
        </c:manualLayout>
      </c:layout>
      <c:doughnutChart>
        <c:varyColors val="1"/>
        <c:ser>
          <c:idx val="0"/>
          <c:order val="0"/>
          <c:tx>
            <c:strRef>
              <c:f>'Sales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0A-4D0E-A4EA-7446ED3A34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0A-4D0E-A4EA-7446ED3A34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0A-4D0E-A4EA-7446ED3A34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0A-4D0E-A4EA-7446ED3A34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0A-4D0E-A4EA-7446ED3A3435}"/>
              </c:ext>
            </c:extLst>
          </c:dPt>
          <c:dLbls>
            <c:dLbl>
              <c:idx val="0"/>
              <c:layout>
                <c:manualLayout>
                  <c:x val="8.9506172839506168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0A-4D0E-A4EA-7446ED3A3435}"/>
                </c:ext>
              </c:extLst>
            </c:dLbl>
            <c:dLbl>
              <c:idx val="1"/>
              <c:layout>
                <c:manualLayout>
                  <c:x val="6.790123456790112E-2"/>
                  <c:y val="-0.111111111111111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0A-4D0E-A4EA-7446ED3A3435}"/>
                </c:ext>
              </c:extLst>
            </c:dLbl>
            <c:dLbl>
              <c:idx val="2"/>
              <c:layout>
                <c:manualLayout>
                  <c:x val="0.16049382716049382"/>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0A-4D0E-A4EA-7446ED3A3435}"/>
                </c:ext>
              </c:extLst>
            </c:dLbl>
            <c:dLbl>
              <c:idx val="3"/>
              <c:layout>
                <c:manualLayout>
                  <c:x val="-0.10185185185185185"/>
                  <c:y val="0.277777777777777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10A-4D0E-A4EA-7446ED3A343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region'!$A$4:$A$7</c:f>
              <c:strCache>
                <c:ptCount val="4"/>
                <c:pt idx="0">
                  <c:v>East</c:v>
                </c:pt>
                <c:pt idx="1">
                  <c:v>North</c:v>
                </c:pt>
                <c:pt idx="2">
                  <c:v>South</c:v>
                </c:pt>
                <c:pt idx="3">
                  <c:v>West</c:v>
                </c:pt>
              </c:strCache>
            </c:strRef>
          </c:cat>
          <c:val>
            <c:numRef>
              <c:f>'Sales By region'!$B$4:$B$7</c:f>
              <c:numCache>
                <c:formatCode>General</c:formatCode>
                <c:ptCount val="4"/>
                <c:pt idx="0">
                  <c:v>469185.24999999994</c:v>
                </c:pt>
                <c:pt idx="1">
                  <c:v>1106020.6999999995</c:v>
                </c:pt>
                <c:pt idx="2">
                  <c:v>1994031.600000002</c:v>
                </c:pt>
                <c:pt idx="3">
                  <c:v>2230497.8000000054</c:v>
                </c:pt>
              </c:numCache>
            </c:numRef>
          </c:val>
          <c:extLst>
            <c:ext xmlns:c16="http://schemas.microsoft.com/office/drawing/2014/chart" uri="{C3380CC4-5D6E-409C-BE32-E72D297353CC}">
              <c16:uniqueId val="{0000000A-E10A-4D0E-A4EA-7446ED3A343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4075119082336915"/>
          <c:y val="1.322761738116069E-2"/>
          <c:w val="0.25924870127748556"/>
          <c:h val="0.448567732861143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205740</xdr:colOff>
      <xdr:row>6</xdr:row>
      <xdr:rowOff>129540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E50A0AA1-F905-B772-CDD6-47DA810E5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198120</xdr:colOff>
      <xdr:row>6</xdr:row>
      <xdr:rowOff>121920</xdr:rowOff>
    </xdr:from>
    <xdr:to>
      <xdr:col>10</xdr:col>
      <xdr:colOff>106680</xdr:colOff>
      <xdr:row>23</xdr:row>
      <xdr:rowOff>0</xdr:rowOff>
    </xdr:to>
    <xdr:graphicFrame macro="">
      <xdr:nvGraphicFramePr>
        <xdr:cNvPr id="2" name="Chart 1">
          <a:extLst>
            <a:ext uri="{FF2B5EF4-FFF2-40B4-BE49-F238E27FC236}">
              <a16:creationId xmlns:a16="http://schemas.microsoft.com/office/drawing/2014/main" id="{A3ED2CE4-8502-3997-BC56-2409DCE34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175260</xdr:colOff>
      <xdr:row>7</xdr:row>
      <xdr:rowOff>106680</xdr:rowOff>
    </xdr:from>
    <xdr:to>
      <xdr:col>9</xdr:col>
      <xdr:colOff>533400</xdr:colOff>
      <xdr:row>22</xdr:row>
      <xdr:rowOff>106680</xdr:rowOff>
    </xdr:to>
    <xdr:graphicFrame macro="">
      <xdr:nvGraphicFramePr>
        <xdr:cNvPr id="2" name="Chart 1">
          <a:extLst>
            <a:ext uri="{FF2B5EF4-FFF2-40B4-BE49-F238E27FC236}">
              <a16:creationId xmlns:a16="http://schemas.microsoft.com/office/drawing/2014/main" id="{CA8A8085-3FFD-DD67-28B8-B7C4621DA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6</xdr:row>
      <xdr:rowOff>45720</xdr:rowOff>
    </xdr:from>
    <xdr:to>
      <xdr:col>11</xdr:col>
      <xdr:colOff>76200</xdr:colOff>
      <xdr:row>21</xdr:row>
      <xdr:rowOff>45720</xdr:rowOff>
    </xdr:to>
    <xdr:graphicFrame macro="">
      <xdr:nvGraphicFramePr>
        <xdr:cNvPr id="3" name="Chart 2">
          <a:extLst>
            <a:ext uri="{FF2B5EF4-FFF2-40B4-BE49-F238E27FC236}">
              <a16:creationId xmlns:a16="http://schemas.microsoft.com/office/drawing/2014/main" id="{BB85C9EE-41D7-F104-0CB9-D33118FF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10</xdr:row>
      <xdr:rowOff>30480</xdr:rowOff>
    </xdr:from>
    <xdr:to>
      <xdr:col>9</xdr:col>
      <xdr:colOff>175260</xdr:colOff>
      <xdr:row>25</xdr:row>
      <xdr:rowOff>30480</xdr:rowOff>
    </xdr:to>
    <xdr:graphicFrame macro="">
      <xdr:nvGraphicFramePr>
        <xdr:cNvPr id="3" name="Chart 2">
          <a:extLst>
            <a:ext uri="{FF2B5EF4-FFF2-40B4-BE49-F238E27FC236}">
              <a16:creationId xmlns:a16="http://schemas.microsoft.com/office/drawing/2014/main" id="{7E661266-BFCC-3E53-CB85-4FEA1198E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297180</xdr:colOff>
      <xdr:row>7</xdr:row>
      <xdr:rowOff>83820</xdr:rowOff>
    </xdr:from>
    <xdr:to>
      <xdr:col>16</xdr:col>
      <xdr:colOff>601980</xdr:colOff>
      <xdr:row>22</xdr:row>
      <xdr:rowOff>83820</xdr:rowOff>
    </xdr:to>
    <xdr:graphicFrame macro="">
      <xdr:nvGraphicFramePr>
        <xdr:cNvPr id="4" name="Chart 3">
          <a:extLst>
            <a:ext uri="{FF2B5EF4-FFF2-40B4-BE49-F238E27FC236}">
              <a16:creationId xmlns:a16="http://schemas.microsoft.com/office/drawing/2014/main" id="{EFFECA79-AC42-17FA-9F65-07CAE6605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335280</xdr:colOff>
      <xdr:row>8</xdr:row>
      <xdr:rowOff>160020</xdr:rowOff>
    </xdr:from>
    <xdr:to>
      <xdr:col>8</xdr:col>
      <xdr:colOff>579120</xdr:colOff>
      <xdr:row>20</xdr:row>
      <xdr:rowOff>83820</xdr:rowOff>
    </xdr:to>
    <xdr:graphicFrame macro="">
      <xdr:nvGraphicFramePr>
        <xdr:cNvPr id="3" name="Chart 2">
          <a:extLst>
            <a:ext uri="{FF2B5EF4-FFF2-40B4-BE49-F238E27FC236}">
              <a16:creationId xmlns:a16="http://schemas.microsoft.com/office/drawing/2014/main" id="{3EDB7AB0-B008-F7F7-86CE-F22CFC588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11</xdr:row>
      <xdr:rowOff>0</xdr:rowOff>
    </xdr:from>
    <xdr:to>
      <xdr:col>12</xdr:col>
      <xdr:colOff>15240</xdr:colOff>
      <xdr:row>24</xdr:row>
      <xdr:rowOff>11430</xdr:rowOff>
    </xdr:to>
    <xdr:graphicFrame macro="">
      <xdr:nvGraphicFramePr>
        <xdr:cNvPr id="5" name="Chart 4">
          <a:extLst>
            <a:ext uri="{FF2B5EF4-FFF2-40B4-BE49-F238E27FC236}">
              <a16:creationId xmlns:a16="http://schemas.microsoft.com/office/drawing/2014/main" id="{6B669799-54C0-4917-BFA9-2C443DD16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15</xdr:row>
      <xdr:rowOff>127001</xdr:rowOff>
    </xdr:from>
    <xdr:to>
      <xdr:col>4</xdr:col>
      <xdr:colOff>152400</xdr:colOff>
      <xdr:row>27</xdr:row>
      <xdr:rowOff>160867</xdr:rowOff>
    </xdr:to>
    <xdr:graphicFrame macro="">
      <xdr:nvGraphicFramePr>
        <xdr:cNvPr id="2" name="Chart 1">
          <a:extLst>
            <a:ext uri="{FF2B5EF4-FFF2-40B4-BE49-F238E27FC236}">
              <a16:creationId xmlns:a16="http://schemas.microsoft.com/office/drawing/2014/main" id="{4E0F4586-311E-4C58-9BEB-EDF4F68E5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192128</xdr:colOff>
      <xdr:row>15</xdr:row>
      <xdr:rowOff>117231</xdr:rowOff>
    </xdr:from>
    <xdr:to>
      <xdr:col>10</xdr:col>
      <xdr:colOff>78153</xdr:colOff>
      <xdr:row>27</xdr:row>
      <xdr:rowOff>166077</xdr:rowOff>
    </xdr:to>
    <xdr:graphicFrame macro="">
      <xdr:nvGraphicFramePr>
        <xdr:cNvPr id="4" name="Chart 3">
          <a:extLst>
            <a:ext uri="{FF2B5EF4-FFF2-40B4-BE49-F238E27FC236}">
              <a16:creationId xmlns:a16="http://schemas.microsoft.com/office/drawing/2014/main" id="{855921EE-5F95-4A16-90A8-4D298AE4E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136770</xdr:colOff>
      <xdr:row>15</xdr:row>
      <xdr:rowOff>136769</xdr:rowOff>
    </xdr:from>
    <xdr:to>
      <xdr:col>13</xdr:col>
      <xdr:colOff>1734366</xdr:colOff>
      <xdr:row>27</xdr:row>
      <xdr:rowOff>146539</xdr:rowOff>
    </xdr:to>
    <xdr:graphicFrame macro="">
      <xdr:nvGraphicFramePr>
        <xdr:cNvPr id="5" name="Chart 4">
          <a:extLst>
            <a:ext uri="{FF2B5EF4-FFF2-40B4-BE49-F238E27FC236}">
              <a16:creationId xmlns:a16="http://schemas.microsoft.com/office/drawing/2014/main" id="{192FF479-5A28-49C3-926C-2E2096A22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332155</xdr:colOff>
      <xdr:row>41</xdr:row>
      <xdr:rowOff>87923</xdr:rowOff>
    </xdr:from>
    <xdr:to>
      <xdr:col>6</xdr:col>
      <xdr:colOff>439615</xdr:colOff>
      <xdr:row>57</xdr:row>
      <xdr:rowOff>39077</xdr:rowOff>
    </xdr:to>
    <xdr:graphicFrame macro="">
      <xdr:nvGraphicFramePr>
        <xdr:cNvPr id="6" name="Chart 5">
          <a:extLst>
            <a:ext uri="{FF2B5EF4-FFF2-40B4-BE49-F238E27FC236}">
              <a16:creationId xmlns:a16="http://schemas.microsoft.com/office/drawing/2014/main" id="{7BAB0478-A569-4E14-8118-1606C1518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97692</xdr:colOff>
      <xdr:row>28</xdr:row>
      <xdr:rowOff>78154</xdr:rowOff>
    </xdr:from>
    <xdr:to>
      <xdr:col>13</xdr:col>
      <xdr:colOff>1758462</xdr:colOff>
      <xdr:row>41</xdr:row>
      <xdr:rowOff>58615</xdr:rowOff>
    </xdr:to>
    <xdr:graphicFrame macro="">
      <xdr:nvGraphicFramePr>
        <xdr:cNvPr id="8" name="Chart 7">
          <a:extLst>
            <a:ext uri="{FF2B5EF4-FFF2-40B4-BE49-F238E27FC236}">
              <a16:creationId xmlns:a16="http://schemas.microsoft.com/office/drawing/2014/main" id="{B157D856-02D4-40BE-86F7-92D902151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243254</xdr:colOff>
      <xdr:row>13</xdr:row>
      <xdr:rowOff>111955</xdr:rowOff>
    </xdr:from>
    <xdr:to>
      <xdr:col>23</xdr:col>
      <xdr:colOff>254977</xdr:colOff>
      <xdr:row>26</xdr:row>
      <xdr:rowOff>156161</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0B3B1BAD-961A-D54E-1279-98A44BF19E0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953424" y="2576295"/>
              <a:ext cx="1859979" cy="2378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98084</xdr:colOff>
      <xdr:row>0</xdr:row>
      <xdr:rowOff>0</xdr:rowOff>
    </xdr:from>
    <xdr:to>
      <xdr:col>20</xdr:col>
      <xdr:colOff>109807</xdr:colOff>
      <xdr:row>12</xdr:row>
      <xdr:rowOff>151667</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F4607A7-216B-A370-05BA-481FFB1FDA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59999" y="0"/>
              <a:ext cx="1859978" cy="2437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167836</xdr:colOff>
      <xdr:row>13</xdr:row>
      <xdr:rowOff>75614</xdr:rowOff>
    </xdr:from>
    <xdr:to>
      <xdr:col>20</xdr:col>
      <xdr:colOff>179559</xdr:colOff>
      <xdr:row>26</xdr:row>
      <xdr:rowOff>119820</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5080F3D5-7E30-0294-237B-4EB0D6A22D14}"/>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4029751" y="2539954"/>
              <a:ext cx="1859978" cy="2378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81280</xdr:colOff>
      <xdr:row>13</xdr:row>
      <xdr:rowOff>37905</xdr:rowOff>
    </xdr:from>
    <xdr:to>
      <xdr:col>17</xdr:col>
      <xdr:colOff>93003</xdr:colOff>
      <xdr:row>26</xdr:row>
      <xdr:rowOff>82111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6FF23BEA-AF65-648E-5F87-9B96656EE5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094940" y="2502245"/>
              <a:ext cx="1859978" cy="2378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64477</xdr:colOff>
      <xdr:row>0</xdr:row>
      <xdr:rowOff>0</xdr:rowOff>
    </xdr:from>
    <xdr:to>
      <xdr:col>17</xdr:col>
      <xdr:colOff>76200</xdr:colOff>
      <xdr:row>12</xdr:row>
      <xdr:rowOff>151667</xdr:rowOff>
    </xdr:to>
    <mc:AlternateContent xmlns:mc="http://schemas.openxmlformats.org/markup-compatibility/2006" xmlns:a14="http://schemas.microsoft.com/office/drawing/2010/main">
      <mc:Choice Requires="a14">
        <xdr:graphicFrame macro="">
          <xdr:nvGraphicFramePr>
            <xdr:cNvPr id="14" name="Payment Method">
              <a:extLst>
                <a:ext uri="{FF2B5EF4-FFF2-40B4-BE49-F238E27FC236}">
                  <a16:creationId xmlns:a16="http://schemas.microsoft.com/office/drawing/2014/main" id="{064F65AB-CB7F-85F4-DA71-55843C22232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078137" y="0"/>
              <a:ext cx="1859978" cy="2437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167445</xdr:colOff>
      <xdr:row>0</xdr:row>
      <xdr:rowOff>45915</xdr:rowOff>
    </xdr:from>
    <xdr:to>
      <xdr:col>23</xdr:col>
      <xdr:colOff>179168</xdr:colOff>
      <xdr:row>13</xdr:row>
      <xdr:rowOff>11967</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F2AF3AD0-6F99-0830-6368-370046ABB28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877615" y="45915"/>
              <a:ext cx="1859979" cy="2430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224693</xdr:colOff>
      <xdr:row>28</xdr:row>
      <xdr:rowOff>136768</xdr:rowOff>
    </xdr:from>
    <xdr:to>
      <xdr:col>10</xdr:col>
      <xdr:colOff>19539</xdr:colOff>
      <xdr:row>41</xdr:row>
      <xdr:rowOff>68385</xdr:rowOff>
    </xdr:to>
    <xdr:graphicFrame macro="">
      <xdr:nvGraphicFramePr>
        <xdr:cNvPr id="19" name="Chart 18">
          <a:extLst>
            <a:ext uri="{FF2B5EF4-FFF2-40B4-BE49-F238E27FC236}">
              <a16:creationId xmlns:a16="http://schemas.microsoft.com/office/drawing/2014/main" id="{DC933858-4BDB-46FD-872B-B47088DCF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74951</xdr:colOff>
      <xdr:row>28</xdr:row>
      <xdr:rowOff>99935</xdr:rowOff>
    </xdr:from>
    <xdr:to>
      <xdr:col>4</xdr:col>
      <xdr:colOff>112426</xdr:colOff>
      <xdr:row>41</xdr:row>
      <xdr:rowOff>24983</xdr:rowOff>
    </xdr:to>
    <xdr:graphicFrame macro="">
      <xdr:nvGraphicFramePr>
        <xdr:cNvPr id="7" name="Chart 6">
          <a:extLst>
            <a:ext uri="{FF2B5EF4-FFF2-40B4-BE49-F238E27FC236}">
              <a16:creationId xmlns:a16="http://schemas.microsoft.com/office/drawing/2014/main" id="{7B6DC655-3CCA-4AF0-A32A-88D6C18FE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320.889023148149" createdVersion="8" refreshedVersion="8" minRefreshableVersion="3" recordCount="2000" xr:uid="{4B7E0758-6938-4B1A-A513-5DA8D8268DDD}">
  <cacheSource type="worksheet">
    <worksheetSource name="Table1"/>
  </cacheSource>
  <cacheFields count="20">
    <cacheField name="Order ID" numFmtId="0">
      <sharedItems/>
    </cacheField>
    <cacheField name="Order Date" numFmtId="14">
      <sharedItems containsSemiMixedTypes="0" containsNonDate="0" containsDate="1" containsString="0" minDate="2025-01-01T00:00:00" maxDate="2026-01-01T00:00:00"/>
    </cacheField>
    <cacheField name="Month" numFmtId="14">
      <sharedItems count="12">
        <s v="Aug"/>
        <s v="Mar"/>
        <s v="Oct"/>
        <s v="Sep"/>
        <s v="Dec"/>
        <s v="Jul"/>
        <s v="Apr"/>
        <s v="Jan"/>
        <s v="May"/>
        <s v="Feb"/>
        <s v="Nov"/>
        <s v="Jun"/>
      </sharedItems>
    </cacheField>
    <cacheField name="Customer ID" numFmtId="0">
      <sharedItems/>
    </cacheField>
    <cacheField name="Customer City" numFmtId="0">
      <sharedItems containsBlank="1" count="11">
        <s v="Kolkata"/>
        <s v="Mumbai"/>
        <s v="Chennai"/>
        <s v="Delhi"/>
        <s v="Bengaluru"/>
        <s v="Lucknow"/>
        <s v="Hyderabad"/>
        <s v="Jaipur"/>
        <s v="Pune"/>
        <s v="Ahmedabad"/>
        <m/>
      </sharedItems>
    </cacheField>
    <cacheField name="State" numFmtId="0">
      <sharedItems count="10">
        <s v="Bengal"/>
        <s v="Maharashtra"/>
        <s v="Tamilnadu"/>
        <s v="Delhi"/>
        <s v="Karnataka"/>
        <s v="Utterpradesh"/>
        <s v="Telangana"/>
        <s v="Rajasthan"/>
        <s v="Gujrat"/>
        <s v="Unknown"/>
      </sharedItems>
    </cacheField>
    <cacheField name="Region" numFmtId="0">
      <sharedItems count="6">
        <s v="East"/>
        <s v="West"/>
        <s v="South"/>
        <s v="North"/>
        <s v="Unknown region"/>
        <s v="Invalid region" u="1"/>
      </sharedItems>
    </cacheField>
    <cacheField name="Product Name" numFmtId="0">
      <sharedItems count="23">
        <s v="Handbag"/>
        <s v="Smartwatch"/>
        <s v="Cookware Set"/>
        <s v="Women Kurti"/>
        <s v="Novel"/>
        <s v="Sneakers"/>
        <s v="Jeans"/>
        <s v="Power Bank"/>
        <s v="Bluetooth Speaker"/>
        <s v="Earbuds"/>
        <s v="Men T-Shirt"/>
        <s v="Air Fryer"/>
        <s v="Wireless Mouse"/>
        <s v="Water Bottle"/>
        <s v="Lipstick"/>
        <s v="Self-Help Book"/>
        <s v="Hair Dryer"/>
        <s v="Webcam"/>
        <s v="Perfume"/>
        <s v="Bedsheet Set"/>
        <s v="Study Guide"/>
        <s v="Face Serum"/>
        <s v="Mixer Grinder"/>
      </sharedItems>
    </cacheField>
    <cacheField name="Category" numFmtId="0">
      <sharedItems count="5">
        <s v="Fashion"/>
        <s v="Electronics"/>
        <s v="Home &amp; Kitchen"/>
        <s v="Books"/>
        <s v="Beauty"/>
      </sharedItems>
    </cacheField>
    <cacheField name="Quantity" numFmtId="0">
      <sharedItems containsSemiMixedTypes="0" containsString="0" containsNumber="1" containsInteger="1" minValue="1" maxValue="5"/>
    </cacheField>
    <cacheField name="Unit Price" numFmtId="164">
      <sharedItems containsSemiMixedTypes="0" containsString="0" containsNumber="1" containsInteger="1" minValue="299" maxValue="5499"/>
    </cacheField>
    <cacheField name="Discount %" numFmtId="9">
      <sharedItems containsSemiMixedTypes="0" containsString="0" containsNumber="1" minValue="0" maxValue="0.25"/>
    </cacheField>
    <cacheField name="Discounted_amt" numFmtId="165">
      <sharedItems containsSemiMixedTypes="0" containsString="0" containsNumber="1" minValue="0" maxValue="1374.75"/>
    </cacheField>
    <cacheField name="Gross_revenue" numFmtId="165">
      <sharedItems containsSemiMixedTypes="0" containsString="0" containsNumber="1" containsInteger="1" minValue="299" maxValue="27495"/>
    </cacheField>
    <cacheField name="Net_revenue" numFmtId="165">
      <sharedItems containsSemiMixedTypes="0" containsString="0" containsNumber="1" minValue="224.25" maxValue="26670.15"/>
    </cacheField>
    <cacheField name="Payment Method" numFmtId="0">
      <sharedItems count="4">
        <s v="Card"/>
        <s v="Net Banking"/>
        <s v="COD"/>
        <s v="UPI"/>
      </sharedItems>
    </cacheField>
    <cacheField name="Order Status" numFmtId="0">
      <sharedItems count="3">
        <s v="Delivered"/>
        <s v="Returned"/>
        <s v="Cancelled"/>
      </sharedItems>
    </cacheField>
    <cacheField name="Shipping Cost" numFmtId="0">
      <sharedItems containsSemiMixedTypes="0" containsString="0" containsNumber="1" containsInteger="1" minValue="0" maxValue="80"/>
    </cacheField>
    <cacheField name="revenue %" numFmtId="9">
      <sharedItems containsSemiMixedTypes="0" containsString="0" containsNumber="1" minValue="0.75" maxValue="1"/>
    </cacheField>
    <cacheField name="repeated "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297532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5001"/>
    <d v="2025-08-27T00:00:00"/>
    <x v="0"/>
    <s v="CUST-389"/>
    <x v="0"/>
    <x v="0"/>
    <x v="0"/>
    <x v="0"/>
    <x v="0"/>
    <n v="1"/>
    <n v="1799"/>
    <n v="0.25"/>
    <n v="449.75"/>
    <n v="1799"/>
    <n v="1349.25"/>
    <x v="0"/>
    <x v="0"/>
    <n v="40"/>
    <n v="0.75"/>
    <n v="0"/>
  </r>
  <r>
    <s v="ORD-5002"/>
    <d v="2025-03-14T00:00:00"/>
    <x v="1"/>
    <s v="CUST-849"/>
    <x v="1"/>
    <x v="1"/>
    <x v="1"/>
    <x v="1"/>
    <x v="1"/>
    <n v="1"/>
    <n v="3999"/>
    <n v="0"/>
    <n v="0"/>
    <n v="3999"/>
    <n v="3999"/>
    <x v="1"/>
    <x v="0"/>
    <n v="80"/>
    <n v="1"/>
    <n v="0"/>
  </r>
  <r>
    <s v="ORD-5003"/>
    <d v="2025-10-27T00:00:00"/>
    <x v="2"/>
    <s v="CUST-447"/>
    <x v="2"/>
    <x v="2"/>
    <x v="2"/>
    <x v="2"/>
    <x v="2"/>
    <n v="1"/>
    <n v="2799"/>
    <n v="0"/>
    <n v="0"/>
    <n v="2799"/>
    <n v="2799"/>
    <x v="2"/>
    <x v="0"/>
    <n v="60"/>
    <n v="1"/>
    <n v="0"/>
  </r>
  <r>
    <s v="ORD-5004"/>
    <d v="2025-09-23T00:00:00"/>
    <x v="3"/>
    <s v="CUST-878"/>
    <x v="1"/>
    <x v="1"/>
    <x v="1"/>
    <x v="3"/>
    <x v="0"/>
    <n v="2"/>
    <n v="899"/>
    <n v="0.1"/>
    <n v="89.9"/>
    <n v="1798"/>
    <n v="1708.1"/>
    <x v="0"/>
    <x v="0"/>
    <n v="80"/>
    <n v="0.95"/>
    <n v="0"/>
  </r>
  <r>
    <s v="ORD-5005"/>
    <d v="2025-12-29T00:00:00"/>
    <x v="4"/>
    <s v="CUST-495"/>
    <x v="1"/>
    <x v="1"/>
    <x v="1"/>
    <x v="4"/>
    <x v="3"/>
    <n v="1"/>
    <n v="349"/>
    <n v="0.1"/>
    <n v="34.9"/>
    <n v="349"/>
    <n v="314.10000000000002"/>
    <x v="0"/>
    <x v="0"/>
    <n v="0"/>
    <n v="0.9"/>
    <n v="0"/>
  </r>
  <r>
    <s v="ORD-5006"/>
    <d v="2025-07-17T00:00:00"/>
    <x v="5"/>
    <s v="CUST-200"/>
    <x v="3"/>
    <x v="3"/>
    <x v="3"/>
    <x v="5"/>
    <x v="0"/>
    <n v="4"/>
    <n v="2299"/>
    <n v="0"/>
    <n v="0"/>
    <n v="9196"/>
    <n v="9196"/>
    <x v="1"/>
    <x v="0"/>
    <n v="0"/>
    <n v="1"/>
    <n v="0"/>
  </r>
  <r>
    <s v="ORD-5007"/>
    <d v="2025-08-03T00:00:00"/>
    <x v="0"/>
    <s v="CUST-891"/>
    <x v="3"/>
    <x v="3"/>
    <x v="3"/>
    <x v="6"/>
    <x v="0"/>
    <n v="2"/>
    <n v="1599"/>
    <n v="0"/>
    <n v="0"/>
    <n v="3198"/>
    <n v="3198"/>
    <x v="3"/>
    <x v="0"/>
    <n v="60"/>
    <n v="1"/>
    <n v="0"/>
  </r>
  <r>
    <s v="ORD-5008"/>
    <d v="2025-03-02T00:00:00"/>
    <x v="1"/>
    <s v="CUST-261"/>
    <x v="4"/>
    <x v="4"/>
    <x v="2"/>
    <x v="7"/>
    <x v="1"/>
    <n v="1"/>
    <n v="1299"/>
    <n v="0.05"/>
    <n v="64.95"/>
    <n v="1299"/>
    <n v="1234.05"/>
    <x v="0"/>
    <x v="1"/>
    <n v="40"/>
    <n v="0.95"/>
    <n v="0"/>
  </r>
  <r>
    <s v="ORD-5009"/>
    <d v="2025-03-09T00:00:00"/>
    <x v="1"/>
    <s v="CUST-630"/>
    <x v="5"/>
    <x v="5"/>
    <x v="3"/>
    <x v="3"/>
    <x v="0"/>
    <n v="2"/>
    <n v="899"/>
    <n v="0.2"/>
    <n v="179.8"/>
    <n v="1798"/>
    <n v="1618.2"/>
    <x v="3"/>
    <x v="1"/>
    <n v="60"/>
    <n v="0.9"/>
    <n v="0"/>
  </r>
  <r>
    <s v="ORD-5010"/>
    <d v="2025-04-18T00:00:00"/>
    <x v="6"/>
    <s v="CUST-857"/>
    <x v="6"/>
    <x v="6"/>
    <x v="2"/>
    <x v="4"/>
    <x v="3"/>
    <n v="1"/>
    <n v="349"/>
    <n v="0.05"/>
    <n v="17.45"/>
    <n v="349"/>
    <n v="331.55"/>
    <x v="3"/>
    <x v="0"/>
    <n v="40"/>
    <n v="0.95000000000000007"/>
    <n v="0"/>
  </r>
  <r>
    <s v="ORD-5011"/>
    <d v="2025-01-05T00:00:00"/>
    <x v="7"/>
    <s v="CUST-276"/>
    <x v="1"/>
    <x v="1"/>
    <x v="1"/>
    <x v="1"/>
    <x v="1"/>
    <n v="3"/>
    <n v="3999"/>
    <n v="0.15"/>
    <n v="599.85"/>
    <n v="11997"/>
    <n v="11397.15"/>
    <x v="0"/>
    <x v="0"/>
    <n v="40"/>
    <n v="0.95"/>
    <n v="0"/>
  </r>
  <r>
    <s v="ORD-5012"/>
    <d v="2025-07-10T00:00:00"/>
    <x v="5"/>
    <s v="CUST-788"/>
    <x v="1"/>
    <x v="1"/>
    <x v="1"/>
    <x v="1"/>
    <x v="1"/>
    <n v="1"/>
    <n v="3999"/>
    <n v="0.25"/>
    <n v="999.75"/>
    <n v="3999"/>
    <n v="2999.25"/>
    <x v="3"/>
    <x v="0"/>
    <n v="40"/>
    <n v="0.75"/>
    <n v="0"/>
  </r>
  <r>
    <s v="ORD-5013"/>
    <d v="2025-10-06T00:00:00"/>
    <x v="2"/>
    <s v="CUST-694"/>
    <x v="2"/>
    <x v="2"/>
    <x v="2"/>
    <x v="8"/>
    <x v="1"/>
    <n v="2"/>
    <n v="2499"/>
    <n v="0.1"/>
    <n v="249.9"/>
    <n v="4998"/>
    <n v="4748.1000000000004"/>
    <x v="3"/>
    <x v="0"/>
    <n v="0"/>
    <n v="0.95000000000000007"/>
    <n v="0"/>
  </r>
  <r>
    <s v="ORD-5014"/>
    <d v="2025-05-11T00:00:00"/>
    <x v="8"/>
    <s v="CUST-630"/>
    <x v="0"/>
    <x v="0"/>
    <x v="0"/>
    <x v="9"/>
    <x v="1"/>
    <n v="2"/>
    <n v="1899"/>
    <n v="0.1"/>
    <n v="189.9"/>
    <n v="3798"/>
    <n v="3608.1"/>
    <x v="0"/>
    <x v="0"/>
    <n v="60"/>
    <n v="0.95"/>
    <n v="0"/>
  </r>
  <r>
    <s v="ORD-5015"/>
    <d v="2025-03-06T00:00:00"/>
    <x v="1"/>
    <s v="CUST-830"/>
    <x v="2"/>
    <x v="2"/>
    <x v="2"/>
    <x v="10"/>
    <x v="0"/>
    <n v="1"/>
    <n v="599"/>
    <n v="0.1"/>
    <n v="59.900000000000006"/>
    <n v="599"/>
    <n v="539.1"/>
    <x v="3"/>
    <x v="0"/>
    <n v="40"/>
    <n v="0.9"/>
    <n v="0"/>
  </r>
  <r>
    <s v="ORD-5016"/>
    <d v="2025-05-18T00:00:00"/>
    <x v="8"/>
    <s v="CUST-380"/>
    <x v="3"/>
    <x v="3"/>
    <x v="3"/>
    <x v="11"/>
    <x v="2"/>
    <n v="1"/>
    <n v="5499"/>
    <n v="0.2"/>
    <n v="1099.8"/>
    <n v="5499"/>
    <n v="4399.2"/>
    <x v="0"/>
    <x v="2"/>
    <n v="40"/>
    <n v="0.79999999999999993"/>
    <n v="0"/>
  </r>
  <r>
    <s v="ORD-5017"/>
    <d v="2025-08-19T00:00:00"/>
    <x v="0"/>
    <s v="CUST-798"/>
    <x v="7"/>
    <x v="7"/>
    <x v="1"/>
    <x v="8"/>
    <x v="1"/>
    <n v="2"/>
    <n v="2499"/>
    <n v="0.15"/>
    <n v="374.84999999999997"/>
    <n v="4998"/>
    <n v="4623.1499999999996"/>
    <x v="0"/>
    <x v="0"/>
    <n v="0"/>
    <n v="0.92499999999999993"/>
    <n v="0"/>
  </r>
  <r>
    <s v="ORD-5018"/>
    <d v="2025-12-25T00:00:00"/>
    <x v="4"/>
    <s v="CUST-851"/>
    <x v="1"/>
    <x v="1"/>
    <x v="1"/>
    <x v="5"/>
    <x v="0"/>
    <n v="4"/>
    <n v="2299"/>
    <n v="0.1"/>
    <n v="229.9"/>
    <n v="9196"/>
    <n v="8966.1"/>
    <x v="3"/>
    <x v="1"/>
    <n v="60"/>
    <n v="0.97500000000000009"/>
    <n v="0"/>
  </r>
  <r>
    <s v="ORD-5019"/>
    <d v="2025-02-08T00:00:00"/>
    <x v="9"/>
    <s v="CUST-332"/>
    <x v="0"/>
    <x v="0"/>
    <x v="0"/>
    <x v="12"/>
    <x v="1"/>
    <n v="1"/>
    <n v="799"/>
    <n v="0.25"/>
    <n v="199.75"/>
    <n v="799"/>
    <n v="599.25"/>
    <x v="2"/>
    <x v="0"/>
    <n v="60"/>
    <n v="0.75"/>
    <n v="0"/>
  </r>
  <r>
    <s v="ORD-5020"/>
    <d v="2025-02-09T00:00:00"/>
    <x v="9"/>
    <s v="CUST-711"/>
    <x v="6"/>
    <x v="6"/>
    <x v="2"/>
    <x v="7"/>
    <x v="1"/>
    <n v="4"/>
    <n v="1299"/>
    <n v="0.2"/>
    <n v="259.8"/>
    <n v="5196"/>
    <n v="4936.2"/>
    <x v="0"/>
    <x v="1"/>
    <n v="80"/>
    <n v="0.95"/>
    <n v="0"/>
  </r>
  <r>
    <s v="ORD-5021"/>
    <d v="2025-10-21T00:00:00"/>
    <x v="2"/>
    <s v="CUST-538"/>
    <x v="4"/>
    <x v="4"/>
    <x v="2"/>
    <x v="10"/>
    <x v="0"/>
    <n v="5"/>
    <n v="599"/>
    <n v="0"/>
    <n v="0"/>
    <n v="2995"/>
    <n v="2995"/>
    <x v="2"/>
    <x v="0"/>
    <n v="80"/>
    <n v="1"/>
    <n v="0"/>
  </r>
  <r>
    <s v="ORD-5022"/>
    <d v="2025-02-12T00:00:00"/>
    <x v="9"/>
    <s v="CUST-222"/>
    <x v="3"/>
    <x v="3"/>
    <x v="3"/>
    <x v="0"/>
    <x v="0"/>
    <n v="1"/>
    <n v="1799"/>
    <n v="0"/>
    <n v="0"/>
    <n v="1799"/>
    <n v="1799"/>
    <x v="0"/>
    <x v="1"/>
    <n v="80"/>
    <n v="1"/>
    <n v="0"/>
  </r>
  <r>
    <s v="ORD-5023"/>
    <d v="2025-05-11T00:00:00"/>
    <x v="8"/>
    <s v="CUST-826"/>
    <x v="3"/>
    <x v="3"/>
    <x v="3"/>
    <x v="13"/>
    <x v="2"/>
    <n v="1"/>
    <n v="449"/>
    <n v="0"/>
    <n v="0"/>
    <n v="449"/>
    <n v="449"/>
    <x v="3"/>
    <x v="0"/>
    <n v="60"/>
    <n v="1"/>
    <n v="0"/>
  </r>
  <r>
    <s v="ORD-5024"/>
    <d v="2025-09-13T00:00:00"/>
    <x v="3"/>
    <s v="CUST-403"/>
    <x v="2"/>
    <x v="2"/>
    <x v="2"/>
    <x v="13"/>
    <x v="2"/>
    <n v="1"/>
    <n v="449"/>
    <n v="0.1"/>
    <n v="44.900000000000006"/>
    <n v="449"/>
    <n v="404.1"/>
    <x v="2"/>
    <x v="0"/>
    <n v="40"/>
    <n v="0.9"/>
    <n v="0"/>
  </r>
  <r>
    <s v="ORD-5025"/>
    <d v="2025-04-23T00:00:00"/>
    <x v="6"/>
    <s v="CUST-559"/>
    <x v="0"/>
    <x v="0"/>
    <x v="0"/>
    <x v="14"/>
    <x v="4"/>
    <n v="1"/>
    <n v="399"/>
    <n v="0.15"/>
    <n v="59.849999999999994"/>
    <n v="399"/>
    <n v="339.15"/>
    <x v="2"/>
    <x v="0"/>
    <n v="0"/>
    <n v="0.85"/>
    <n v="0"/>
  </r>
  <r>
    <s v="ORD-5026"/>
    <d v="2025-03-28T00:00:00"/>
    <x v="1"/>
    <s v="CUST-419"/>
    <x v="0"/>
    <x v="0"/>
    <x v="0"/>
    <x v="15"/>
    <x v="3"/>
    <n v="1"/>
    <n v="299"/>
    <n v="0"/>
    <n v="0"/>
    <n v="299"/>
    <n v="299"/>
    <x v="3"/>
    <x v="0"/>
    <n v="80"/>
    <n v="1"/>
    <n v="0"/>
  </r>
  <r>
    <s v="ORD-5027"/>
    <d v="2025-08-20T00:00:00"/>
    <x v="0"/>
    <s v="CUST-822"/>
    <x v="1"/>
    <x v="1"/>
    <x v="1"/>
    <x v="2"/>
    <x v="2"/>
    <n v="1"/>
    <n v="2799"/>
    <n v="0.15"/>
    <n v="419.84999999999997"/>
    <n v="2799"/>
    <n v="2379.15"/>
    <x v="2"/>
    <x v="1"/>
    <n v="60"/>
    <n v="0.85"/>
    <n v="0"/>
  </r>
  <r>
    <s v="ORD-5028"/>
    <d v="2025-01-10T00:00:00"/>
    <x v="7"/>
    <s v="CUST-472"/>
    <x v="3"/>
    <x v="3"/>
    <x v="3"/>
    <x v="9"/>
    <x v="1"/>
    <n v="1"/>
    <n v="1899"/>
    <n v="0.05"/>
    <n v="94.95"/>
    <n v="1899"/>
    <n v="1804.05"/>
    <x v="3"/>
    <x v="2"/>
    <n v="0"/>
    <n v="0.95"/>
    <n v="0"/>
  </r>
  <r>
    <s v="ORD-5029"/>
    <d v="2025-08-17T00:00:00"/>
    <x v="0"/>
    <s v="CUST-577"/>
    <x v="7"/>
    <x v="7"/>
    <x v="1"/>
    <x v="4"/>
    <x v="3"/>
    <n v="2"/>
    <n v="349"/>
    <n v="0"/>
    <n v="0"/>
    <n v="698"/>
    <n v="698"/>
    <x v="0"/>
    <x v="0"/>
    <n v="40"/>
    <n v="1"/>
    <n v="0"/>
  </r>
  <r>
    <s v="ORD-5030"/>
    <d v="2025-04-02T00:00:00"/>
    <x v="6"/>
    <s v="CUST-237"/>
    <x v="1"/>
    <x v="1"/>
    <x v="1"/>
    <x v="16"/>
    <x v="4"/>
    <n v="2"/>
    <n v="1599"/>
    <n v="0"/>
    <n v="0"/>
    <n v="3198"/>
    <n v="3198"/>
    <x v="3"/>
    <x v="0"/>
    <n v="60"/>
    <n v="1"/>
    <n v="0"/>
  </r>
  <r>
    <s v="ORD-5031"/>
    <d v="2025-09-14T00:00:00"/>
    <x v="3"/>
    <s v="CUST-429"/>
    <x v="1"/>
    <x v="1"/>
    <x v="1"/>
    <x v="0"/>
    <x v="0"/>
    <n v="1"/>
    <n v="1799"/>
    <n v="0.05"/>
    <n v="89.95"/>
    <n v="1799"/>
    <n v="1709.05"/>
    <x v="1"/>
    <x v="0"/>
    <n v="80"/>
    <n v="0.95"/>
    <n v="0"/>
  </r>
  <r>
    <s v="ORD-5589"/>
    <d v="2025-08-11T00:00:00"/>
    <x v="0"/>
    <s v="CUST-403"/>
    <x v="4"/>
    <x v="4"/>
    <x v="2"/>
    <x v="10"/>
    <x v="0"/>
    <n v="2"/>
    <n v="599"/>
    <n v="0.1"/>
    <n v="59.900000000000006"/>
    <n v="1198"/>
    <n v="1138.0999999999999"/>
    <x v="2"/>
    <x v="0"/>
    <n v="80"/>
    <n v="0.95"/>
    <n v="0"/>
  </r>
  <r>
    <s v="ORD-5032"/>
    <d v="2025-04-11T00:00:00"/>
    <x v="6"/>
    <s v="CUST-714"/>
    <x v="0"/>
    <x v="0"/>
    <x v="0"/>
    <x v="7"/>
    <x v="1"/>
    <n v="1"/>
    <n v="1299"/>
    <n v="0"/>
    <n v="0"/>
    <n v="1299"/>
    <n v="1299"/>
    <x v="1"/>
    <x v="0"/>
    <n v="80"/>
    <n v="1"/>
    <n v="0"/>
  </r>
  <r>
    <s v="ORD-5033"/>
    <d v="2025-02-20T00:00:00"/>
    <x v="9"/>
    <s v="CUST-289"/>
    <x v="5"/>
    <x v="5"/>
    <x v="3"/>
    <x v="8"/>
    <x v="1"/>
    <n v="1"/>
    <n v="2499"/>
    <n v="0"/>
    <n v="0"/>
    <n v="2499"/>
    <n v="2499"/>
    <x v="0"/>
    <x v="0"/>
    <n v="60"/>
    <n v="1"/>
    <n v="0"/>
  </r>
  <r>
    <s v="ORD-5034"/>
    <d v="2025-01-09T00:00:00"/>
    <x v="7"/>
    <s v="CUST-550"/>
    <x v="6"/>
    <x v="6"/>
    <x v="2"/>
    <x v="17"/>
    <x v="1"/>
    <n v="1"/>
    <n v="2199"/>
    <n v="0.15"/>
    <n v="329.84999999999997"/>
    <n v="2199"/>
    <n v="1869.15"/>
    <x v="2"/>
    <x v="1"/>
    <n v="80"/>
    <n v="0.85000000000000009"/>
    <n v="0"/>
  </r>
  <r>
    <s v="ORD-5035"/>
    <d v="2025-02-02T00:00:00"/>
    <x v="9"/>
    <s v="CUST-543"/>
    <x v="8"/>
    <x v="1"/>
    <x v="1"/>
    <x v="18"/>
    <x v="4"/>
    <n v="2"/>
    <n v="1299"/>
    <n v="0.2"/>
    <n v="259.8"/>
    <n v="2598"/>
    <n v="2338.1999999999998"/>
    <x v="2"/>
    <x v="0"/>
    <n v="80"/>
    <n v="0.89999999999999991"/>
    <n v="0"/>
  </r>
  <r>
    <s v="ORD-5036"/>
    <d v="2025-09-23T00:00:00"/>
    <x v="3"/>
    <s v="CUST-288"/>
    <x v="8"/>
    <x v="1"/>
    <x v="1"/>
    <x v="9"/>
    <x v="1"/>
    <n v="4"/>
    <n v="1899"/>
    <n v="0.25"/>
    <n v="474.75"/>
    <n v="7596"/>
    <n v="7121.25"/>
    <x v="3"/>
    <x v="0"/>
    <n v="60"/>
    <n v="0.9375"/>
    <n v="0"/>
  </r>
  <r>
    <s v="ORD-5037"/>
    <d v="2025-09-25T00:00:00"/>
    <x v="3"/>
    <s v="CUST-824"/>
    <x v="3"/>
    <x v="3"/>
    <x v="3"/>
    <x v="18"/>
    <x v="4"/>
    <n v="1"/>
    <n v="1299"/>
    <n v="0.1"/>
    <n v="129.9"/>
    <n v="1299"/>
    <n v="1169.0999999999999"/>
    <x v="2"/>
    <x v="0"/>
    <n v="60"/>
    <n v="0.89999999999999991"/>
    <n v="0"/>
  </r>
  <r>
    <s v="ORD-5038"/>
    <d v="2025-07-30T00:00:00"/>
    <x v="5"/>
    <s v="CUST-228"/>
    <x v="6"/>
    <x v="6"/>
    <x v="2"/>
    <x v="3"/>
    <x v="0"/>
    <n v="1"/>
    <n v="899"/>
    <n v="0"/>
    <n v="0"/>
    <n v="899"/>
    <n v="899"/>
    <x v="3"/>
    <x v="0"/>
    <n v="80"/>
    <n v="1"/>
    <n v="0"/>
  </r>
  <r>
    <s v="ORD-5039"/>
    <d v="2025-03-04T00:00:00"/>
    <x v="1"/>
    <s v="CUST-751"/>
    <x v="4"/>
    <x v="4"/>
    <x v="2"/>
    <x v="0"/>
    <x v="0"/>
    <n v="1"/>
    <n v="1799"/>
    <n v="0.25"/>
    <n v="449.75"/>
    <n v="1799"/>
    <n v="1349.25"/>
    <x v="1"/>
    <x v="2"/>
    <n v="80"/>
    <n v="0.75"/>
    <n v="0"/>
  </r>
  <r>
    <s v="ORD-5040"/>
    <d v="2025-09-10T00:00:00"/>
    <x v="3"/>
    <s v="CUST-687"/>
    <x v="6"/>
    <x v="6"/>
    <x v="2"/>
    <x v="7"/>
    <x v="1"/>
    <n v="1"/>
    <n v="1299"/>
    <n v="0.05"/>
    <n v="64.95"/>
    <n v="1299"/>
    <n v="1234.05"/>
    <x v="3"/>
    <x v="0"/>
    <n v="80"/>
    <n v="0.95"/>
    <n v="0"/>
  </r>
  <r>
    <s v="ORD-5041"/>
    <d v="2025-03-08T00:00:00"/>
    <x v="1"/>
    <s v="CUST-212"/>
    <x v="8"/>
    <x v="1"/>
    <x v="1"/>
    <x v="19"/>
    <x v="2"/>
    <n v="1"/>
    <n v="1499"/>
    <n v="0"/>
    <n v="0"/>
    <n v="1499"/>
    <n v="1499"/>
    <x v="3"/>
    <x v="0"/>
    <n v="60"/>
    <n v="1"/>
    <n v="0"/>
  </r>
  <r>
    <s v="ORD-5042"/>
    <d v="2025-02-23T00:00:00"/>
    <x v="9"/>
    <s v="CUST-722"/>
    <x v="2"/>
    <x v="2"/>
    <x v="2"/>
    <x v="7"/>
    <x v="1"/>
    <n v="2"/>
    <n v="1299"/>
    <n v="0.25"/>
    <n v="324.75"/>
    <n v="2598"/>
    <n v="2273.25"/>
    <x v="2"/>
    <x v="1"/>
    <n v="80"/>
    <n v="0.875"/>
    <n v="0"/>
  </r>
  <r>
    <s v="ORD-5043"/>
    <d v="2025-07-31T00:00:00"/>
    <x v="5"/>
    <s v="CUST-746"/>
    <x v="2"/>
    <x v="2"/>
    <x v="2"/>
    <x v="17"/>
    <x v="1"/>
    <n v="1"/>
    <n v="2199"/>
    <n v="0.05"/>
    <n v="109.95"/>
    <n v="2199"/>
    <n v="2089.0500000000002"/>
    <x v="0"/>
    <x v="0"/>
    <n v="40"/>
    <n v="0.95000000000000007"/>
    <n v="0"/>
  </r>
  <r>
    <s v="ORD-5044"/>
    <d v="2025-11-18T00:00:00"/>
    <x v="10"/>
    <s v="CUST-399"/>
    <x v="3"/>
    <x v="3"/>
    <x v="3"/>
    <x v="17"/>
    <x v="1"/>
    <n v="1"/>
    <n v="2199"/>
    <n v="0.05"/>
    <n v="109.95"/>
    <n v="2199"/>
    <n v="2089.0500000000002"/>
    <x v="1"/>
    <x v="0"/>
    <n v="0"/>
    <n v="0.95000000000000007"/>
    <n v="0"/>
  </r>
  <r>
    <s v="ORD-5045"/>
    <d v="2025-03-09T00:00:00"/>
    <x v="1"/>
    <s v="CUST-631"/>
    <x v="6"/>
    <x v="6"/>
    <x v="2"/>
    <x v="8"/>
    <x v="1"/>
    <n v="1"/>
    <n v="2499"/>
    <n v="0"/>
    <n v="0"/>
    <n v="2499"/>
    <n v="2499"/>
    <x v="2"/>
    <x v="1"/>
    <n v="40"/>
    <n v="1"/>
    <n v="0"/>
  </r>
  <r>
    <s v="ORD-5046"/>
    <d v="2025-02-19T00:00:00"/>
    <x v="9"/>
    <s v="CUST-569"/>
    <x v="1"/>
    <x v="1"/>
    <x v="1"/>
    <x v="10"/>
    <x v="0"/>
    <n v="2"/>
    <n v="599"/>
    <n v="0.1"/>
    <n v="59.900000000000006"/>
    <n v="1198"/>
    <n v="1138.0999999999999"/>
    <x v="0"/>
    <x v="0"/>
    <n v="60"/>
    <n v="0.95"/>
    <n v="0"/>
  </r>
  <r>
    <s v="ORD-5047"/>
    <d v="2025-02-06T00:00:00"/>
    <x v="9"/>
    <s v="CUST-764"/>
    <x v="2"/>
    <x v="2"/>
    <x v="2"/>
    <x v="3"/>
    <x v="0"/>
    <n v="1"/>
    <n v="899"/>
    <n v="0.25"/>
    <n v="224.75"/>
    <n v="899"/>
    <n v="674.25"/>
    <x v="2"/>
    <x v="1"/>
    <n v="80"/>
    <n v="0.75"/>
    <n v="0"/>
  </r>
  <r>
    <s v="ORD-5048"/>
    <d v="2025-02-28T00:00:00"/>
    <x v="9"/>
    <s v="CUST-489"/>
    <x v="7"/>
    <x v="7"/>
    <x v="1"/>
    <x v="8"/>
    <x v="1"/>
    <n v="1"/>
    <n v="2499"/>
    <n v="0.1"/>
    <n v="249.9"/>
    <n v="2499"/>
    <n v="2249.1"/>
    <x v="3"/>
    <x v="2"/>
    <n v="0"/>
    <n v="0.89999999999999991"/>
    <n v="0"/>
  </r>
  <r>
    <s v="ORD-5049"/>
    <d v="2025-08-25T00:00:00"/>
    <x v="0"/>
    <s v="CUST-678"/>
    <x v="4"/>
    <x v="4"/>
    <x v="2"/>
    <x v="17"/>
    <x v="1"/>
    <n v="2"/>
    <n v="2199"/>
    <n v="0"/>
    <n v="0"/>
    <n v="4398"/>
    <n v="4398"/>
    <x v="3"/>
    <x v="0"/>
    <n v="40"/>
    <n v="1"/>
    <n v="0"/>
  </r>
  <r>
    <s v="ORD-5050"/>
    <d v="2025-11-21T00:00:00"/>
    <x v="10"/>
    <s v="CUST-579"/>
    <x v="4"/>
    <x v="4"/>
    <x v="2"/>
    <x v="11"/>
    <x v="2"/>
    <n v="1"/>
    <n v="5499"/>
    <n v="0.1"/>
    <n v="549.9"/>
    <n v="5499"/>
    <n v="4949.1000000000004"/>
    <x v="3"/>
    <x v="0"/>
    <n v="40"/>
    <n v="0.9"/>
    <n v="0"/>
  </r>
  <r>
    <s v="ORD-5051"/>
    <d v="2025-06-15T00:00:00"/>
    <x v="11"/>
    <s v="CUST-844"/>
    <x v="7"/>
    <x v="7"/>
    <x v="1"/>
    <x v="12"/>
    <x v="1"/>
    <n v="3"/>
    <n v="799"/>
    <n v="0"/>
    <n v="0"/>
    <n v="2397"/>
    <n v="2397"/>
    <x v="0"/>
    <x v="0"/>
    <n v="40"/>
    <n v="1"/>
    <n v="0"/>
  </r>
  <r>
    <s v="ORD-5052"/>
    <d v="2025-05-13T00:00:00"/>
    <x v="8"/>
    <s v="CUST-363"/>
    <x v="0"/>
    <x v="0"/>
    <x v="0"/>
    <x v="5"/>
    <x v="0"/>
    <n v="3"/>
    <n v="2299"/>
    <n v="0.1"/>
    <n v="229.9"/>
    <n v="6897"/>
    <n v="6667.1"/>
    <x v="3"/>
    <x v="0"/>
    <n v="60"/>
    <n v="0.96666666666666667"/>
    <n v="0"/>
  </r>
  <r>
    <s v="ORD-5053"/>
    <d v="2025-08-10T00:00:00"/>
    <x v="0"/>
    <s v="CUST-272"/>
    <x v="0"/>
    <x v="0"/>
    <x v="0"/>
    <x v="16"/>
    <x v="4"/>
    <n v="1"/>
    <n v="1599"/>
    <n v="0.05"/>
    <n v="79.95"/>
    <n v="1599"/>
    <n v="1519.05"/>
    <x v="3"/>
    <x v="0"/>
    <n v="0"/>
    <n v="0.95"/>
    <n v="0"/>
  </r>
  <r>
    <s v="ORD-5054"/>
    <d v="2025-11-24T00:00:00"/>
    <x v="10"/>
    <s v="CUST-882"/>
    <x v="3"/>
    <x v="3"/>
    <x v="3"/>
    <x v="1"/>
    <x v="1"/>
    <n v="1"/>
    <n v="3999"/>
    <n v="0"/>
    <n v="0"/>
    <n v="3999"/>
    <n v="3999"/>
    <x v="3"/>
    <x v="0"/>
    <n v="80"/>
    <n v="1"/>
    <n v="0"/>
  </r>
  <r>
    <s v="ORD-5055"/>
    <d v="2025-02-09T00:00:00"/>
    <x v="9"/>
    <s v="CUST-418"/>
    <x v="8"/>
    <x v="1"/>
    <x v="1"/>
    <x v="0"/>
    <x v="0"/>
    <n v="1"/>
    <n v="1799"/>
    <n v="0.2"/>
    <n v="359.8"/>
    <n v="1799"/>
    <n v="1439.2"/>
    <x v="2"/>
    <x v="0"/>
    <n v="0"/>
    <n v="0.8"/>
    <n v="0"/>
  </r>
  <r>
    <s v="ORD-5056"/>
    <d v="2025-05-02T00:00:00"/>
    <x v="8"/>
    <s v="CUST-400"/>
    <x v="2"/>
    <x v="2"/>
    <x v="2"/>
    <x v="12"/>
    <x v="1"/>
    <n v="1"/>
    <n v="799"/>
    <n v="0.1"/>
    <n v="79.900000000000006"/>
    <n v="799"/>
    <n v="719.1"/>
    <x v="3"/>
    <x v="0"/>
    <n v="60"/>
    <n v="0.9"/>
    <n v="0"/>
  </r>
  <r>
    <s v="ORD-5057"/>
    <d v="2025-10-09T00:00:00"/>
    <x v="2"/>
    <s v="CUST-302"/>
    <x v="2"/>
    <x v="2"/>
    <x v="2"/>
    <x v="1"/>
    <x v="1"/>
    <n v="4"/>
    <n v="3999"/>
    <n v="0.2"/>
    <n v="799.80000000000007"/>
    <n v="15996"/>
    <n v="15196.2"/>
    <x v="2"/>
    <x v="0"/>
    <n v="0"/>
    <n v="0.95000000000000007"/>
    <n v="0"/>
  </r>
  <r>
    <s v="ORD-5058"/>
    <d v="2025-07-17T00:00:00"/>
    <x v="5"/>
    <s v="CUST-707"/>
    <x v="6"/>
    <x v="6"/>
    <x v="2"/>
    <x v="10"/>
    <x v="0"/>
    <n v="1"/>
    <n v="599"/>
    <n v="0.05"/>
    <n v="29.950000000000003"/>
    <n v="599"/>
    <n v="569.04999999999995"/>
    <x v="0"/>
    <x v="0"/>
    <n v="80"/>
    <n v="0.95"/>
    <n v="0"/>
  </r>
  <r>
    <s v="ORD-5059"/>
    <d v="2025-05-26T00:00:00"/>
    <x v="8"/>
    <s v="CUST-492"/>
    <x v="4"/>
    <x v="4"/>
    <x v="2"/>
    <x v="15"/>
    <x v="3"/>
    <n v="2"/>
    <n v="299"/>
    <n v="0.2"/>
    <n v="59.800000000000004"/>
    <n v="598"/>
    <n v="538.20000000000005"/>
    <x v="3"/>
    <x v="0"/>
    <n v="60"/>
    <n v="0.9"/>
    <n v="0"/>
  </r>
  <r>
    <s v="ORD-5060"/>
    <d v="2025-01-14T00:00:00"/>
    <x v="7"/>
    <s v="CUST-848"/>
    <x v="1"/>
    <x v="1"/>
    <x v="1"/>
    <x v="19"/>
    <x v="2"/>
    <n v="2"/>
    <n v="1499"/>
    <n v="0"/>
    <n v="0"/>
    <n v="2998"/>
    <n v="2998"/>
    <x v="2"/>
    <x v="0"/>
    <n v="80"/>
    <n v="1"/>
    <n v="0"/>
  </r>
  <r>
    <s v="ORD-5061"/>
    <d v="2025-07-23T00:00:00"/>
    <x v="5"/>
    <s v="CUST-526"/>
    <x v="1"/>
    <x v="1"/>
    <x v="1"/>
    <x v="1"/>
    <x v="1"/>
    <n v="2"/>
    <n v="3999"/>
    <n v="0"/>
    <n v="0"/>
    <n v="7998"/>
    <n v="7998"/>
    <x v="2"/>
    <x v="0"/>
    <n v="80"/>
    <n v="1"/>
    <n v="0"/>
  </r>
  <r>
    <s v="ORD-5062"/>
    <d v="2025-05-05T00:00:00"/>
    <x v="8"/>
    <s v="CUST-679"/>
    <x v="1"/>
    <x v="1"/>
    <x v="1"/>
    <x v="19"/>
    <x v="2"/>
    <n v="1"/>
    <n v="1499"/>
    <n v="0"/>
    <n v="0"/>
    <n v="1499"/>
    <n v="1499"/>
    <x v="1"/>
    <x v="0"/>
    <n v="40"/>
    <n v="1"/>
    <n v="0"/>
  </r>
  <r>
    <s v="ORD-5063"/>
    <d v="2025-01-26T00:00:00"/>
    <x v="7"/>
    <s v="CUST-253"/>
    <x v="4"/>
    <x v="4"/>
    <x v="2"/>
    <x v="11"/>
    <x v="2"/>
    <n v="1"/>
    <n v="5499"/>
    <n v="0.2"/>
    <n v="1099.8"/>
    <n v="5499"/>
    <n v="4399.2"/>
    <x v="3"/>
    <x v="0"/>
    <n v="60"/>
    <n v="0.79999999999999993"/>
    <n v="0"/>
  </r>
  <r>
    <s v="ORD-5064"/>
    <d v="2025-08-22T00:00:00"/>
    <x v="0"/>
    <s v="CUST-572"/>
    <x v="0"/>
    <x v="0"/>
    <x v="0"/>
    <x v="6"/>
    <x v="0"/>
    <n v="2"/>
    <n v="1599"/>
    <n v="0.1"/>
    <n v="159.9"/>
    <n v="3198"/>
    <n v="3038.1"/>
    <x v="0"/>
    <x v="0"/>
    <n v="40"/>
    <n v="0.95"/>
    <n v="0"/>
  </r>
  <r>
    <s v="ORD-5065"/>
    <d v="2025-03-07T00:00:00"/>
    <x v="1"/>
    <s v="CUST-516"/>
    <x v="0"/>
    <x v="0"/>
    <x v="0"/>
    <x v="20"/>
    <x v="3"/>
    <n v="1"/>
    <n v="499"/>
    <n v="0.1"/>
    <n v="49.900000000000006"/>
    <n v="499"/>
    <n v="449.1"/>
    <x v="0"/>
    <x v="0"/>
    <n v="60"/>
    <n v="0.9"/>
    <n v="0"/>
  </r>
  <r>
    <s v="ORD-5066"/>
    <d v="2025-12-17T00:00:00"/>
    <x v="4"/>
    <s v="CUST-394"/>
    <x v="7"/>
    <x v="7"/>
    <x v="1"/>
    <x v="9"/>
    <x v="1"/>
    <n v="2"/>
    <n v="1899"/>
    <n v="0.1"/>
    <n v="189.9"/>
    <n v="3798"/>
    <n v="3608.1"/>
    <x v="0"/>
    <x v="0"/>
    <n v="40"/>
    <n v="0.95"/>
    <n v="0"/>
  </r>
  <r>
    <s v="ORD-5067"/>
    <d v="2025-11-09T00:00:00"/>
    <x v="10"/>
    <s v="CUST-427"/>
    <x v="6"/>
    <x v="6"/>
    <x v="2"/>
    <x v="21"/>
    <x v="4"/>
    <n v="1"/>
    <n v="699"/>
    <n v="0.2"/>
    <n v="139.80000000000001"/>
    <n v="699"/>
    <n v="559.20000000000005"/>
    <x v="3"/>
    <x v="1"/>
    <n v="0"/>
    <n v="0.8"/>
    <n v="0"/>
  </r>
  <r>
    <s v="ORD-5068"/>
    <d v="2025-11-16T00:00:00"/>
    <x v="10"/>
    <s v="CUST-706"/>
    <x v="8"/>
    <x v="1"/>
    <x v="1"/>
    <x v="18"/>
    <x v="4"/>
    <n v="1"/>
    <n v="1299"/>
    <n v="0.25"/>
    <n v="324.75"/>
    <n v="1299"/>
    <n v="974.25"/>
    <x v="2"/>
    <x v="0"/>
    <n v="0"/>
    <n v="0.75"/>
    <n v="0"/>
  </r>
  <r>
    <s v="ORD-5069"/>
    <d v="2025-11-16T00:00:00"/>
    <x v="10"/>
    <s v="CUST-599"/>
    <x v="0"/>
    <x v="0"/>
    <x v="0"/>
    <x v="14"/>
    <x v="4"/>
    <n v="1"/>
    <n v="399"/>
    <n v="0.1"/>
    <n v="39.900000000000006"/>
    <n v="399"/>
    <n v="359.1"/>
    <x v="3"/>
    <x v="0"/>
    <n v="60"/>
    <n v="0.9"/>
    <n v="0"/>
  </r>
  <r>
    <s v="ORD-5070"/>
    <d v="2025-04-05T00:00:00"/>
    <x v="6"/>
    <s v="CUST-673"/>
    <x v="9"/>
    <x v="8"/>
    <x v="1"/>
    <x v="17"/>
    <x v="1"/>
    <n v="2"/>
    <n v="2199"/>
    <n v="0.2"/>
    <n v="439.8"/>
    <n v="4398"/>
    <n v="3958.2"/>
    <x v="3"/>
    <x v="0"/>
    <n v="0"/>
    <n v="0.89999999999999991"/>
    <n v="0"/>
  </r>
  <r>
    <s v="ORD-5071"/>
    <d v="2025-09-06T00:00:00"/>
    <x v="3"/>
    <s v="CUST-277"/>
    <x v="3"/>
    <x v="3"/>
    <x v="3"/>
    <x v="0"/>
    <x v="0"/>
    <n v="1"/>
    <n v="1799"/>
    <n v="0.25"/>
    <n v="449.75"/>
    <n v="1799"/>
    <n v="1349.25"/>
    <x v="2"/>
    <x v="0"/>
    <n v="0"/>
    <n v="0.75"/>
    <n v="0"/>
  </r>
  <r>
    <s v="ORD-5072"/>
    <d v="2025-12-22T00:00:00"/>
    <x v="4"/>
    <s v="CUST-566"/>
    <x v="2"/>
    <x v="2"/>
    <x v="2"/>
    <x v="13"/>
    <x v="2"/>
    <n v="1"/>
    <n v="449"/>
    <n v="0.15"/>
    <n v="67.349999999999994"/>
    <n v="449"/>
    <n v="381.65"/>
    <x v="3"/>
    <x v="0"/>
    <n v="0"/>
    <n v="0.85"/>
    <n v="0"/>
  </r>
  <r>
    <s v="ORD-5073"/>
    <d v="2025-10-19T00:00:00"/>
    <x v="2"/>
    <s v="CUST-512"/>
    <x v="4"/>
    <x v="4"/>
    <x v="2"/>
    <x v="7"/>
    <x v="1"/>
    <n v="1"/>
    <n v="1299"/>
    <n v="0.1"/>
    <n v="129.9"/>
    <n v="1299"/>
    <n v="1169.0999999999999"/>
    <x v="3"/>
    <x v="0"/>
    <n v="40"/>
    <n v="0.89999999999999991"/>
    <n v="0"/>
  </r>
  <r>
    <s v="ORD-5074"/>
    <d v="2025-01-13T00:00:00"/>
    <x v="7"/>
    <s v="CUST-399"/>
    <x v="8"/>
    <x v="1"/>
    <x v="1"/>
    <x v="1"/>
    <x v="1"/>
    <n v="2"/>
    <n v="3999"/>
    <n v="0.15"/>
    <n v="599.85"/>
    <n v="7998"/>
    <n v="7398.15"/>
    <x v="3"/>
    <x v="0"/>
    <n v="80"/>
    <n v="0.92499999999999993"/>
    <n v="0"/>
  </r>
  <r>
    <s v="ORD-5075"/>
    <d v="2025-10-25T00:00:00"/>
    <x v="2"/>
    <s v="CUST-222"/>
    <x v="3"/>
    <x v="3"/>
    <x v="3"/>
    <x v="0"/>
    <x v="0"/>
    <n v="3"/>
    <n v="1799"/>
    <n v="0.25"/>
    <n v="449.75"/>
    <n v="5397"/>
    <n v="4947.25"/>
    <x v="3"/>
    <x v="0"/>
    <n v="40"/>
    <n v="0.91666666666666663"/>
    <n v="0"/>
  </r>
  <r>
    <s v="ORD-5076"/>
    <d v="2025-11-30T00:00:00"/>
    <x v="10"/>
    <s v="CUST-758"/>
    <x v="1"/>
    <x v="1"/>
    <x v="1"/>
    <x v="10"/>
    <x v="0"/>
    <n v="1"/>
    <n v="599"/>
    <n v="0.2"/>
    <n v="119.80000000000001"/>
    <n v="599"/>
    <n v="479.2"/>
    <x v="3"/>
    <x v="0"/>
    <n v="0"/>
    <n v="0.79999999999999993"/>
    <n v="0"/>
  </r>
  <r>
    <s v="ORD-5077"/>
    <d v="2025-01-14T00:00:00"/>
    <x v="7"/>
    <s v="CUST-632"/>
    <x v="3"/>
    <x v="3"/>
    <x v="3"/>
    <x v="21"/>
    <x v="4"/>
    <n v="1"/>
    <n v="699"/>
    <n v="0.05"/>
    <n v="34.950000000000003"/>
    <n v="699"/>
    <n v="664.05"/>
    <x v="3"/>
    <x v="0"/>
    <n v="60"/>
    <n v="0.95"/>
    <n v="0"/>
  </r>
  <r>
    <s v="ORD-5078"/>
    <d v="2025-06-29T00:00:00"/>
    <x v="11"/>
    <s v="CUST-339"/>
    <x v="6"/>
    <x v="6"/>
    <x v="2"/>
    <x v="13"/>
    <x v="2"/>
    <n v="3"/>
    <n v="449"/>
    <n v="0.15"/>
    <n v="67.349999999999994"/>
    <n v="1347"/>
    <n v="1279.6500000000001"/>
    <x v="0"/>
    <x v="0"/>
    <n v="0"/>
    <n v="0.95000000000000007"/>
    <n v="0"/>
  </r>
  <r>
    <s v="ORD-5079"/>
    <d v="2025-07-30T00:00:00"/>
    <x v="5"/>
    <s v="CUST-291"/>
    <x v="10"/>
    <x v="9"/>
    <x v="4"/>
    <x v="11"/>
    <x v="2"/>
    <n v="3"/>
    <n v="5499"/>
    <n v="0.15"/>
    <n v="824.85"/>
    <n v="16497"/>
    <n v="15672.15"/>
    <x v="1"/>
    <x v="0"/>
    <n v="0"/>
    <n v="0.95"/>
    <n v="0"/>
  </r>
  <r>
    <s v="ORD-5080"/>
    <d v="2025-02-26T00:00:00"/>
    <x v="9"/>
    <s v="CUST-451"/>
    <x v="8"/>
    <x v="1"/>
    <x v="1"/>
    <x v="10"/>
    <x v="0"/>
    <n v="4"/>
    <n v="599"/>
    <n v="0.2"/>
    <n v="119.80000000000001"/>
    <n v="2396"/>
    <n v="2276.1999999999998"/>
    <x v="1"/>
    <x v="0"/>
    <n v="80"/>
    <n v="0.95"/>
    <n v="0"/>
  </r>
  <r>
    <s v="ORD-5081"/>
    <d v="2025-04-15T00:00:00"/>
    <x v="6"/>
    <s v="CUST-260"/>
    <x v="4"/>
    <x v="4"/>
    <x v="2"/>
    <x v="19"/>
    <x v="2"/>
    <n v="1"/>
    <n v="1499"/>
    <n v="0.2"/>
    <n v="299.8"/>
    <n v="1499"/>
    <n v="1199.2"/>
    <x v="2"/>
    <x v="0"/>
    <n v="60"/>
    <n v="0.8"/>
    <n v="0"/>
  </r>
  <r>
    <s v="ORD-5082"/>
    <d v="2025-02-01T00:00:00"/>
    <x v="9"/>
    <s v="CUST-237"/>
    <x v="3"/>
    <x v="3"/>
    <x v="3"/>
    <x v="22"/>
    <x v="2"/>
    <n v="1"/>
    <n v="3299"/>
    <n v="0.25"/>
    <n v="824.75"/>
    <n v="3299"/>
    <n v="2474.25"/>
    <x v="3"/>
    <x v="0"/>
    <n v="60"/>
    <n v="0.75"/>
    <n v="0"/>
  </r>
  <r>
    <s v="ORD-5083"/>
    <d v="2025-11-04T00:00:00"/>
    <x v="10"/>
    <s v="CUST-612"/>
    <x v="1"/>
    <x v="1"/>
    <x v="1"/>
    <x v="8"/>
    <x v="1"/>
    <n v="1"/>
    <n v="2499"/>
    <n v="0.1"/>
    <n v="249.9"/>
    <n v="2499"/>
    <n v="2249.1"/>
    <x v="2"/>
    <x v="0"/>
    <n v="60"/>
    <n v="0.89999999999999991"/>
    <n v="0"/>
  </r>
  <r>
    <s v="ORD-5084"/>
    <d v="2025-09-03T00:00:00"/>
    <x v="3"/>
    <s v="CUST-550"/>
    <x v="2"/>
    <x v="2"/>
    <x v="2"/>
    <x v="2"/>
    <x v="2"/>
    <n v="1"/>
    <n v="2799"/>
    <n v="0.1"/>
    <n v="279.90000000000003"/>
    <n v="2799"/>
    <n v="2519.1"/>
    <x v="2"/>
    <x v="0"/>
    <n v="0"/>
    <n v="0.9"/>
    <n v="0"/>
  </r>
  <r>
    <s v="ORD-5085"/>
    <d v="2025-07-24T00:00:00"/>
    <x v="5"/>
    <s v="CUST-594"/>
    <x v="5"/>
    <x v="5"/>
    <x v="3"/>
    <x v="3"/>
    <x v="0"/>
    <n v="1"/>
    <n v="899"/>
    <n v="0"/>
    <n v="0"/>
    <n v="899"/>
    <n v="899"/>
    <x v="2"/>
    <x v="2"/>
    <n v="60"/>
    <n v="1"/>
    <n v="0"/>
  </r>
  <r>
    <s v="ORD-5086"/>
    <d v="2025-12-03T00:00:00"/>
    <x v="4"/>
    <s v="CUST-580"/>
    <x v="4"/>
    <x v="4"/>
    <x v="2"/>
    <x v="11"/>
    <x v="2"/>
    <n v="3"/>
    <n v="5499"/>
    <n v="0.1"/>
    <n v="549.9"/>
    <n v="16497"/>
    <n v="15947.1"/>
    <x v="3"/>
    <x v="0"/>
    <n v="80"/>
    <n v="0.96666666666666667"/>
    <n v="0"/>
  </r>
  <r>
    <s v="ORD-5087"/>
    <d v="2025-08-01T00:00:00"/>
    <x v="0"/>
    <s v="CUST-728"/>
    <x v="1"/>
    <x v="1"/>
    <x v="1"/>
    <x v="22"/>
    <x v="2"/>
    <n v="2"/>
    <n v="3299"/>
    <n v="0.05"/>
    <n v="164.95000000000002"/>
    <n v="6598"/>
    <n v="6433.05"/>
    <x v="2"/>
    <x v="0"/>
    <n v="60"/>
    <n v="0.97499999999999998"/>
    <n v="0"/>
  </r>
  <r>
    <s v="ORD-5088"/>
    <d v="2025-03-19T00:00:00"/>
    <x v="1"/>
    <s v="CUST-352"/>
    <x v="0"/>
    <x v="0"/>
    <x v="0"/>
    <x v="10"/>
    <x v="0"/>
    <n v="1"/>
    <n v="599"/>
    <n v="0.05"/>
    <n v="29.950000000000003"/>
    <n v="599"/>
    <n v="569.04999999999995"/>
    <x v="3"/>
    <x v="0"/>
    <n v="60"/>
    <n v="0.95"/>
    <n v="0"/>
  </r>
  <r>
    <s v="ORD-5089"/>
    <d v="2025-02-19T00:00:00"/>
    <x v="9"/>
    <s v="CUST-800"/>
    <x v="6"/>
    <x v="6"/>
    <x v="2"/>
    <x v="2"/>
    <x v="2"/>
    <n v="2"/>
    <n v="2799"/>
    <n v="0.25"/>
    <n v="699.75"/>
    <n v="5598"/>
    <n v="4898.25"/>
    <x v="0"/>
    <x v="2"/>
    <n v="0"/>
    <n v="0.875"/>
    <n v="0"/>
  </r>
  <r>
    <s v="ORD-5090"/>
    <d v="2025-04-09T00:00:00"/>
    <x v="6"/>
    <s v="CUST-238"/>
    <x v="6"/>
    <x v="6"/>
    <x v="2"/>
    <x v="13"/>
    <x v="2"/>
    <n v="2"/>
    <n v="449"/>
    <n v="0"/>
    <n v="0"/>
    <n v="898"/>
    <n v="898"/>
    <x v="0"/>
    <x v="0"/>
    <n v="40"/>
    <n v="1"/>
    <n v="0"/>
  </r>
  <r>
    <s v="ORD-5091"/>
    <d v="2025-06-11T00:00:00"/>
    <x v="11"/>
    <s v="CUST-678"/>
    <x v="2"/>
    <x v="2"/>
    <x v="2"/>
    <x v="15"/>
    <x v="3"/>
    <n v="1"/>
    <n v="299"/>
    <n v="0.1"/>
    <n v="29.900000000000002"/>
    <n v="299"/>
    <n v="269.10000000000002"/>
    <x v="3"/>
    <x v="0"/>
    <n v="0"/>
    <n v="0.9"/>
    <n v="0"/>
  </r>
  <r>
    <s v="ORD-5092"/>
    <d v="2025-12-08T00:00:00"/>
    <x v="4"/>
    <s v="CUST-324"/>
    <x v="10"/>
    <x v="9"/>
    <x v="4"/>
    <x v="11"/>
    <x v="2"/>
    <n v="2"/>
    <n v="5499"/>
    <n v="0.2"/>
    <n v="1099.8"/>
    <n v="10998"/>
    <n v="9898.2000000000007"/>
    <x v="3"/>
    <x v="0"/>
    <n v="80"/>
    <n v="0.9"/>
    <n v="0"/>
  </r>
  <r>
    <s v="ORD-5093"/>
    <d v="2025-05-02T00:00:00"/>
    <x v="8"/>
    <s v="CUST-210"/>
    <x v="9"/>
    <x v="8"/>
    <x v="1"/>
    <x v="13"/>
    <x v="2"/>
    <n v="2"/>
    <n v="449"/>
    <n v="0.1"/>
    <n v="44.900000000000006"/>
    <n v="898"/>
    <n v="853.1"/>
    <x v="2"/>
    <x v="0"/>
    <n v="40"/>
    <n v="0.95000000000000007"/>
    <n v="0"/>
  </r>
  <r>
    <s v="ORD-5094"/>
    <d v="2025-05-29T00:00:00"/>
    <x v="8"/>
    <s v="CUST-545"/>
    <x v="8"/>
    <x v="1"/>
    <x v="1"/>
    <x v="18"/>
    <x v="4"/>
    <n v="4"/>
    <n v="1299"/>
    <n v="0.2"/>
    <n v="259.8"/>
    <n v="5196"/>
    <n v="4936.2"/>
    <x v="0"/>
    <x v="0"/>
    <n v="0"/>
    <n v="0.95"/>
    <n v="0"/>
  </r>
  <r>
    <s v="ORD-5095"/>
    <d v="2025-07-12T00:00:00"/>
    <x v="5"/>
    <s v="CUST-776"/>
    <x v="4"/>
    <x v="4"/>
    <x v="2"/>
    <x v="8"/>
    <x v="1"/>
    <n v="1"/>
    <n v="2499"/>
    <n v="0"/>
    <n v="0"/>
    <n v="2499"/>
    <n v="2499"/>
    <x v="0"/>
    <x v="0"/>
    <n v="80"/>
    <n v="1"/>
    <n v="0"/>
  </r>
  <r>
    <s v="ORD-5096"/>
    <d v="2025-02-22T00:00:00"/>
    <x v="9"/>
    <s v="CUST-845"/>
    <x v="8"/>
    <x v="1"/>
    <x v="1"/>
    <x v="21"/>
    <x v="4"/>
    <n v="2"/>
    <n v="699"/>
    <n v="0.05"/>
    <n v="34.950000000000003"/>
    <n v="1398"/>
    <n v="1363.05"/>
    <x v="3"/>
    <x v="0"/>
    <n v="80"/>
    <n v="0.97499999999999998"/>
    <n v="0"/>
  </r>
  <r>
    <s v="ORD-5097"/>
    <d v="2025-10-31T00:00:00"/>
    <x v="2"/>
    <s v="CUST-327"/>
    <x v="10"/>
    <x v="9"/>
    <x v="4"/>
    <x v="7"/>
    <x v="1"/>
    <n v="1"/>
    <n v="1299"/>
    <n v="0"/>
    <n v="0"/>
    <n v="1299"/>
    <n v="1299"/>
    <x v="2"/>
    <x v="2"/>
    <n v="60"/>
    <n v="1"/>
    <n v="0"/>
  </r>
  <r>
    <s v="ORD-5098"/>
    <d v="2025-09-19T00:00:00"/>
    <x v="3"/>
    <s v="CUST-595"/>
    <x v="4"/>
    <x v="4"/>
    <x v="2"/>
    <x v="15"/>
    <x v="3"/>
    <n v="2"/>
    <n v="299"/>
    <n v="0.05"/>
    <n v="14.950000000000001"/>
    <n v="598"/>
    <n v="583.04999999999995"/>
    <x v="1"/>
    <x v="0"/>
    <n v="0"/>
    <n v="0.97499999999999998"/>
    <n v="0"/>
  </r>
  <r>
    <s v="ORD-5099"/>
    <d v="2025-12-25T00:00:00"/>
    <x v="4"/>
    <s v="CUST-876"/>
    <x v="5"/>
    <x v="5"/>
    <x v="3"/>
    <x v="2"/>
    <x v="2"/>
    <n v="5"/>
    <n v="2799"/>
    <n v="0.15"/>
    <n v="419.84999999999997"/>
    <n v="13995"/>
    <n v="13575.15"/>
    <x v="0"/>
    <x v="0"/>
    <n v="60"/>
    <n v="0.97"/>
    <n v="0"/>
  </r>
  <r>
    <s v="ORD-5100"/>
    <d v="2025-06-07T00:00:00"/>
    <x v="11"/>
    <s v="CUST-721"/>
    <x v="3"/>
    <x v="3"/>
    <x v="3"/>
    <x v="1"/>
    <x v="1"/>
    <n v="1"/>
    <n v="3999"/>
    <n v="0.25"/>
    <n v="999.75"/>
    <n v="3999"/>
    <n v="2999.25"/>
    <x v="3"/>
    <x v="0"/>
    <n v="0"/>
    <n v="0.75"/>
    <n v="0"/>
  </r>
  <r>
    <s v="ORD-5101"/>
    <d v="2025-05-10T00:00:00"/>
    <x v="8"/>
    <s v="CUST-712"/>
    <x v="6"/>
    <x v="6"/>
    <x v="2"/>
    <x v="22"/>
    <x v="2"/>
    <n v="1"/>
    <n v="3299"/>
    <n v="0.1"/>
    <n v="329.90000000000003"/>
    <n v="3299"/>
    <n v="2969.1"/>
    <x v="0"/>
    <x v="0"/>
    <n v="40"/>
    <n v="0.9"/>
    <n v="0"/>
  </r>
  <r>
    <s v="ORD-5102"/>
    <d v="2025-12-28T00:00:00"/>
    <x v="4"/>
    <s v="CUST-875"/>
    <x v="3"/>
    <x v="3"/>
    <x v="3"/>
    <x v="20"/>
    <x v="3"/>
    <n v="2"/>
    <n v="499"/>
    <n v="0.1"/>
    <n v="49.900000000000006"/>
    <n v="998"/>
    <n v="948.1"/>
    <x v="3"/>
    <x v="2"/>
    <n v="40"/>
    <n v="0.95000000000000007"/>
    <n v="0"/>
  </r>
  <r>
    <s v="ORD-5103"/>
    <d v="2025-12-23T00:00:00"/>
    <x v="4"/>
    <s v="CUST-569"/>
    <x v="3"/>
    <x v="3"/>
    <x v="3"/>
    <x v="6"/>
    <x v="0"/>
    <n v="1"/>
    <n v="1599"/>
    <n v="0.15"/>
    <n v="239.85"/>
    <n v="1599"/>
    <n v="1359.15"/>
    <x v="2"/>
    <x v="0"/>
    <n v="80"/>
    <n v="0.85000000000000009"/>
    <n v="0"/>
  </r>
  <r>
    <s v="ORD-5104"/>
    <d v="2025-05-03T00:00:00"/>
    <x v="8"/>
    <s v="CUST-542"/>
    <x v="2"/>
    <x v="2"/>
    <x v="2"/>
    <x v="4"/>
    <x v="3"/>
    <n v="2"/>
    <n v="349"/>
    <n v="0"/>
    <n v="0"/>
    <n v="698"/>
    <n v="698"/>
    <x v="3"/>
    <x v="0"/>
    <n v="0"/>
    <n v="1"/>
    <n v="0"/>
  </r>
  <r>
    <s v="ORD-5105"/>
    <d v="2025-05-04T00:00:00"/>
    <x v="8"/>
    <s v="CUST-761"/>
    <x v="0"/>
    <x v="0"/>
    <x v="0"/>
    <x v="1"/>
    <x v="1"/>
    <n v="3"/>
    <n v="3999"/>
    <n v="0.15"/>
    <n v="599.85"/>
    <n v="11997"/>
    <n v="11397.15"/>
    <x v="0"/>
    <x v="2"/>
    <n v="80"/>
    <n v="0.95"/>
    <n v="0"/>
  </r>
  <r>
    <s v="ORD-5106"/>
    <d v="2025-03-12T00:00:00"/>
    <x v="1"/>
    <s v="CUST-590"/>
    <x v="2"/>
    <x v="2"/>
    <x v="2"/>
    <x v="17"/>
    <x v="1"/>
    <n v="2"/>
    <n v="2199"/>
    <n v="0.1"/>
    <n v="219.9"/>
    <n v="4398"/>
    <n v="4178.1000000000004"/>
    <x v="0"/>
    <x v="0"/>
    <n v="0"/>
    <n v="0.95000000000000007"/>
    <n v="0"/>
  </r>
  <r>
    <s v="ORD-5107"/>
    <d v="2025-08-28T00:00:00"/>
    <x v="0"/>
    <s v="CUST-783"/>
    <x v="4"/>
    <x v="4"/>
    <x v="2"/>
    <x v="7"/>
    <x v="1"/>
    <n v="1"/>
    <n v="1299"/>
    <n v="0"/>
    <n v="0"/>
    <n v="1299"/>
    <n v="1299"/>
    <x v="3"/>
    <x v="0"/>
    <n v="40"/>
    <n v="1"/>
    <n v="0"/>
  </r>
  <r>
    <s v="ORD-5108"/>
    <d v="2025-06-20T00:00:00"/>
    <x v="11"/>
    <s v="CUST-887"/>
    <x v="0"/>
    <x v="0"/>
    <x v="0"/>
    <x v="9"/>
    <x v="1"/>
    <n v="2"/>
    <n v="1899"/>
    <n v="0"/>
    <n v="0"/>
    <n v="3798"/>
    <n v="3798"/>
    <x v="3"/>
    <x v="1"/>
    <n v="80"/>
    <n v="1"/>
    <n v="0"/>
  </r>
  <r>
    <s v="ORD-5109"/>
    <d v="2025-06-26T00:00:00"/>
    <x v="11"/>
    <s v="CUST-778"/>
    <x v="8"/>
    <x v="1"/>
    <x v="1"/>
    <x v="13"/>
    <x v="2"/>
    <n v="3"/>
    <n v="449"/>
    <n v="0.2"/>
    <n v="89.800000000000011"/>
    <n v="1347"/>
    <n v="1257.2"/>
    <x v="2"/>
    <x v="0"/>
    <n v="80"/>
    <n v="0.93333333333333335"/>
    <n v="0"/>
  </r>
  <r>
    <s v="ORD-5110"/>
    <d v="2025-12-20T00:00:00"/>
    <x v="4"/>
    <s v="CUST-317"/>
    <x v="9"/>
    <x v="8"/>
    <x v="1"/>
    <x v="14"/>
    <x v="4"/>
    <n v="3"/>
    <n v="399"/>
    <n v="0.2"/>
    <n v="79.800000000000011"/>
    <n v="1197"/>
    <n v="1117.2"/>
    <x v="0"/>
    <x v="0"/>
    <n v="80"/>
    <n v="0.93333333333333335"/>
    <n v="0"/>
  </r>
  <r>
    <s v="ORD-5111"/>
    <d v="2025-06-14T00:00:00"/>
    <x v="11"/>
    <s v="CUST-643"/>
    <x v="8"/>
    <x v="1"/>
    <x v="1"/>
    <x v="10"/>
    <x v="0"/>
    <n v="1"/>
    <n v="599"/>
    <n v="0"/>
    <n v="0"/>
    <n v="599"/>
    <n v="599"/>
    <x v="0"/>
    <x v="0"/>
    <n v="60"/>
    <n v="1"/>
    <n v="0"/>
  </r>
  <r>
    <s v="ORD-5112"/>
    <d v="2025-05-06T00:00:00"/>
    <x v="8"/>
    <s v="CUST-606"/>
    <x v="5"/>
    <x v="5"/>
    <x v="3"/>
    <x v="21"/>
    <x v="4"/>
    <n v="3"/>
    <n v="699"/>
    <n v="0"/>
    <n v="0"/>
    <n v="2097"/>
    <n v="2097"/>
    <x v="0"/>
    <x v="0"/>
    <n v="0"/>
    <n v="1"/>
    <n v="0"/>
  </r>
  <r>
    <s v="ORD-5113"/>
    <d v="2025-11-08T00:00:00"/>
    <x v="10"/>
    <s v="CUST-881"/>
    <x v="4"/>
    <x v="4"/>
    <x v="2"/>
    <x v="3"/>
    <x v="0"/>
    <n v="5"/>
    <n v="899"/>
    <n v="0"/>
    <n v="0"/>
    <n v="4495"/>
    <n v="4495"/>
    <x v="0"/>
    <x v="0"/>
    <n v="40"/>
    <n v="1"/>
    <n v="0"/>
  </r>
  <r>
    <s v="ORD-5114"/>
    <d v="2025-08-04T00:00:00"/>
    <x v="0"/>
    <s v="CUST-333"/>
    <x v="1"/>
    <x v="1"/>
    <x v="1"/>
    <x v="17"/>
    <x v="1"/>
    <n v="3"/>
    <n v="2199"/>
    <n v="0"/>
    <n v="0"/>
    <n v="6597"/>
    <n v="6597"/>
    <x v="0"/>
    <x v="1"/>
    <n v="80"/>
    <n v="1"/>
    <n v="0"/>
  </r>
  <r>
    <s v="ORD-5115"/>
    <d v="2025-06-03T00:00:00"/>
    <x v="11"/>
    <s v="CUST-660"/>
    <x v="0"/>
    <x v="0"/>
    <x v="0"/>
    <x v="8"/>
    <x v="1"/>
    <n v="1"/>
    <n v="2499"/>
    <n v="0"/>
    <n v="0"/>
    <n v="2499"/>
    <n v="2499"/>
    <x v="3"/>
    <x v="1"/>
    <n v="60"/>
    <n v="1"/>
    <n v="0"/>
  </r>
  <r>
    <s v="ORD-5116"/>
    <d v="2025-01-24T00:00:00"/>
    <x v="7"/>
    <s v="CUST-515"/>
    <x v="3"/>
    <x v="3"/>
    <x v="3"/>
    <x v="22"/>
    <x v="2"/>
    <n v="1"/>
    <n v="3299"/>
    <n v="0.1"/>
    <n v="329.90000000000003"/>
    <n v="3299"/>
    <n v="2969.1"/>
    <x v="3"/>
    <x v="0"/>
    <n v="80"/>
    <n v="0.9"/>
    <n v="0"/>
  </r>
  <r>
    <s v="ORD-5117"/>
    <d v="2025-06-01T00:00:00"/>
    <x v="11"/>
    <s v="CUST-562"/>
    <x v="9"/>
    <x v="8"/>
    <x v="1"/>
    <x v="18"/>
    <x v="4"/>
    <n v="1"/>
    <n v="1299"/>
    <n v="0"/>
    <n v="0"/>
    <n v="1299"/>
    <n v="1299"/>
    <x v="3"/>
    <x v="0"/>
    <n v="40"/>
    <n v="1"/>
    <n v="0"/>
  </r>
  <r>
    <s v="ORD-5118"/>
    <d v="2025-04-09T00:00:00"/>
    <x v="6"/>
    <s v="CUST-520"/>
    <x v="5"/>
    <x v="5"/>
    <x v="3"/>
    <x v="3"/>
    <x v="0"/>
    <n v="2"/>
    <n v="899"/>
    <n v="0"/>
    <n v="0"/>
    <n v="1798"/>
    <n v="1798"/>
    <x v="3"/>
    <x v="0"/>
    <n v="80"/>
    <n v="1"/>
    <n v="0"/>
  </r>
  <r>
    <s v="ORD-5119"/>
    <d v="2025-06-21T00:00:00"/>
    <x v="11"/>
    <s v="CUST-514"/>
    <x v="1"/>
    <x v="1"/>
    <x v="1"/>
    <x v="22"/>
    <x v="2"/>
    <n v="1"/>
    <n v="3299"/>
    <n v="0.25"/>
    <n v="824.75"/>
    <n v="3299"/>
    <n v="2474.25"/>
    <x v="0"/>
    <x v="0"/>
    <n v="60"/>
    <n v="0.75"/>
    <n v="0"/>
  </r>
  <r>
    <s v="ORD-5120"/>
    <d v="2025-09-14T00:00:00"/>
    <x v="3"/>
    <s v="CUST-877"/>
    <x v="6"/>
    <x v="6"/>
    <x v="2"/>
    <x v="8"/>
    <x v="1"/>
    <n v="2"/>
    <n v="2499"/>
    <n v="0.1"/>
    <n v="249.9"/>
    <n v="4998"/>
    <n v="4748.1000000000004"/>
    <x v="3"/>
    <x v="0"/>
    <n v="40"/>
    <n v="0.95000000000000007"/>
    <n v="0"/>
  </r>
  <r>
    <s v="ORD-5121"/>
    <d v="2025-12-08T00:00:00"/>
    <x v="4"/>
    <s v="CUST-292"/>
    <x v="4"/>
    <x v="4"/>
    <x v="2"/>
    <x v="4"/>
    <x v="3"/>
    <n v="1"/>
    <n v="349"/>
    <n v="0.1"/>
    <n v="34.9"/>
    <n v="349"/>
    <n v="314.10000000000002"/>
    <x v="3"/>
    <x v="0"/>
    <n v="0"/>
    <n v="0.9"/>
    <n v="0"/>
  </r>
  <r>
    <s v="ORD-5122"/>
    <d v="2025-01-04T00:00:00"/>
    <x v="7"/>
    <s v="CUST-782"/>
    <x v="1"/>
    <x v="1"/>
    <x v="1"/>
    <x v="10"/>
    <x v="0"/>
    <n v="1"/>
    <n v="599"/>
    <n v="0.1"/>
    <n v="59.900000000000006"/>
    <n v="599"/>
    <n v="539.1"/>
    <x v="3"/>
    <x v="0"/>
    <n v="40"/>
    <n v="0.9"/>
    <n v="0"/>
  </r>
  <r>
    <s v="ORD-5123"/>
    <d v="2025-10-02T00:00:00"/>
    <x v="2"/>
    <s v="CUST-202"/>
    <x v="7"/>
    <x v="7"/>
    <x v="1"/>
    <x v="1"/>
    <x v="1"/>
    <n v="3"/>
    <n v="3999"/>
    <n v="0.25"/>
    <n v="999.75"/>
    <n v="11997"/>
    <n v="10997.25"/>
    <x v="0"/>
    <x v="0"/>
    <n v="40"/>
    <n v="0.91666666666666663"/>
    <n v="0"/>
  </r>
  <r>
    <s v="ORD-5124"/>
    <d v="2025-07-04T00:00:00"/>
    <x v="5"/>
    <s v="CUST-729"/>
    <x v="3"/>
    <x v="3"/>
    <x v="3"/>
    <x v="17"/>
    <x v="1"/>
    <n v="2"/>
    <n v="2199"/>
    <n v="0.15"/>
    <n v="329.84999999999997"/>
    <n v="4398"/>
    <n v="4068.15"/>
    <x v="2"/>
    <x v="0"/>
    <n v="40"/>
    <n v="0.92500000000000004"/>
    <n v="0"/>
  </r>
  <r>
    <s v="ORD-5125"/>
    <d v="2025-02-27T00:00:00"/>
    <x v="9"/>
    <s v="CUST-462"/>
    <x v="0"/>
    <x v="0"/>
    <x v="0"/>
    <x v="3"/>
    <x v="0"/>
    <n v="1"/>
    <n v="899"/>
    <n v="0.2"/>
    <n v="179.8"/>
    <n v="899"/>
    <n v="719.2"/>
    <x v="2"/>
    <x v="0"/>
    <n v="40"/>
    <n v="0.8"/>
    <n v="0"/>
  </r>
  <r>
    <s v="ORD-5126"/>
    <d v="2025-04-24T00:00:00"/>
    <x v="6"/>
    <s v="CUST-253"/>
    <x v="6"/>
    <x v="6"/>
    <x v="2"/>
    <x v="9"/>
    <x v="1"/>
    <n v="1"/>
    <n v="1899"/>
    <n v="0.25"/>
    <n v="474.75"/>
    <n v="1899"/>
    <n v="1424.25"/>
    <x v="2"/>
    <x v="0"/>
    <n v="40"/>
    <n v="0.75"/>
    <n v="0"/>
  </r>
  <r>
    <s v="ORD-5127"/>
    <d v="2025-01-10T00:00:00"/>
    <x v="7"/>
    <s v="CUST-469"/>
    <x v="9"/>
    <x v="8"/>
    <x v="1"/>
    <x v="9"/>
    <x v="1"/>
    <n v="3"/>
    <n v="1899"/>
    <n v="0.25"/>
    <n v="474.75"/>
    <n v="5697"/>
    <n v="5222.25"/>
    <x v="3"/>
    <x v="0"/>
    <n v="0"/>
    <n v="0.91666666666666663"/>
    <n v="0"/>
  </r>
  <r>
    <s v="ORD-5128"/>
    <d v="2025-11-14T00:00:00"/>
    <x v="10"/>
    <s v="CUST-738"/>
    <x v="0"/>
    <x v="0"/>
    <x v="0"/>
    <x v="18"/>
    <x v="4"/>
    <n v="2"/>
    <n v="1299"/>
    <n v="0"/>
    <n v="0"/>
    <n v="2598"/>
    <n v="2598"/>
    <x v="2"/>
    <x v="0"/>
    <n v="80"/>
    <n v="1"/>
    <n v="0"/>
  </r>
  <r>
    <s v="ORD-5129"/>
    <d v="2025-03-29T00:00:00"/>
    <x v="1"/>
    <s v="CUST-874"/>
    <x v="0"/>
    <x v="0"/>
    <x v="0"/>
    <x v="9"/>
    <x v="1"/>
    <n v="1"/>
    <n v="1899"/>
    <n v="0.2"/>
    <n v="379.8"/>
    <n v="1899"/>
    <n v="1519.2"/>
    <x v="2"/>
    <x v="2"/>
    <n v="0"/>
    <n v="0.8"/>
    <n v="0"/>
  </r>
  <r>
    <s v="ORD-5130"/>
    <d v="2025-07-06T00:00:00"/>
    <x v="5"/>
    <s v="CUST-331"/>
    <x v="4"/>
    <x v="4"/>
    <x v="2"/>
    <x v="7"/>
    <x v="1"/>
    <n v="2"/>
    <n v="1299"/>
    <n v="0.1"/>
    <n v="129.9"/>
    <n v="2598"/>
    <n v="2468.1"/>
    <x v="2"/>
    <x v="0"/>
    <n v="40"/>
    <n v="0.95"/>
    <n v="0"/>
  </r>
  <r>
    <s v="ORD-5131"/>
    <d v="2025-09-25T00:00:00"/>
    <x v="3"/>
    <s v="CUST-738"/>
    <x v="1"/>
    <x v="1"/>
    <x v="1"/>
    <x v="7"/>
    <x v="1"/>
    <n v="1"/>
    <n v="1299"/>
    <n v="0"/>
    <n v="0"/>
    <n v="1299"/>
    <n v="1299"/>
    <x v="3"/>
    <x v="0"/>
    <n v="60"/>
    <n v="1"/>
    <n v="0"/>
  </r>
  <r>
    <s v="ORD-5132"/>
    <d v="2025-01-18T00:00:00"/>
    <x v="7"/>
    <s v="CUST-447"/>
    <x v="4"/>
    <x v="4"/>
    <x v="2"/>
    <x v="10"/>
    <x v="0"/>
    <n v="1"/>
    <n v="599"/>
    <n v="0.1"/>
    <n v="59.900000000000006"/>
    <n v="599"/>
    <n v="539.1"/>
    <x v="3"/>
    <x v="1"/>
    <n v="40"/>
    <n v="0.9"/>
    <n v="0"/>
  </r>
  <r>
    <s v="ORD-5133"/>
    <d v="2025-10-13T00:00:00"/>
    <x v="2"/>
    <s v="CUST-804"/>
    <x v="7"/>
    <x v="7"/>
    <x v="1"/>
    <x v="5"/>
    <x v="0"/>
    <n v="2"/>
    <n v="2299"/>
    <n v="0"/>
    <n v="0"/>
    <n v="4598"/>
    <n v="4598"/>
    <x v="3"/>
    <x v="0"/>
    <n v="80"/>
    <n v="1"/>
    <n v="0"/>
  </r>
  <r>
    <s v="ORD-5134"/>
    <d v="2025-07-15T00:00:00"/>
    <x v="5"/>
    <s v="CUST-555"/>
    <x v="3"/>
    <x v="3"/>
    <x v="3"/>
    <x v="4"/>
    <x v="3"/>
    <n v="2"/>
    <n v="349"/>
    <n v="0.2"/>
    <n v="69.8"/>
    <n v="698"/>
    <n v="628.20000000000005"/>
    <x v="2"/>
    <x v="0"/>
    <n v="40"/>
    <n v="0.9"/>
    <n v="0"/>
  </r>
  <r>
    <s v="ORD-5135"/>
    <d v="2025-04-20T00:00:00"/>
    <x v="6"/>
    <s v="CUST-701"/>
    <x v="5"/>
    <x v="5"/>
    <x v="3"/>
    <x v="6"/>
    <x v="0"/>
    <n v="2"/>
    <n v="1599"/>
    <n v="0.25"/>
    <n v="399.75"/>
    <n v="3198"/>
    <n v="2798.25"/>
    <x v="0"/>
    <x v="0"/>
    <n v="80"/>
    <n v="0.875"/>
    <n v="0"/>
  </r>
  <r>
    <s v="ORD-5136"/>
    <d v="2025-08-03T00:00:00"/>
    <x v="0"/>
    <s v="CUST-481"/>
    <x v="2"/>
    <x v="2"/>
    <x v="2"/>
    <x v="7"/>
    <x v="1"/>
    <n v="1"/>
    <n v="1299"/>
    <n v="0"/>
    <n v="0"/>
    <n v="1299"/>
    <n v="1299"/>
    <x v="0"/>
    <x v="0"/>
    <n v="60"/>
    <n v="1"/>
    <n v="0"/>
  </r>
  <r>
    <s v="ORD-5137"/>
    <d v="2025-11-29T00:00:00"/>
    <x v="10"/>
    <s v="CUST-568"/>
    <x v="1"/>
    <x v="1"/>
    <x v="1"/>
    <x v="0"/>
    <x v="0"/>
    <n v="1"/>
    <n v="1799"/>
    <n v="0.1"/>
    <n v="179.9"/>
    <n v="1799"/>
    <n v="1619.1"/>
    <x v="3"/>
    <x v="1"/>
    <n v="0"/>
    <n v="0.89999999999999991"/>
    <n v="0"/>
  </r>
  <r>
    <s v="ORD-5138"/>
    <d v="2025-07-16T00:00:00"/>
    <x v="5"/>
    <s v="CUST-533"/>
    <x v="3"/>
    <x v="3"/>
    <x v="3"/>
    <x v="1"/>
    <x v="1"/>
    <n v="1"/>
    <n v="3999"/>
    <n v="0.25"/>
    <n v="999.75"/>
    <n v="3999"/>
    <n v="2999.25"/>
    <x v="2"/>
    <x v="0"/>
    <n v="0"/>
    <n v="0.75"/>
    <n v="0"/>
  </r>
  <r>
    <s v="ORD-5139"/>
    <d v="2025-05-03T00:00:00"/>
    <x v="8"/>
    <s v="CUST-809"/>
    <x v="1"/>
    <x v="1"/>
    <x v="1"/>
    <x v="9"/>
    <x v="1"/>
    <n v="1"/>
    <n v="1899"/>
    <n v="0.25"/>
    <n v="474.75"/>
    <n v="1899"/>
    <n v="1424.25"/>
    <x v="3"/>
    <x v="2"/>
    <n v="80"/>
    <n v="0.75"/>
    <n v="0"/>
  </r>
  <r>
    <s v="ORD-5140"/>
    <d v="2025-12-22T00:00:00"/>
    <x v="4"/>
    <s v="CUST-521"/>
    <x v="8"/>
    <x v="1"/>
    <x v="1"/>
    <x v="0"/>
    <x v="0"/>
    <n v="1"/>
    <n v="1799"/>
    <n v="0.05"/>
    <n v="89.95"/>
    <n v="1799"/>
    <n v="1709.05"/>
    <x v="0"/>
    <x v="0"/>
    <n v="40"/>
    <n v="0.95"/>
    <n v="0"/>
  </r>
  <r>
    <s v="ORD-5141"/>
    <d v="2025-10-01T00:00:00"/>
    <x v="2"/>
    <s v="CUST-564"/>
    <x v="3"/>
    <x v="3"/>
    <x v="3"/>
    <x v="16"/>
    <x v="4"/>
    <n v="1"/>
    <n v="1599"/>
    <n v="0.2"/>
    <n v="319.8"/>
    <n v="1599"/>
    <n v="1279.2"/>
    <x v="3"/>
    <x v="0"/>
    <n v="60"/>
    <n v="0.8"/>
    <n v="0"/>
  </r>
  <r>
    <s v="ORD-5142"/>
    <d v="2025-01-21T00:00:00"/>
    <x v="7"/>
    <s v="CUST-211"/>
    <x v="0"/>
    <x v="0"/>
    <x v="0"/>
    <x v="22"/>
    <x v="2"/>
    <n v="2"/>
    <n v="3299"/>
    <n v="0"/>
    <n v="0"/>
    <n v="6598"/>
    <n v="6598"/>
    <x v="1"/>
    <x v="0"/>
    <n v="60"/>
    <n v="1"/>
    <n v="0"/>
  </r>
  <r>
    <s v="ORD-5143"/>
    <d v="2025-04-21T00:00:00"/>
    <x v="6"/>
    <s v="CUST-583"/>
    <x v="3"/>
    <x v="3"/>
    <x v="3"/>
    <x v="11"/>
    <x v="2"/>
    <n v="2"/>
    <n v="5499"/>
    <n v="0.15"/>
    <n v="824.85"/>
    <n v="10998"/>
    <n v="10173.15"/>
    <x v="0"/>
    <x v="0"/>
    <n v="0"/>
    <n v="0.92499999999999993"/>
    <n v="0"/>
  </r>
  <r>
    <s v="ORD-5144"/>
    <d v="2025-07-20T00:00:00"/>
    <x v="5"/>
    <s v="CUST-536"/>
    <x v="3"/>
    <x v="3"/>
    <x v="3"/>
    <x v="11"/>
    <x v="2"/>
    <n v="1"/>
    <n v="5499"/>
    <n v="0.25"/>
    <n v="1374.75"/>
    <n v="5499"/>
    <n v="4124.25"/>
    <x v="2"/>
    <x v="0"/>
    <n v="40"/>
    <n v="0.75"/>
    <n v="0"/>
  </r>
  <r>
    <s v="ORD-5145"/>
    <d v="2025-04-14T00:00:00"/>
    <x v="6"/>
    <s v="CUST-445"/>
    <x v="6"/>
    <x v="6"/>
    <x v="2"/>
    <x v="7"/>
    <x v="1"/>
    <n v="2"/>
    <n v="1299"/>
    <n v="0.25"/>
    <n v="324.75"/>
    <n v="2598"/>
    <n v="2273.25"/>
    <x v="2"/>
    <x v="0"/>
    <n v="80"/>
    <n v="0.875"/>
    <n v="0"/>
  </r>
  <r>
    <s v="ORD-5146"/>
    <d v="2025-11-23T00:00:00"/>
    <x v="10"/>
    <s v="CUST-264"/>
    <x v="7"/>
    <x v="7"/>
    <x v="1"/>
    <x v="14"/>
    <x v="4"/>
    <n v="3"/>
    <n v="399"/>
    <n v="0"/>
    <n v="0"/>
    <n v="1197"/>
    <n v="1197"/>
    <x v="3"/>
    <x v="0"/>
    <n v="80"/>
    <n v="1"/>
    <n v="0"/>
  </r>
  <r>
    <s v="ORD-5147"/>
    <d v="2025-06-03T00:00:00"/>
    <x v="11"/>
    <s v="CUST-274"/>
    <x v="1"/>
    <x v="1"/>
    <x v="1"/>
    <x v="0"/>
    <x v="0"/>
    <n v="2"/>
    <n v="1799"/>
    <n v="0.25"/>
    <n v="449.75"/>
    <n v="3598"/>
    <n v="3148.25"/>
    <x v="3"/>
    <x v="0"/>
    <n v="60"/>
    <n v="0.875"/>
    <n v="0"/>
  </r>
  <r>
    <s v="ORD-5148"/>
    <d v="2025-12-09T00:00:00"/>
    <x v="4"/>
    <s v="CUST-549"/>
    <x v="7"/>
    <x v="7"/>
    <x v="1"/>
    <x v="5"/>
    <x v="0"/>
    <n v="2"/>
    <n v="2299"/>
    <n v="0.05"/>
    <n v="114.95"/>
    <n v="4598"/>
    <n v="4483.05"/>
    <x v="3"/>
    <x v="0"/>
    <n v="40"/>
    <n v="0.97500000000000009"/>
    <n v="0"/>
  </r>
  <r>
    <s v="ORD-5149"/>
    <d v="2025-11-14T00:00:00"/>
    <x v="10"/>
    <s v="CUST-675"/>
    <x v="9"/>
    <x v="8"/>
    <x v="1"/>
    <x v="11"/>
    <x v="2"/>
    <n v="1"/>
    <n v="5499"/>
    <n v="0.2"/>
    <n v="1099.8"/>
    <n v="5499"/>
    <n v="4399.2"/>
    <x v="3"/>
    <x v="2"/>
    <n v="80"/>
    <n v="0.79999999999999993"/>
    <n v="0"/>
  </r>
  <r>
    <s v="ORD-5150"/>
    <d v="2025-12-16T00:00:00"/>
    <x v="4"/>
    <s v="CUST-221"/>
    <x v="1"/>
    <x v="1"/>
    <x v="1"/>
    <x v="8"/>
    <x v="1"/>
    <n v="1"/>
    <n v="2499"/>
    <n v="0.1"/>
    <n v="249.9"/>
    <n v="2499"/>
    <n v="2249.1"/>
    <x v="3"/>
    <x v="0"/>
    <n v="40"/>
    <n v="0.89999999999999991"/>
    <n v="0"/>
  </r>
  <r>
    <s v="ORD-5151"/>
    <d v="2025-05-01T00:00:00"/>
    <x v="8"/>
    <s v="CUST-203"/>
    <x v="3"/>
    <x v="3"/>
    <x v="3"/>
    <x v="8"/>
    <x v="1"/>
    <n v="4"/>
    <n v="2499"/>
    <n v="0"/>
    <n v="0"/>
    <n v="9996"/>
    <n v="9996"/>
    <x v="0"/>
    <x v="0"/>
    <n v="0"/>
    <n v="1"/>
    <n v="0"/>
  </r>
  <r>
    <s v="ORD-5152"/>
    <d v="2025-12-20T00:00:00"/>
    <x v="4"/>
    <s v="CUST-219"/>
    <x v="3"/>
    <x v="3"/>
    <x v="3"/>
    <x v="2"/>
    <x v="2"/>
    <n v="1"/>
    <n v="2799"/>
    <n v="0.15"/>
    <n v="419.84999999999997"/>
    <n v="2799"/>
    <n v="2379.15"/>
    <x v="2"/>
    <x v="2"/>
    <n v="80"/>
    <n v="0.85"/>
    <n v="0"/>
  </r>
  <r>
    <s v="ORD-5153"/>
    <d v="2025-03-24T00:00:00"/>
    <x v="1"/>
    <s v="CUST-777"/>
    <x v="3"/>
    <x v="3"/>
    <x v="3"/>
    <x v="22"/>
    <x v="2"/>
    <n v="1"/>
    <n v="3299"/>
    <n v="0.05"/>
    <n v="164.95000000000002"/>
    <n v="3299"/>
    <n v="3134.05"/>
    <x v="3"/>
    <x v="0"/>
    <n v="60"/>
    <n v="0.95000000000000007"/>
    <n v="0"/>
  </r>
  <r>
    <s v="ORD-5154"/>
    <d v="2025-09-13T00:00:00"/>
    <x v="3"/>
    <s v="CUST-382"/>
    <x v="7"/>
    <x v="7"/>
    <x v="1"/>
    <x v="2"/>
    <x v="2"/>
    <n v="2"/>
    <n v="2799"/>
    <n v="0.1"/>
    <n v="279.90000000000003"/>
    <n v="5598"/>
    <n v="5318.1"/>
    <x v="2"/>
    <x v="0"/>
    <n v="0"/>
    <n v="0.95000000000000007"/>
    <n v="0"/>
  </r>
  <r>
    <s v="ORD-5155"/>
    <d v="2025-12-27T00:00:00"/>
    <x v="4"/>
    <s v="CUST-895"/>
    <x v="4"/>
    <x v="4"/>
    <x v="2"/>
    <x v="4"/>
    <x v="3"/>
    <n v="1"/>
    <n v="349"/>
    <n v="0.1"/>
    <n v="34.9"/>
    <n v="349"/>
    <n v="314.10000000000002"/>
    <x v="3"/>
    <x v="0"/>
    <n v="80"/>
    <n v="0.9"/>
    <n v="0"/>
  </r>
  <r>
    <s v="ORD-5156"/>
    <d v="2025-06-26T00:00:00"/>
    <x v="11"/>
    <s v="CUST-601"/>
    <x v="3"/>
    <x v="3"/>
    <x v="3"/>
    <x v="21"/>
    <x v="4"/>
    <n v="1"/>
    <n v="699"/>
    <n v="0.1"/>
    <n v="69.900000000000006"/>
    <n v="699"/>
    <n v="629.1"/>
    <x v="0"/>
    <x v="0"/>
    <n v="60"/>
    <n v="0.9"/>
    <n v="0"/>
  </r>
  <r>
    <s v="ORD-5157"/>
    <d v="2025-04-04T00:00:00"/>
    <x v="6"/>
    <s v="CUST-777"/>
    <x v="0"/>
    <x v="0"/>
    <x v="0"/>
    <x v="19"/>
    <x v="2"/>
    <n v="3"/>
    <n v="1499"/>
    <n v="0.15"/>
    <n v="224.85"/>
    <n v="4497"/>
    <n v="4272.1499999999996"/>
    <x v="0"/>
    <x v="0"/>
    <n v="80"/>
    <n v="0.95"/>
    <n v="0"/>
  </r>
  <r>
    <s v="ORD-5158"/>
    <d v="2025-11-15T00:00:00"/>
    <x v="10"/>
    <s v="CUST-585"/>
    <x v="2"/>
    <x v="2"/>
    <x v="2"/>
    <x v="22"/>
    <x v="2"/>
    <n v="3"/>
    <n v="3299"/>
    <n v="0.1"/>
    <n v="329.90000000000003"/>
    <n v="9897"/>
    <n v="9567.1"/>
    <x v="3"/>
    <x v="0"/>
    <n v="40"/>
    <n v="0.96666666666666667"/>
    <n v="0"/>
  </r>
  <r>
    <s v="ORD-5159"/>
    <d v="2025-10-27T00:00:00"/>
    <x v="2"/>
    <s v="CUST-458"/>
    <x v="2"/>
    <x v="2"/>
    <x v="2"/>
    <x v="15"/>
    <x v="3"/>
    <n v="1"/>
    <n v="299"/>
    <n v="0.05"/>
    <n v="14.950000000000001"/>
    <n v="299"/>
    <n v="284.05"/>
    <x v="3"/>
    <x v="0"/>
    <n v="40"/>
    <n v="0.95000000000000007"/>
    <n v="0"/>
  </r>
  <r>
    <s v="ORD-5160"/>
    <d v="2025-03-02T00:00:00"/>
    <x v="1"/>
    <s v="CUST-751"/>
    <x v="5"/>
    <x v="5"/>
    <x v="3"/>
    <x v="17"/>
    <x v="1"/>
    <n v="1"/>
    <n v="2199"/>
    <n v="0"/>
    <n v="0"/>
    <n v="2199"/>
    <n v="2199"/>
    <x v="3"/>
    <x v="0"/>
    <n v="60"/>
    <n v="1"/>
    <n v="0"/>
  </r>
  <r>
    <s v="ORD-5161"/>
    <d v="2025-03-29T00:00:00"/>
    <x v="1"/>
    <s v="CUST-865"/>
    <x v="3"/>
    <x v="3"/>
    <x v="3"/>
    <x v="14"/>
    <x v="4"/>
    <n v="1"/>
    <n v="399"/>
    <n v="0.15"/>
    <n v="59.849999999999994"/>
    <n v="399"/>
    <n v="339.15"/>
    <x v="3"/>
    <x v="0"/>
    <n v="80"/>
    <n v="0.85"/>
    <n v="0"/>
  </r>
  <r>
    <s v="ORD-5162"/>
    <d v="2025-07-19T00:00:00"/>
    <x v="5"/>
    <s v="CUST-350"/>
    <x v="4"/>
    <x v="4"/>
    <x v="2"/>
    <x v="2"/>
    <x v="2"/>
    <n v="1"/>
    <n v="2799"/>
    <n v="0.1"/>
    <n v="279.90000000000003"/>
    <n v="2799"/>
    <n v="2519.1"/>
    <x v="2"/>
    <x v="0"/>
    <n v="60"/>
    <n v="0.9"/>
    <n v="0"/>
  </r>
  <r>
    <s v="ORD-5163"/>
    <d v="2025-03-03T00:00:00"/>
    <x v="1"/>
    <s v="CUST-779"/>
    <x v="6"/>
    <x v="6"/>
    <x v="2"/>
    <x v="14"/>
    <x v="4"/>
    <n v="1"/>
    <n v="399"/>
    <n v="0.05"/>
    <n v="19.950000000000003"/>
    <n v="399"/>
    <n v="379.05"/>
    <x v="3"/>
    <x v="1"/>
    <n v="80"/>
    <n v="0.95000000000000007"/>
    <n v="0"/>
  </r>
  <r>
    <s v="ORD-5164"/>
    <d v="2025-02-11T00:00:00"/>
    <x v="9"/>
    <s v="CUST-772"/>
    <x v="1"/>
    <x v="1"/>
    <x v="1"/>
    <x v="8"/>
    <x v="1"/>
    <n v="1"/>
    <n v="2499"/>
    <n v="0.25"/>
    <n v="624.75"/>
    <n v="2499"/>
    <n v="1874.25"/>
    <x v="3"/>
    <x v="0"/>
    <n v="60"/>
    <n v="0.75"/>
    <n v="0"/>
  </r>
  <r>
    <s v="ORD-5165"/>
    <d v="2025-04-04T00:00:00"/>
    <x v="6"/>
    <s v="CUST-407"/>
    <x v="5"/>
    <x v="5"/>
    <x v="3"/>
    <x v="11"/>
    <x v="2"/>
    <n v="1"/>
    <n v="5499"/>
    <n v="0.15"/>
    <n v="824.85"/>
    <n v="5499"/>
    <n v="4674.1499999999996"/>
    <x v="3"/>
    <x v="0"/>
    <n v="0"/>
    <n v="0.85"/>
    <n v="0"/>
  </r>
  <r>
    <s v="ORD-5166"/>
    <d v="2025-07-22T00:00:00"/>
    <x v="5"/>
    <s v="CUST-837"/>
    <x v="3"/>
    <x v="3"/>
    <x v="3"/>
    <x v="0"/>
    <x v="0"/>
    <n v="1"/>
    <n v="1799"/>
    <n v="0"/>
    <n v="0"/>
    <n v="1799"/>
    <n v="1799"/>
    <x v="3"/>
    <x v="0"/>
    <n v="60"/>
    <n v="1"/>
    <n v="0"/>
  </r>
  <r>
    <s v="ORD-5167"/>
    <d v="2025-10-20T00:00:00"/>
    <x v="2"/>
    <s v="CUST-372"/>
    <x v="6"/>
    <x v="6"/>
    <x v="2"/>
    <x v="14"/>
    <x v="4"/>
    <n v="1"/>
    <n v="399"/>
    <n v="0"/>
    <n v="0"/>
    <n v="399"/>
    <n v="399"/>
    <x v="0"/>
    <x v="1"/>
    <n v="60"/>
    <n v="1"/>
    <n v="0"/>
  </r>
  <r>
    <s v="ORD-5168"/>
    <d v="2025-06-08T00:00:00"/>
    <x v="11"/>
    <s v="CUST-415"/>
    <x v="1"/>
    <x v="1"/>
    <x v="1"/>
    <x v="0"/>
    <x v="0"/>
    <n v="1"/>
    <n v="1799"/>
    <n v="0"/>
    <n v="0"/>
    <n v="1799"/>
    <n v="1799"/>
    <x v="3"/>
    <x v="1"/>
    <n v="60"/>
    <n v="1"/>
    <n v="0"/>
  </r>
  <r>
    <s v="ORD-5169"/>
    <d v="2025-07-24T00:00:00"/>
    <x v="5"/>
    <s v="CUST-303"/>
    <x v="7"/>
    <x v="7"/>
    <x v="1"/>
    <x v="14"/>
    <x v="4"/>
    <n v="3"/>
    <n v="399"/>
    <n v="0.1"/>
    <n v="39.900000000000006"/>
    <n v="1197"/>
    <n v="1157.0999999999999"/>
    <x v="0"/>
    <x v="0"/>
    <n v="80"/>
    <n v="0.96666666666666656"/>
    <n v="0"/>
  </r>
  <r>
    <s v="ORD-5170"/>
    <d v="2025-01-13T00:00:00"/>
    <x v="7"/>
    <s v="CUST-597"/>
    <x v="8"/>
    <x v="1"/>
    <x v="1"/>
    <x v="9"/>
    <x v="1"/>
    <n v="2"/>
    <n v="1899"/>
    <n v="0"/>
    <n v="0"/>
    <n v="3798"/>
    <n v="3798"/>
    <x v="0"/>
    <x v="0"/>
    <n v="60"/>
    <n v="1"/>
    <n v="0"/>
  </r>
  <r>
    <s v="ORD-5171"/>
    <d v="2025-11-17T00:00:00"/>
    <x v="10"/>
    <s v="CUST-869"/>
    <x v="3"/>
    <x v="3"/>
    <x v="3"/>
    <x v="16"/>
    <x v="4"/>
    <n v="1"/>
    <n v="1599"/>
    <n v="0.15"/>
    <n v="239.85"/>
    <n v="1599"/>
    <n v="1359.15"/>
    <x v="3"/>
    <x v="2"/>
    <n v="60"/>
    <n v="0.85000000000000009"/>
    <n v="0"/>
  </r>
  <r>
    <s v="ORD-5172"/>
    <d v="2025-04-19T00:00:00"/>
    <x v="6"/>
    <s v="CUST-896"/>
    <x v="3"/>
    <x v="3"/>
    <x v="3"/>
    <x v="8"/>
    <x v="1"/>
    <n v="2"/>
    <n v="2499"/>
    <n v="0"/>
    <n v="0"/>
    <n v="4998"/>
    <n v="4998"/>
    <x v="3"/>
    <x v="0"/>
    <n v="40"/>
    <n v="1"/>
    <n v="0"/>
  </r>
  <r>
    <s v="ORD-5173"/>
    <d v="2025-04-04T00:00:00"/>
    <x v="6"/>
    <s v="CUST-253"/>
    <x v="4"/>
    <x v="4"/>
    <x v="2"/>
    <x v="1"/>
    <x v="1"/>
    <n v="1"/>
    <n v="3999"/>
    <n v="0.2"/>
    <n v="799.80000000000007"/>
    <n v="3999"/>
    <n v="3199.2"/>
    <x v="3"/>
    <x v="0"/>
    <n v="40"/>
    <n v="0.79999999999999993"/>
    <n v="0"/>
  </r>
  <r>
    <s v="ORD-5174"/>
    <d v="2025-06-14T00:00:00"/>
    <x v="11"/>
    <s v="CUST-529"/>
    <x v="4"/>
    <x v="4"/>
    <x v="2"/>
    <x v="8"/>
    <x v="1"/>
    <n v="2"/>
    <n v="2499"/>
    <n v="0"/>
    <n v="0"/>
    <n v="4998"/>
    <n v="4998"/>
    <x v="1"/>
    <x v="1"/>
    <n v="40"/>
    <n v="1"/>
    <n v="0"/>
  </r>
  <r>
    <s v="ORD-5175"/>
    <d v="2025-05-20T00:00:00"/>
    <x v="8"/>
    <s v="CUST-529"/>
    <x v="9"/>
    <x v="8"/>
    <x v="1"/>
    <x v="3"/>
    <x v="0"/>
    <n v="2"/>
    <n v="899"/>
    <n v="0"/>
    <n v="0"/>
    <n v="1798"/>
    <n v="1798"/>
    <x v="2"/>
    <x v="0"/>
    <n v="0"/>
    <n v="1"/>
    <n v="0"/>
  </r>
  <r>
    <s v="ORD-5176"/>
    <d v="2025-12-06T00:00:00"/>
    <x v="4"/>
    <s v="CUST-831"/>
    <x v="2"/>
    <x v="2"/>
    <x v="2"/>
    <x v="17"/>
    <x v="1"/>
    <n v="3"/>
    <n v="2199"/>
    <n v="0.2"/>
    <n v="439.8"/>
    <n v="6597"/>
    <n v="6157.2"/>
    <x v="2"/>
    <x v="1"/>
    <n v="80"/>
    <n v="0.93333333333333335"/>
    <n v="0"/>
  </r>
  <r>
    <s v="ORD-5177"/>
    <d v="2025-02-28T00:00:00"/>
    <x v="9"/>
    <s v="CUST-664"/>
    <x v="4"/>
    <x v="4"/>
    <x v="2"/>
    <x v="0"/>
    <x v="0"/>
    <n v="3"/>
    <n v="1799"/>
    <n v="0"/>
    <n v="0"/>
    <n v="5397"/>
    <n v="5397"/>
    <x v="0"/>
    <x v="0"/>
    <n v="80"/>
    <n v="1"/>
    <n v="0"/>
  </r>
  <r>
    <s v="ORD-5178"/>
    <d v="2025-11-04T00:00:00"/>
    <x v="10"/>
    <s v="CUST-842"/>
    <x v="4"/>
    <x v="4"/>
    <x v="2"/>
    <x v="6"/>
    <x v="0"/>
    <n v="1"/>
    <n v="1599"/>
    <n v="0"/>
    <n v="0"/>
    <n v="1599"/>
    <n v="1599"/>
    <x v="3"/>
    <x v="1"/>
    <n v="0"/>
    <n v="1"/>
    <n v="0"/>
  </r>
  <r>
    <s v="ORD-5179"/>
    <d v="2025-03-19T00:00:00"/>
    <x v="1"/>
    <s v="CUST-837"/>
    <x v="3"/>
    <x v="3"/>
    <x v="3"/>
    <x v="5"/>
    <x v="0"/>
    <n v="1"/>
    <n v="2299"/>
    <n v="0.25"/>
    <n v="574.75"/>
    <n v="2299"/>
    <n v="1724.25"/>
    <x v="2"/>
    <x v="0"/>
    <n v="80"/>
    <n v="0.75"/>
    <n v="0"/>
  </r>
  <r>
    <s v="ORD-5180"/>
    <d v="2025-09-09T00:00:00"/>
    <x v="3"/>
    <s v="CUST-864"/>
    <x v="0"/>
    <x v="0"/>
    <x v="0"/>
    <x v="8"/>
    <x v="1"/>
    <n v="1"/>
    <n v="2499"/>
    <n v="0"/>
    <n v="0"/>
    <n v="2499"/>
    <n v="2499"/>
    <x v="3"/>
    <x v="0"/>
    <n v="0"/>
    <n v="1"/>
    <n v="0"/>
  </r>
  <r>
    <s v="ORD-5181"/>
    <d v="2025-05-09T00:00:00"/>
    <x v="8"/>
    <s v="CUST-550"/>
    <x v="3"/>
    <x v="3"/>
    <x v="3"/>
    <x v="2"/>
    <x v="2"/>
    <n v="1"/>
    <n v="2799"/>
    <n v="0.1"/>
    <n v="279.90000000000003"/>
    <n v="2799"/>
    <n v="2519.1"/>
    <x v="2"/>
    <x v="0"/>
    <n v="80"/>
    <n v="0.9"/>
    <n v="0"/>
  </r>
  <r>
    <s v="ORD-5182"/>
    <d v="2025-08-07T00:00:00"/>
    <x v="0"/>
    <s v="CUST-444"/>
    <x v="1"/>
    <x v="1"/>
    <x v="1"/>
    <x v="12"/>
    <x v="1"/>
    <n v="1"/>
    <n v="799"/>
    <n v="0.1"/>
    <n v="79.900000000000006"/>
    <n v="799"/>
    <n v="719.1"/>
    <x v="0"/>
    <x v="0"/>
    <n v="80"/>
    <n v="0.9"/>
    <n v="0"/>
  </r>
  <r>
    <s v="ORD-5183"/>
    <d v="2025-09-12T00:00:00"/>
    <x v="3"/>
    <s v="CUST-267"/>
    <x v="0"/>
    <x v="0"/>
    <x v="0"/>
    <x v="21"/>
    <x v="4"/>
    <n v="2"/>
    <n v="699"/>
    <n v="0"/>
    <n v="0"/>
    <n v="1398"/>
    <n v="1398"/>
    <x v="3"/>
    <x v="0"/>
    <n v="60"/>
    <n v="1"/>
    <n v="0"/>
  </r>
  <r>
    <s v="ORD-5184"/>
    <d v="2025-01-19T00:00:00"/>
    <x v="7"/>
    <s v="CUST-495"/>
    <x v="1"/>
    <x v="1"/>
    <x v="1"/>
    <x v="1"/>
    <x v="1"/>
    <n v="4"/>
    <n v="3999"/>
    <n v="0.15"/>
    <n v="599.85"/>
    <n v="15996"/>
    <n v="15396.15"/>
    <x v="3"/>
    <x v="0"/>
    <n v="80"/>
    <n v="0.96250000000000002"/>
    <n v="0"/>
  </r>
  <r>
    <s v="ORD-5185"/>
    <d v="2025-11-03T00:00:00"/>
    <x v="10"/>
    <s v="CUST-844"/>
    <x v="3"/>
    <x v="3"/>
    <x v="3"/>
    <x v="17"/>
    <x v="1"/>
    <n v="5"/>
    <n v="2199"/>
    <n v="0"/>
    <n v="0"/>
    <n v="10995"/>
    <n v="10995"/>
    <x v="1"/>
    <x v="0"/>
    <n v="40"/>
    <n v="1"/>
    <n v="0"/>
  </r>
  <r>
    <s v="ORD-5186"/>
    <d v="2025-07-13T00:00:00"/>
    <x v="5"/>
    <s v="CUST-844"/>
    <x v="7"/>
    <x v="7"/>
    <x v="1"/>
    <x v="6"/>
    <x v="0"/>
    <n v="3"/>
    <n v="1599"/>
    <n v="0"/>
    <n v="0"/>
    <n v="4797"/>
    <n v="4797"/>
    <x v="0"/>
    <x v="0"/>
    <n v="40"/>
    <n v="1"/>
    <n v="0"/>
  </r>
  <r>
    <s v="ORD-5187"/>
    <d v="2025-03-07T00:00:00"/>
    <x v="1"/>
    <s v="CUST-332"/>
    <x v="3"/>
    <x v="3"/>
    <x v="3"/>
    <x v="22"/>
    <x v="2"/>
    <n v="2"/>
    <n v="3299"/>
    <n v="0.05"/>
    <n v="164.95000000000002"/>
    <n v="6598"/>
    <n v="6433.05"/>
    <x v="3"/>
    <x v="0"/>
    <n v="60"/>
    <n v="0.97499999999999998"/>
    <n v="0"/>
  </r>
  <r>
    <s v="ORD-5188"/>
    <d v="2025-06-07T00:00:00"/>
    <x v="11"/>
    <s v="CUST-410"/>
    <x v="8"/>
    <x v="1"/>
    <x v="1"/>
    <x v="19"/>
    <x v="2"/>
    <n v="1"/>
    <n v="1499"/>
    <n v="0.1"/>
    <n v="149.9"/>
    <n v="1499"/>
    <n v="1349.1"/>
    <x v="3"/>
    <x v="2"/>
    <n v="60"/>
    <n v="0.89999999999999991"/>
    <n v="0"/>
  </r>
  <r>
    <s v="ORD-5189"/>
    <d v="2025-03-16T00:00:00"/>
    <x v="1"/>
    <s v="CUST-827"/>
    <x v="4"/>
    <x v="4"/>
    <x v="2"/>
    <x v="22"/>
    <x v="2"/>
    <n v="2"/>
    <n v="3299"/>
    <n v="0"/>
    <n v="0"/>
    <n v="6598"/>
    <n v="6598"/>
    <x v="0"/>
    <x v="0"/>
    <n v="0"/>
    <n v="1"/>
    <n v="0"/>
  </r>
  <r>
    <s v="ORD-5190"/>
    <d v="2025-09-21T00:00:00"/>
    <x v="3"/>
    <s v="CUST-491"/>
    <x v="1"/>
    <x v="1"/>
    <x v="1"/>
    <x v="15"/>
    <x v="3"/>
    <n v="1"/>
    <n v="299"/>
    <n v="0.2"/>
    <n v="59.800000000000004"/>
    <n v="299"/>
    <n v="239.2"/>
    <x v="2"/>
    <x v="0"/>
    <n v="0"/>
    <n v="0.79999999999999993"/>
    <n v="0"/>
  </r>
  <r>
    <s v="ORD-5191"/>
    <d v="2025-04-26T00:00:00"/>
    <x v="6"/>
    <s v="CUST-815"/>
    <x v="3"/>
    <x v="3"/>
    <x v="3"/>
    <x v="13"/>
    <x v="2"/>
    <n v="1"/>
    <n v="449"/>
    <n v="0.25"/>
    <n v="112.25"/>
    <n v="449"/>
    <n v="336.75"/>
    <x v="0"/>
    <x v="0"/>
    <n v="60"/>
    <n v="0.75"/>
    <n v="0"/>
  </r>
  <r>
    <s v="ORD-5192"/>
    <d v="2025-11-10T00:00:00"/>
    <x v="10"/>
    <s v="CUST-621"/>
    <x v="4"/>
    <x v="4"/>
    <x v="2"/>
    <x v="5"/>
    <x v="0"/>
    <n v="2"/>
    <n v="2299"/>
    <n v="0"/>
    <n v="0"/>
    <n v="4598"/>
    <n v="4598"/>
    <x v="0"/>
    <x v="0"/>
    <n v="60"/>
    <n v="1"/>
    <n v="0"/>
  </r>
  <r>
    <s v="ORD-5193"/>
    <d v="2025-06-24T00:00:00"/>
    <x v="11"/>
    <s v="CUST-804"/>
    <x v="1"/>
    <x v="1"/>
    <x v="1"/>
    <x v="5"/>
    <x v="0"/>
    <n v="3"/>
    <n v="2299"/>
    <n v="0"/>
    <n v="0"/>
    <n v="6897"/>
    <n v="6897"/>
    <x v="0"/>
    <x v="0"/>
    <n v="80"/>
    <n v="1"/>
    <n v="0"/>
  </r>
  <r>
    <s v="ORD-5194"/>
    <d v="2025-07-06T00:00:00"/>
    <x v="5"/>
    <s v="CUST-885"/>
    <x v="8"/>
    <x v="1"/>
    <x v="1"/>
    <x v="21"/>
    <x v="4"/>
    <n v="1"/>
    <n v="699"/>
    <n v="0"/>
    <n v="0"/>
    <n v="699"/>
    <n v="699"/>
    <x v="1"/>
    <x v="0"/>
    <n v="0"/>
    <n v="1"/>
    <n v="0"/>
  </r>
  <r>
    <s v="ORD-5195"/>
    <d v="2025-08-29T00:00:00"/>
    <x v="0"/>
    <s v="CUST-523"/>
    <x v="4"/>
    <x v="4"/>
    <x v="2"/>
    <x v="22"/>
    <x v="2"/>
    <n v="1"/>
    <n v="3299"/>
    <n v="0"/>
    <n v="0"/>
    <n v="3299"/>
    <n v="3299"/>
    <x v="0"/>
    <x v="0"/>
    <n v="0"/>
    <n v="1"/>
    <n v="0"/>
  </r>
  <r>
    <s v="ORD-5196"/>
    <d v="2025-07-22T00:00:00"/>
    <x v="5"/>
    <s v="CUST-312"/>
    <x v="5"/>
    <x v="5"/>
    <x v="3"/>
    <x v="4"/>
    <x v="3"/>
    <n v="3"/>
    <n v="349"/>
    <n v="0.2"/>
    <n v="69.8"/>
    <n v="1047"/>
    <n v="977.2"/>
    <x v="3"/>
    <x v="0"/>
    <n v="80"/>
    <n v="0.93333333333333335"/>
    <n v="0"/>
  </r>
  <r>
    <s v="ORD-5197"/>
    <d v="2025-09-23T00:00:00"/>
    <x v="3"/>
    <s v="CUST-727"/>
    <x v="4"/>
    <x v="4"/>
    <x v="2"/>
    <x v="22"/>
    <x v="2"/>
    <n v="1"/>
    <n v="3299"/>
    <n v="0.1"/>
    <n v="329.90000000000003"/>
    <n v="3299"/>
    <n v="2969.1"/>
    <x v="2"/>
    <x v="0"/>
    <n v="0"/>
    <n v="0.9"/>
    <n v="0"/>
  </r>
  <r>
    <s v="ORD-5198"/>
    <d v="2025-12-23T00:00:00"/>
    <x v="4"/>
    <s v="CUST-685"/>
    <x v="0"/>
    <x v="0"/>
    <x v="0"/>
    <x v="17"/>
    <x v="1"/>
    <n v="2"/>
    <n v="2199"/>
    <n v="0.1"/>
    <n v="219.9"/>
    <n v="4398"/>
    <n v="4178.1000000000004"/>
    <x v="3"/>
    <x v="0"/>
    <n v="80"/>
    <n v="0.95000000000000007"/>
    <n v="0"/>
  </r>
  <r>
    <s v="ORD-5199"/>
    <d v="2025-07-07T00:00:00"/>
    <x v="5"/>
    <s v="CUST-774"/>
    <x v="6"/>
    <x v="6"/>
    <x v="2"/>
    <x v="1"/>
    <x v="1"/>
    <n v="1"/>
    <n v="3999"/>
    <n v="0"/>
    <n v="0"/>
    <n v="3999"/>
    <n v="3999"/>
    <x v="3"/>
    <x v="0"/>
    <n v="0"/>
    <n v="1"/>
    <n v="0"/>
  </r>
  <r>
    <s v="ORD-5200"/>
    <d v="2025-10-05T00:00:00"/>
    <x v="2"/>
    <s v="CUST-561"/>
    <x v="0"/>
    <x v="0"/>
    <x v="0"/>
    <x v="9"/>
    <x v="1"/>
    <n v="1"/>
    <n v="1899"/>
    <n v="0"/>
    <n v="0"/>
    <n v="1899"/>
    <n v="1899"/>
    <x v="3"/>
    <x v="0"/>
    <n v="80"/>
    <n v="1"/>
    <n v="0"/>
  </r>
  <r>
    <s v="ORD-5201"/>
    <d v="2025-10-15T00:00:00"/>
    <x v="2"/>
    <s v="CUST-715"/>
    <x v="1"/>
    <x v="1"/>
    <x v="1"/>
    <x v="3"/>
    <x v="0"/>
    <n v="3"/>
    <n v="899"/>
    <n v="0.05"/>
    <n v="44.95"/>
    <n v="2697"/>
    <n v="2652.05"/>
    <x v="1"/>
    <x v="1"/>
    <n v="40"/>
    <n v="0.98333333333333339"/>
    <n v="0"/>
  </r>
  <r>
    <s v="ORD-5202"/>
    <d v="2025-12-31T00:00:00"/>
    <x v="4"/>
    <s v="CUST-357"/>
    <x v="0"/>
    <x v="0"/>
    <x v="0"/>
    <x v="0"/>
    <x v="0"/>
    <n v="1"/>
    <n v="1799"/>
    <n v="0"/>
    <n v="0"/>
    <n v="1799"/>
    <n v="1799"/>
    <x v="3"/>
    <x v="1"/>
    <n v="80"/>
    <n v="1"/>
    <n v="0"/>
  </r>
  <r>
    <s v="ORD-5203"/>
    <d v="2025-10-16T00:00:00"/>
    <x v="2"/>
    <s v="CUST-247"/>
    <x v="4"/>
    <x v="4"/>
    <x v="2"/>
    <x v="9"/>
    <x v="1"/>
    <n v="3"/>
    <n v="1899"/>
    <n v="0.1"/>
    <n v="189.9"/>
    <n v="5697"/>
    <n v="5507.1"/>
    <x v="3"/>
    <x v="0"/>
    <n v="40"/>
    <n v="0.96666666666666679"/>
    <n v="0"/>
  </r>
  <r>
    <s v="ORD-5204"/>
    <d v="2025-12-03T00:00:00"/>
    <x v="4"/>
    <s v="CUST-869"/>
    <x v="5"/>
    <x v="5"/>
    <x v="3"/>
    <x v="12"/>
    <x v="1"/>
    <n v="1"/>
    <n v="799"/>
    <n v="0.2"/>
    <n v="159.80000000000001"/>
    <n v="799"/>
    <n v="639.20000000000005"/>
    <x v="0"/>
    <x v="0"/>
    <n v="40"/>
    <n v="0.8"/>
    <n v="0"/>
  </r>
  <r>
    <s v="ORD-5205"/>
    <d v="2025-02-19T00:00:00"/>
    <x v="9"/>
    <s v="CUST-814"/>
    <x v="3"/>
    <x v="3"/>
    <x v="3"/>
    <x v="0"/>
    <x v="0"/>
    <n v="2"/>
    <n v="1799"/>
    <n v="0.2"/>
    <n v="359.8"/>
    <n v="3598"/>
    <n v="3238.2"/>
    <x v="3"/>
    <x v="0"/>
    <n v="80"/>
    <n v="0.89999999999999991"/>
    <n v="0"/>
  </r>
  <r>
    <s v="ORD-5206"/>
    <d v="2025-07-03T00:00:00"/>
    <x v="5"/>
    <s v="CUST-518"/>
    <x v="0"/>
    <x v="0"/>
    <x v="0"/>
    <x v="13"/>
    <x v="2"/>
    <n v="1"/>
    <n v="449"/>
    <n v="0.2"/>
    <n v="89.800000000000011"/>
    <n v="449"/>
    <n v="359.2"/>
    <x v="3"/>
    <x v="0"/>
    <n v="80"/>
    <n v="0.79999999999999993"/>
    <n v="0"/>
  </r>
  <r>
    <s v="ORD-5207"/>
    <d v="2025-04-25T00:00:00"/>
    <x v="6"/>
    <s v="CUST-568"/>
    <x v="4"/>
    <x v="4"/>
    <x v="2"/>
    <x v="6"/>
    <x v="0"/>
    <n v="2"/>
    <n v="1599"/>
    <n v="0"/>
    <n v="0"/>
    <n v="3198"/>
    <n v="3198"/>
    <x v="3"/>
    <x v="1"/>
    <n v="80"/>
    <n v="1"/>
    <n v="0"/>
  </r>
  <r>
    <s v="ORD-5208"/>
    <d v="2025-07-28T00:00:00"/>
    <x v="5"/>
    <s v="CUST-452"/>
    <x v="4"/>
    <x v="4"/>
    <x v="2"/>
    <x v="19"/>
    <x v="2"/>
    <n v="1"/>
    <n v="1499"/>
    <n v="0"/>
    <n v="0"/>
    <n v="1499"/>
    <n v="1499"/>
    <x v="0"/>
    <x v="0"/>
    <n v="60"/>
    <n v="1"/>
    <n v="0"/>
  </r>
  <r>
    <s v="ORD-5209"/>
    <d v="2025-11-08T00:00:00"/>
    <x v="10"/>
    <s v="CUST-728"/>
    <x v="8"/>
    <x v="1"/>
    <x v="1"/>
    <x v="18"/>
    <x v="4"/>
    <n v="1"/>
    <n v="1299"/>
    <n v="0"/>
    <n v="0"/>
    <n v="1299"/>
    <n v="1299"/>
    <x v="3"/>
    <x v="0"/>
    <n v="0"/>
    <n v="1"/>
    <n v="0"/>
  </r>
  <r>
    <s v="ORD-5210"/>
    <d v="2025-05-19T00:00:00"/>
    <x v="8"/>
    <s v="CUST-291"/>
    <x v="3"/>
    <x v="3"/>
    <x v="3"/>
    <x v="9"/>
    <x v="1"/>
    <n v="2"/>
    <n v="1899"/>
    <n v="0.2"/>
    <n v="379.8"/>
    <n v="3798"/>
    <n v="3418.2"/>
    <x v="0"/>
    <x v="0"/>
    <n v="0"/>
    <n v="0.89999999999999991"/>
    <n v="0"/>
  </r>
  <r>
    <s v="ORD-5211"/>
    <d v="2025-05-09T00:00:00"/>
    <x v="8"/>
    <s v="CUST-359"/>
    <x v="0"/>
    <x v="0"/>
    <x v="0"/>
    <x v="3"/>
    <x v="0"/>
    <n v="1"/>
    <n v="899"/>
    <n v="0.15"/>
    <n v="134.85"/>
    <n v="899"/>
    <n v="764.15"/>
    <x v="0"/>
    <x v="2"/>
    <n v="0"/>
    <n v="0.85"/>
    <n v="0"/>
  </r>
  <r>
    <s v="ORD-5212"/>
    <d v="2025-01-25T00:00:00"/>
    <x v="7"/>
    <s v="CUST-548"/>
    <x v="2"/>
    <x v="2"/>
    <x v="2"/>
    <x v="15"/>
    <x v="3"/>
    <n v="2"/>
    <n v="299"/>
    <n v="0.2"/>
    <n v="59.800000000000004"/>
    <n v="598"/>
    <n v="538.20000000000005"/>
    <x v="3"/>
    <x v="0"/>
    <n v="40"/>
    <n v="0.9"/>
    <n v="0"/>
  </r>
  <r>
    <s v="ORD-5213"/>
    <d v="2025-09-03T00:00:00"/>
    <x v="3"/>
    <s v="CUST-276"/>
    <x v="1"/>
    <x v="1"/>
    <x v="1"/>
    <x v="10"/>
    <x v="0"/>
    <n v="1"/>
    <n v="599"/>
    <n v="0.2"/>
    <n v="119.80000000000001"/>
    <n v="599"/>
    <n v="479.2"/>
    <x v="3"/>
    <x v="0"/>
    <n v="40"/>
    <n v="0.79999999999999993"/>
    <n v="0"/>
  </r>
  <r>
    <s v="ORD-5214"/>
    <d v="2025-12-13T00:00:00"/>
    <x v="4"/>
    <s v="CUST-273"/>
    <x v="0"/>
    <x v="0"/>
    <x v="0"/>
    <x v="6"/>
    <x v="0"/>
    <n v="3"/>
    <n v="1599"/>
    <n v="0.2"/>
    <n v="319.8"/>
    <n v="4797"/>
    <n v="4477.2"/>
    <x v="1"/>
    <x v="0"/>
    <n v="60"/>
    <n v="0.93333333333333335"/>
    <n v="0"/>
  </r>
  <r>
    <s v="ORD-5215"/>
    <d v="2025-12-31T00:00:00"/>
    <x v="4"/>
    <s v="CUST-868"/>
    <x v="6"/>
    <x v="6"/>
    <x v="2"/>
    <x v="2"/>
    <x v="2"/>
    <n v="2"/>
    <n v="2799"/>
    <n v="0"/>
    <n v="0"/>
    <n v="5598"/>
    <n v="5598"/>
    <x v="1"/>
    <x v="0"/>
    <n v="40"/>
    <n v="1"/>
    <n v="0"/>
  </r>
  <r>
    <s v="ORD-5216"/>
    <d v="2025-10-05T00:00:00"/>
    <x v="2"/>
    <s v="CUST-642"/>
    <x v="7"/>
    <x v="7"/>
    <x v="1"/>
    <x v="1"/>
    <x v="1"/>
    <n v="1"/>
    <n v="3999"/>
    <n v="0.1"/>
    <n v="399.90000000000003"/>
    <n v="3999"/>
    <n v="3599.1"/>
    <x v="3"/>
    <x v="1"/>
    <n v="80"/>
    <n v="0.9"/>
    <n v="0"/>
  </r>
  <r>
    <s v="ORD-5217"/>
    <d v="2025-09-19T00:00:00"/>
    <x v="3"/>
    <s v="CUST-370"/>
    <x v="0"/>
    <x v="0"/>
    <x v="0"/>
    <x v="6"/>
    <x v="0"/>
    <n v="1"/>
    <n v="1599"/>
    <n v="0.25"/>
    <n v="399.75"/>
    <n v="1599"/>
    <n v="1199.25"/>
    <x v="3"/>
    <x v="0"/>
    <n v="0"/>
    <n v="0.75"/>
    <n v="0"/>
  </r>
  <r>
    <s v="ORD-5218"/>
    <d v="2025-11-15T00:00:00"/>
    <x v="10"/>
    <s v="CUST-692"/>
    <x v="8"/>
    <x v="1"/>
    <x v="1"/>
    <x v="8"/>
    <x v="1"/>
    <n v="1"/>
    <n v="2499"/>
    <n v="0.25"/>
    <n v="624.75"/>
    <n v="2499"/>
    <n v="1874.25"/>
    <x v="3"/>
    <x v="0"/>
    <n v="0"/>
    <n v="0.75"/>
    <n v="0"/>
  </r>
  <r>
    <s v="ORD-5219"/>
    <d v="2025-11-19T00:00:00"/>
    <x v="10"/>
    <s v="CUST-460"/>
    <x v="4"/>
    <x v="4"/>
    <x v="2"/>
    <x v="22"/>
    <x v="2"/>
    <n v="1"/>
    <n v="3299"/>
    <n v="0"/>
    <n v="0"/>
    <n v="3299"/>
    <n v="3299"/>
    <x v="2"/>
    <x v="2"/>
    <n v="80"/>
    <n v="1"/>
    <n v="0"/>
  </r>
  <r>
    <s v="ORD-5220"/>
    <d v="2025-11-17T00:00:00"/>
    <x v="10"/>
    <s v="CUST-390"/>
    <x v="8"/>
    <x v="1"/>
    <x v="1"/>
    <x v="21"/>
    <x v="4"/>
    <n v="1"/>
    <n v="699"/>
    <n v="0.25"/>
    <n v="174.75"/>
    <n v="699"/>
    <n v="524.25"/>
    <x v="3"/>
    <x v="0"/>
    <n v="60"/>
    <n v="0.75"/>
    <n v="0"/>
  </r>
  <r>
    <s v="ORD-5221"/>
    <d v="2025-01-18T00:00:00"/>
    <x v="7"/>
    <s v="CUST-541"/>
    <x v="4"/>
    <x v="4"/>
    <x v="2"/>
    <x v="3"/>
    <x v="0"/>
    <n v="2"/>
    <n v="899"/>
    <n v="0.15"/>
    <n v="134.85"/>
    <n v="1798"/>
    <n v="1663.15"/>
    <x v="3"/>
    <x v="0"/>
    <n v="60"/>
    <n v="0.92500000000000004"/>
    <n v="0"/>
  </r>
  <r>
    <s v="ORD-5222"/>
    <d v="2025-05-07T00:00:00"/>
    <x v="8"/>
    <s v="CUST-747"/>
    <x v="8"/>
    <x v="1"/>
    <x v="1"/>
    <x v="21"/>
    <x v="4"/>
    <n v="1"/>
    <n v="699"/>
    <n v="0.05"/>
    <n v="34.950000000000003"/>
    <n v="699"/>
    <n v="664.05"/>
    <x v="3"/>
    <x v="0"/>
    <n v="40"/>
    <n v="0.95"/>
    <n v="0"/>
  </r>
  <r>
    <s v="ORD-5223"/>
    <d v="2025-03-28T00:00:00"/>
    <x v="1"/>
    <s v="CUST-497"/>
    <x v="2"/>
    <x v="2"/>
    <x v="2"/>
    <x v="2"/>
    <x v="2"/>
    <n v="2"/>
    <n v="2799"/>
    <n v="0.15"/>
    <n v="419.84999999999997"/>
    <n v="5598"/>
    <n v="5178.1499999999996"/>
    <x v="2"/>
    <x v="0"/>
    <n v="60"/>
    <n v="0.92499999999999993"/>
    <n v="0"/>
  </r>
  <r>
    <s v="ORD-5224"/>
    <d v="2025-01-11T00:00:00"/>
    <x v="7"/>
    <s v="CUST-500"/>
    <x v="3"/>
    <x v="3"/>
    <x v="3"/>
    <x v="1"/>
    <x v="1"/>
    <n v="1"/>
    <n v="3999"/>
    <n v="0.05"/>
    <n v="199.95000000000002"/>
    <n v="3999"/>
    <n v="3799.05"/>
    <x v="0"/>
    <x v="0"/>
    <n v="60"/>
    <n v="0.95000000000000007"/>
    <n v="0"/>
  </r>
  <r>
    <s v="ORD-5225"/>
    <d v="2025-01-15T00:00:00"/>
    <x v="7"/>
    <s v="CUST-355"/>
    <x v="9"/>
    <x v="8"/>
    <x v="1"/>
    <x v="5"/>
    <x v="0"/>
    <n v="2"/>
    <n v="2299"/>
    <n v="0.1"/>
    <n v="229.9"/>
    <n v="4598"/>
    <n v="4368.1000000000004"/>
    <x v="3"/>
    <x v="0"/>
    <n v="40"/>
    <n v="0.95000000000000007"/>
    <n v="0"/>
  </r>
  <r>
    <s v="ORD-5226"/>
    <d v="2025-03-25T00:00:00"/>
    <x v="1"/>
    <s v="CUST-571"/>
    <x v="2"/>
    <x v="2"/>
    <x v="2"/>
    <x v="2"/>
    <x v="2"/>
    <n v="1"/>
    <n v="2799"/>
    <n v="0.1"/>
    <n v="279.90000000000003"/>
    <n v="2799"/>
    <n v="2519.1"/>
    <x v="0"/>
    <x v="0"/>
    <n v="80"/>
    <n v="0.9"/>
    <n v="0"/>
  </r>
  <r>
    <s v="ORD-5227"/>
    <d v="2025-06-26T00:00:00"/>
    <x v="11"/>
    <s v="CUST-779"/>
    <x v="8"/>
    <x v="1"/>
    <x v="1"/>
    <x v="5"/>
    <x v="0"/>
    <n v="4"/>
    <n v="2299"/>
    <n v="0.1"/>
    <n v="229.9"/>
    <n v="9196"/>
    <n v="8966.1"/>
    <x v="2"/>
    <x v="0"/>
    <n v="0"/>
    <n v="0.97500000000000009"/>
    <n v="0"/>
  </r>
  <r>
    <s v="ORD-5228"/>
    <d v="2025-10-22T00:00:00"/>
    <x v="2"/>
    <s v="CUST-779"/>
    <x v="5"/>
    <x v="5"/>
    <x v="3"/>
    <x v="4"/>
    <x v="3"/>
    <n v="1"/>
    <n v="349"/>
    <n v="0"/>
    <n v="0"/>
    <n v="349"/>
    <n v="349"/>
    <x v="3"/>
    <x v="1"/>
    <n v="60"/>
    <n v="1"/>
    <n v="0"/>
  </r>
  <r>
    <s v="ORD-5229"/>
    <d v="2025-02-01T00:00:00"/>
    <x v="9"/>
    <s v="CUST-346"/>
    <x v="5"/>
    <x v="5"/>
    <x v="3"/>
    <x v="8"/>
    <x v="1"/>
    <n v="1"/>
    <n v="2499"/>
    <n v="0"/>
    <n v="0"/>
    <n v="2499"/>
    <n v="2499"/>
    <x v="0"/>
    <x v="0"/>
    <n v="0"/>
    <n v="1"/>
    <n v="0"/>
  </r>
  <r>
    <s v="ORD-5230"/>
    <d v="2025-02-14T00:00:00"/>
    <x v="9"/>
    <s v="CUST-304"/>
    <x v="4"/>
    <x v="4"/>
    <x v="2"/>
    <x v="3"/>
    <x v="0"/>
    <n v="2"/>
    <n v="899"/>
    <n v="0.15"/>
    <n v="134.85"/>
    <n v="1798"/>
    <n v="1663.15"/>
    <x v="0"/>
    <x v="0"/>
    <n v="0"/>
    <n v="0.92500000000000004"/>
    <n v="0"/>
  </r>
  <r>
    <s v="ORD-5231"/>
    <d v="2025-10-13T00:00:00"/>
    <x v="2"/>
    <s v="CUST-543"/>
    <x v="3"/>
    <x v="3"/>
    <x v="3"/>
    <x v="11"/>
    <x v="2"/>
    <n v="1"/>
    <n v="5499"/>
    <n v="0"/>
    <n v="0"/>
    <n v="5499"/>
    <n v="5499"/>
    <x v="3"/>
    <x v="0"/>
    <n v="40"/>
    <n v="1"/>
    <n v="0"/>
  </r>
  <r>
    <s v="ORD-5232"/>
    <d v="2025-08-07T00:00:00"/>
    <x v="0"/>
    <s v="CUST-785"/>
    <x v="2"/>
    <x v="2"/>
    <x v="2"/>
    <x v="4"/>
    <x v="3"/>
    <n v="2"/>
    <n v="349"/>
    <n v="0"/>
    <n v="0"/>
    <n v="698"/>
    <n v="698"/>
    <x v="0"/>
    <x v="0"/>
    <n v="40"/>
    <n v="1"/>
    <n v="0"/>
  </r>
  <r>
    <s v="ORD-5233"/>
    <d v="2025-03-22T00:00:00"/>
    <x v="1"/>
    <s v="CUST-508"/>
    <x v="7"/>
    <x v="7"/>
    <x v="1"/>
    <x v="9"/>
    <x v="1"/>
    <n v="1"/>
    <n v="1899"/>
    <n v="0"/>
    <n v="0"/>
    <n v="1899"/>
    <n v="1899"/>
    <x v="3"/>
    <x v="0"/>
    <n v="0"/>
    <n v="1"/>
    <n v="0"/>
  </r>
  <r>
    <s v="ORD-5234"/>
    <d v="2025-12-19T00:00:00"/>
    <x v="4"/>
    <s v="CUST-421"/>
    <x v="5"/>
    <x v="5"/>
    <x v="3"/>
    <x v="8"/>
    <x v="1"/>
    <n v="1"/>
    <n v="2499"/>
    <n v="0"/>
    <n v="0"/>
    <n v="2499"/>
    <n v="2499"/>
    <x v="2"/>
    <x v="1"/>
    <n v="80"/>
    <n v="1"/>
    <n v="0"/>
  </r>
  <r>
    <s v="ORD-5235"/>
    <d v="2025-06-27T00:00:00"/>
    <x v="11"/>
    <s v="CUST-468"/>
    <x v="1"/>
    <x v="1"/>
    <x v="1"/>
    <x v="3"/>
    <x v="0"/>
    <n v="1"/>
    <n v="899"/>
    <n v="0.2"/>
    <n v="179.8"/>
    <n v="899"/>
    <n v="719.2"/>
    <x v="3"/>
    <x v="0"/>
    <n v="60"/>
    <n v="0.8"/>
    <n v="0"/>
  </r>
  <r>
    <s v="ORD-5236"/>
    <d v="2025-08-21T00:00:00"/>
    <x v="0"/>
    <s v="CUST-405"/>
    <x v="1"/>
    <x v="1"/>
    <x v="1"/>
    <x v="5"/>
    <x v="0"/>
    <n v="4"/>
    <n v="2299"/>
    <n v="0.1"/>
    <n v="229.9"/>
    <n v="9196"/>
    <n v="8966.1"/>
    <x v="3"/>
    <x v="0"/>
    <n v="80"/>
    <n v="0.97500000000000009"/>
    <n v="0"/>
  </r>
  <r>
    <s v="ORD-5237"/>
    <d v="2025-04-05T00:00:00"/>
    <x v="6"/>
    <s v="CUST-809"/>
    <x v="6"/>
    <x v="6"/>
    <x v="2"/>
    <x v="1"/>
    <x v="1"/>
    <n v="2"/>
    <n v="3999"/>
    <n v="0.1"/>
    <n v="399.90000000000003"/>
    <n v="7998"/>
    <n v="7598.1"/>
    <x v="3"/>
    <x v="0"/>
    <n v="0"/>
    <n v="0.95000000000000007"/>
    <n v="0"/>
  </r>
  <r>
    <s v="ORD-5238"/>
    <d v="2025-02-03T00:00:00"/>
    <x v="9"/>
    <s v="CUST-409"/>
    <x v="2"/>
    <x v="2"/>
    <x v="2"/>
    <x v="8"/>
    <x v="1"/>
    <n v="1"/>
    <n v="2499"/>
    <n v="0.1"/>
    <n v="249.9"/>
    <n v="2499"/>
    <n v="2249.1"/>
    <x v="2"/>
    <x v="0"/>
    <n v="0"/>
    <n v="0.89999999999999991"/>
    <n v="0"/>
  </r>
  <r>
    <s v="ORD-5239"/>
    <d v="2025-05-06T00:00:00"/>
    <x v="8"/>
    <s v="CUST-341"/>
    <x v="4"/>
    <x v="4"/>
    <x v="2"/>
    <x v="9"/>
    <x v="1"/>
    <n v="1"/>
    <n v="1899"/>
    <n v="0.25"/>
    <n v="474.75"/>
    <n v="1899"/>
    <n v="1424.25"/>
    <x v="3"/>
    <x v="0"/>
    <n v="0"/>
    <n v="0.75"/>
    <n v="0"/>
  </r>
  <r>
    <s v="ORD-5240"/>
    <d v="2025-03-11T00:00:00"/>
    <x v="1"/>
    <s v="CUST-546"/>
    <x v="5"/>
    <x v="5"/>
    <x v="3"/>
    <x v="15"/>
    <x v="3"/>
    <n v="2"/>
    <n v="299"/>
    <n v="0.2"/>
    <n v="59.800000000000004"/>
    <n v="598"/>
    <n v="538.20000000000005"/>
    <x v="3"/>
    <x v="0"/>
    <n v="60"/>
    <n v="0.9"/>
    <n v="0"/>
  </r>
  <r>
    <s v="ORD-5241"/>
    <d v="2025-09-01T00:00:00"/>
    <x v="3"/>
    <s v="CUST-266"/>
    <x v="4"/>
    <x v="4"/>
    <x v="2"/>
    <x v="10"/>
    <x v="0"/>
    <n v="1"/>
    <n v="599"/>
    <n v="0"/>
    <n v="0"/>
    <n v="599"/>
    <n v="599"/>
    <x v="3"/>
    <x v="1"/>
    <n v="0"/>
    <n v="1"/>
    <n v="0"/>
  </r>
  <r>
    <s v="ORD-5242"/>
    <d v="2025-04-26T00:00:00"/>
    <x v="6"/>
    <s v="CUST-345"/>
    <x v="0"/>
    <x v="0"/>
    <x v="0"/>
    <x v="7"/>
    <x v="1"/>
    <n v="1"/>
    <n v="1299"/>
    <n v="0.15"/>
    <n v="194.85"/>
    <n v="1299"/>
    <n v="1104.1500000000001"/>
    <x v="3"/>
    <x v="0"/>
    <n v="0"/>
    <n v="0.85000000000000009"/>
    <n v="0"/>
  </r>
  <r>
    <s v="ORD-5243"/>
    <d v="2025-12-26T00:00:00"/>
    <x v="4"/>
    <s v="CUST-884"/>
    <x v="4"/>
    <x v="4"/>
    <x v="2"/>
    <x v="8"/>
    <x v="1"/>
    <n v="3"/>
    <n v="2499"/>
    <n v="0.1"/>
    <n v="249.9"/>
    <n v="7497"/>
    <n v="7247.1"/>
    <x v="3"/>
    <x v="0"/>
    <n v="0"/>
    <n v="0.96666666666666667"/>
    <n v="0"/>
  </r>
  <r>
    <s v="ORD-5244"/>
    <d v="2025-02-06T00:00:00"/>
    <x v="9"/>
    <s v="CUST-326"/>
    <x v="3"/>
    <x v="3"/>
    <x v="3"/>
    <x v="4"/>
    <x v="3"/>
    <n v="2"/>
    <n v="349"/>
    <n v="0.05"/>
    <n v="17.45"/>
    <n v="698"/>
    <n v="680.55"/>
    <x v="3"/>
    <x v="0"/>
    <n v="0"/>
    <n v="0.97499999999999998"/>
    <n v="0"/>
  </r>
  <r>
    <s v="ORD-5245"/>
    <d v="2025-10-04T00:00:00"/>
    <x v="2"/>
    <s v="CUST-294"/>
    <x v="1"/>
    <x v="1"/>
    <x v="1"/>
    <x v="9"/>
    <x v="1"/>
    <n v="2"/>
    <n v="1899"/>
    <n v="0.25"/>
    <n v="474.75"/>
    <n v="3798"/>
    <n v="3323.25"/>
    <x v="3"/>
    <x v="0"/>
    <n v="0"/>
    <n v="0.875"/>
    <n v="0"/>
  </r>
  <r>
    <s v="ORD-5246"/>
    <d v="2025-09-15T00:00:00"/>
    <x v="3"/>
    <s v="CUST-782"/>
    <x v="1"/>
    <x v="1"/>
    <x v="1"/>
    <x v="20"/>
    <x v="3"/>
    <n v="1"/>
    <n v="499"/>
    <n v="0.05"/>
    <n v="24.950000000000003"/>
    <n v="499"/>
    <n v="474.05"/>
    <x v="0"/>
    <x v="0"/>
    <n v="80"/>
    <n v="0.95000000000000007"/>
    <n v="0"/>
  </r>
  <r>
    <s v="ORD-5247"/>
    <d v="2025-08-27T00:00:00"/>
    <x v="0"/>
    <s v="CUST-894"/>
    <x v="1"/>
    <x v="1"/>
    <x v="1"/>
    <x v="6"/>
    <x v="0"/>
    <n v="1"/>
    <n v="1599"/>
    <n v="0"/>
    <n v="0"/>
    <n v="1599"/>
    <n v="1599"/>
    <x v="2"/>
    <x v="0"/>
    <n v="80"/>
    <n v="1"/>
    <n v="0"/>
  </r>
  <r>
    <s v="ORD-5248"/>
    <d v="2025-03-25T00:00:00"/>
    <x v="1"/>
    <s v="CUST-416"/>
    <x v="5"/>
    <x v="5"/>
    <x v="3"/>
    <x v="5"/>
    <x v="0"/>
    <n v="1"/>
    <n v="2299"/>
    <n v="0"/>
    <n v="0"/>
    <n v="2299"/>
    <n v="2299"/>
    <x v="3"/>
    <x v="0"/>
    <n v="80"/>
    <n v="1"/>
    <n v="0"/>
  </r>
  <r>
    <s v="ORD-5249"/>
    <d v="2025-11-10T00:00:00"/>
    <x v="10"/>
    <s v="CUST-370"/>
    <x v="3"/>
    <x v="3"/>
    <x v="3"/>
    <x v="13"/>
    <x v="2"/>
    <n v="1"/>
    <n v="449"/>
    <n v="0.25"/>
    <n v="112.25"/>
    <n v="449"/>
    <n v="336.75"/>
    <x v="3"/>
    <x v="0"/>
    <n v="60"/>
    <n v="0.75"/>
    <n v="0"/>
  </r>
  <r>
    <s v="ORD-5250"/>
    <d v="2025-12-19T00:00:00"/>
    <x v="4"/>
    <s v="CUST-370"/>
    <x v="4"/>
    <x v="4"/>
    <x v="2"/>
    <x v="16"/>
    <x v="4"/>
    <n v="1"/>
    <n v="1599"/>
    <n v="0.25"/>
    <n v="399.75"/>
    <n v="1599"/>
    <n v="1199.25"/>
    <x v="2"/>
    <x v="0"/>
    <n v="80"/>
    <n v="0.75"/>
    <n v="0"/>
  </r>
  <r>
    <s v="ORD-5251"/>
    <d v="2025-08-24T00:00:00"/>
    <x v="0"/>
    <s v="CUST-438"/>
    <x v="2"/>
    <x v="2"/>
    <x v="2"/>
    <x v="0"/>
    <x v="0"/>
    <n v="1"/>
    <n v="1799"/>
    <n v="0.1"/>
    <n v="179.9"/>
    <n v="1799"/>
    <n v="1619.1"/>
    <x v="0"/>
    <x v="0"/>
    <n v="40"/>
    <n v="0.89999999999999991"/>
    <n v="0"/>
  </r>
  <r>
    <s v="ORD-5252"/>
    <d v="2025-05-28T00:00:00"/>
    <x v="8"/>
    <s v="CUST-768"/>
    <x v="6"/>
    <x v="6"/>
    <x v="2"/>
    <x v="0"/>
    <x v="0"/>
    <n v="4"/>
    <n v="1799"/>
    <n v="0.05"/>
    <n v="89.95"/>
    <n v="7196"/>
    <n v="7106.05"/>
    <x v="3"/>
    <x v="0"/>
    <n v="60"/>
    <n v="0.98750000000000004"/>
    <n v="0"/>
  </r>
  <r>
    <s v="ORD-5253"/>
    <d v="2025-11-21T00:00:00"/>
    <x v="10"/>
    <s v="CUST-726"/>
    <x v="2"/>
    <x v="2"/>
    <x v="2"/>
    <x v="12"/>
    <x v="1"/>
    <n v="1"/>
    <n v="799"/>
    <n v="0.15"/>
    <n v="119.85"/>
    <n v="799"/>
    <n v="679.15"/>
    <x v="0"/>
    <x v="1"/>
    <n v="80"/>
    <n v="0.85"/>
    <n v="0"/>
  </r>
  <r>
    <s v="ORD-5254"/>
    <d v="2025-10-21T00:00:00"/>
    <x v="2"/>
    <s v="CUST-854"/>
    <x v="4"/>
    <x v="4"/>
    <x v="2"/>
    <x v="6"/>
    <x v="0"/>
    <n v="1"/>
    <n v="1599"/>
    <n v="0.25"/>
    <n v="399.75"/>
    <n v="1599"/>
    <n v="1199.25"/>
    <x v="0"/>
    <x v="0"/>
    <n v="0"/>
    <n v="0.75"/>
    <n v="0"/>
  </r>
  <r>
    <s v="ORD-5255"/>
    <d v="2025-01-26T00:00:00"/>
    <x v="7"/>
    <s v="CUST-797"/>
    <x v="0"/>
    <x v="0"/>
    <x v="0"/>
    <x v="7"/>
    <x v="1"/>
    <n v="1"/>
    <n v="1299"/>
    <n v="0"/>
    <n v="0"/>
    <n v="1299"/>
    <n v="1299"/>
    <x v="2"/>
    <x v="1"/>
    <n v="60"/>
    <n v="1"/>
    <n v="0"/>
  </r>
  <r>
    <s v="ORD-5256"/>
    <d v="2025-09-16T00:00:00"/>
    <x v="3"/>
    <s v="CUST-274"/>
    <x v="4"/>
    <x v="4"/>
    <x v="2"/>
    <x v="17"/>
    <x v="1"/>
    <n v="1"/>
    <n v="2199"/>
    <n v="0"/>
    <n v="0"/>
    <n v="2199"/>
    <n v="2199"/>
    <x v="0"/>
    <x v="0"/>
    <n v="60"/>
    <n v="1"/>
    <n v="0"/>
  </r>
  <r>
    <s v="ORD-5257"/>
    <d v="2025-09-15T00:00:00"/>
    <x v="3"/>
    <s v="CUST-656"/>
    <x v="0"/>
    <x v="0"/>
    <x v="0"/>
    <x v="17"/>
    <x v="1"/>
    <n v="4"/>
    <n v="2199"/>
    <n v="0.15"/>
    <n v="329.84999999999997"/>
    <n v="8796"/>
    <n v="8466.15"/>
    <x v="1"/>
    <x v="0"/>
    <n v="40"/>
    <n v="0.96249999999999991"/>
    <n v="0"/>
  </r>
  <r>
    <s v="ORD-5258"/>
    <d v="2025-06-02T00:00:00"/>
    <x v="11"/>
    <s v="CUST-449"/>
    <x v="1"/>
    <x v="1"/>
    <x v="1"/>
    <x v="19"/>
    <x v="2"/>
    <n v="1"/>
    <n v="1499"/>
    <n v="0.05"/>
    <n v="74.95"/>
    <n v="1499"/>
    <n v="1424.05"/>
    <x v="2"/>
    <x v="0"/>
    <n v="60"/>
    <n v="0.95"/>
    <n v="0"/>
  </r>
  <r>
    <s v="ORD-5259"/>
    <d v="2025-12-12T00:00:00"/>
    <x v="4"/>
    <s v="CUST-266"/>
    <x v="5"/>
    <x v="5"/>
    <x v="3"/>
    <x v="0"/>
    <x v="0"/>
    <n v="4"/>
    <n v="1799"/>
    <n v="0.2"/>
    <n v="359.8"/>
    <n v="7196"/>
    <n v="6836.2"/>
    <x v="3"/>
    <x v="0"/>
    <n v="60"/>
    <n v="0.95"/>
    <n v="0"/>
  </r>
  <r>
    <s v="ORD-5260"/>
    <d v="2025-06-09T00:00:00"/>
    <x v="11"/>
    <s v="CUST-467"/>
    <x v="5"/>
    <x v="5"/>
    <x v="3"/>
    <x v="15"/>
    <x v="3"/>
    <n v="1"/>
    <n v="299"/>
    <n v="0.1"/>
    <n v="29.900000000000002"/>
    <n v="299"/>
    <n v="269.10000000000002"/>
    <x v="0"/>
    <x v="0"/>
    <n v="40"/>
    <n v="0.9"/>
    <n v="0"/>
  </r>
  <r>
    <s v="ORD-5261"/>
    <d v="2025-08-12T00:00:00"/>
    <x v="0"/>
    <s v="CUST-202"/>
    <x v="6"/>
    <x v="6"/>
    <x v="2"/>
    <x v="11"/>
    <x v="2"/>
    <n v="2"/>
    <n v="5499"/>
    <n v="0.2"/>
    <n v="1099.8"/>
    <n v="10998"/>
    <n v="9898.2000000000007"/>
    <x v="1"/>
    <x v="0"/>
    <n v="80"/>
    <n v="0.9"/>
    <n v="0"/>
  </r>
  <r>
    <s v="ORD-5262"/>
    <d v="2025-06-30T00:00:00"/>
    <x v="11"/>
    <s v="CUST-434"/>
    <x v="3"/>
    <x v="3"/>
    <x v="3"/>
    <x v="17"/>
    <x v="1"/>
    <n v="1"/>
    <n v="2199"/>
    <n v="0"/>
    <n v="0"/>
    <n v="2199"/>
    <n v="2199"/>
    <x v="0"/>
    <x v="2"/>
    <n v="0"/>
    <n v="1"/>
    <n v="0"/>
  </r>
  <r>
    <s v="ORD-5263"/>
    <d v="2025-08-09T00:00:00"/>
    <x v="0"/>
    <s v="CUST-227"/>
    <x v="2"/>
    <x v="2"/>
    <x v="2"/>
    <x v="2"/>
    <x v="2"/>
    <n v="1"/>
    <n v="2799"/>
    <n v="0.15"/>
    <n v="419.84999999999997"/>
    <n v="2799"/>
    <n v="2379.15"/>
    <x v="0"/>
    <x v="0"/>
    <n v="0"/>
    <n v="0.85"/>
    <n v="0"/>
  </r>
  <r>
    <s v="ORD-5264"/>
    <d v="2025-01-14T00:00:00"/>
    <x v="7"/>
    <s v="CUST-510"/>
    <x v="5"/>
    <x v="5"/>
    <x v="3"/>
    <x v="12"/>
    <x v="1"/>
    <n v="1"/>
    <n v="799"/>
    <n v="0.1"/>
    <n v="79.900000000000006"/>
    <n v="799"/>
    <n v="719.1"/>
    <x v="2"/>
    <x v="0"/>
    <n v="60"/>
    <n v="0.9"/>
    <n v="0"/>
  </r>
  <r>
    <s v="ORD-5265"/>
    <d v="2025-09-25T00:00:00"/>
    <x v="3"/>
    <s v="CUST-748"/>
    <x v="1"/>
    <x v="1"/>
    <x v="1"/>
    <x v="8"/>
    <x v="1"/>
    <n v="1"/>
    <n v="2499"/>
    <n v="0.25"/>
    <n v="624.75"/>
    <n v="2499"/>
    <n v="1874.25"/>
    <x v="2"/>
    <x v="1"/>
    <n v="40"/>
    <n v="0.75"/>
    <n v="0"/>
  </r>
  <r>
    <s v="ORD-5266"/>
    <d v="2025-07-06T00:00:00"/>
    <x v="5"/>
    <s v="CUST-547"/>
    <x v="1"/>
    <x v="1"/>
    <x v="1"/>
    <x v="9"/>
    <x v="1"/>
    <n v="1"/>
    <n v="1899"/>
    <n v="0.1"/>
    <n v="189.9"/>
    <n v="1899"/>
    <n v="1709.1"/>
    <x v="3"/>
    <x v="0"/>
    <n v="80"/>
    <n v="0.89999999999999991"/>
    <n v="0"/>
  </r>
  <r>
    <s v="ORD-5267"/>
    <d v="2025-08-31T00:00:00"/>
    <x v="0"/>
    <s v="CUST-625"/>
    <x v="8"/>
    <x v="1"/>
    <x v="1"/>
    <x v="8"/>
    <x v="1"/>
    <n v="1"/>
    <n v="2499"/>
    <n v="0"/>
    <n v="0"/>
    <n v="2499"/>
    <n v="2499"/>
    <x v="0"/>
    <x v="0"/>
    <n v="60"/>
    <n v="1"/>
    <n v="0"/>
  </r>
  <r>
    <s v="ORD-5268"/>
    <d v="2025-01-07T00:00:00"/>
    <x v="7"/>
    <s v="CUST-258"/>
    <x v="2"/>
    <x v="2"/>
    <x v="2"/>
    <x v="6"/>
    <x v="0"/>
    <n v="1"/>
    <n v="1599"/>
    <n v="0"/>
    <n v="0"/>
    <n v="1599"/>
    <n v="1599"/>
    <x v="3"/>
    <x v="0"/>
    <n v="60"/>
    <n v="1"/>
    <n v="0"/>
  </r>
  <r>
    <s v="ORD-5269"/>
    <d v="2025-06-13T00:00:00"/>
    <x v="11"/>
    <s v="CUST-259"/>
    <x v="4"/>
    <x v="4"/>
    <x v="2"/>
    <x v="2"/>
    <x v="2"/>
    <n v="2"/>
    <n v="2799"/>
    <n v="0.1"/>
    <n v="279.90000000000003"/>
    <n v="5598"/>
    <n v="5318.1"/>
    <x v="3"/>
    <x v="0"/>
    <n v="0"/>
    <n v="0.95000000000000007"/>
    <n v="0"/>
  </r>
  <r>
    <s v="ORD-5270"/>
    <d v="2025-05-10T00:00:00"/>
    <x v="8"/>
    <s v="CUST-675"/>
    <x v="8"/>
    <x v="1"/>
    <x v="1"/>
    <x v="4"/>
    <x v="3"/>
    <n v="2"/>
    <n v="349"/>
    <n v="0"/>
    <n v="0"/>
    <n v="698"/>
    <n v="698"/>
    <x v="3"/>
    <x v="1"/>
    <n v="40"/>
    <n v="1"/>
    <n v="0"/>
  </r>
  <r>
    <s v="ORD-5271"/>
    <d v="2025-10-21T00:00:00"/>
    <x v="2"/>
    <s v="CUST-897"/>
    <x v="9"/>
    <x v="8"/>
    <x v="1"/>
    <x v="15"/>
    <x v="3"/>
    <n v="1"/>
    <n v="299"/>
    <n v="0.1"/>
    <n v="29.900000000000002"/>
    <n v="299"/>
    <n v="269.10000000000002"/>
    <x v="3"/>
    <x v="0"/>
    <n v="0"/>
    <n v="0.9"/>
    <n v="0"/>
  </r>
  <r>
    <s v="ORD-5272"/>
    <d v="2025-05-06T00:00:00"/>
    <x v="8"/>
    <s v="CUST-592"/>
    <x v="1"/>
    <x v="1"/>
    <x v="1"/>
    <x v="22"/>
    <x v="2"/>
    <n v="2"/>
    <n v="3299"/>
    <n v="0"/>
    <n v="0"/>
    <n v="6598"/>
    <n v="6598"/>
    <x v="3"/>
    <x v="0"/>
    <n v="80"/>
    <n v="1"/>
    <n v="0"/>
  </r>
  <r>
    <s v="ORD-5273"/>
    <d v="2025-05-06T00:00:00"/>
    <x v="8"/>
    <s v="CUST-853"/>
    <x v="1"/>
    <x v="1"/>
    <x v="1"/>
    <x v="22"/>
    <x v="2"/>
    <n v="5"/>
    <n v="3299"/>
    <n v="0.25"/>
    <n v="824.75"/>
    <n v="16495"/>
    <n v="15670.25"/>
    <x v="3"/>
    <x v="0"/>
    <n v="40"/>
    <n v="0.95"/>
    <n v="0"/>
  </r>
  <r>
    <s v="ORD-5274"/>
    <d v="2025-07-24T00:00:00"/>
    <x v="5"/>
    <s v="CUST-474"/>
    <x v="10"/>
    <x v="9"/>
    <x v="4"/>
    <x v="14"/>
    <x v="4"/>
    <n v="1"/>
    <n v="399"/>
    <n v="0.1"/>
    <n v="39.900000000000006"/>
    <n v="399"/>
    <n v="359.1"/>
    <x v="3"/>
    <x v="0"/>
    <n v="80"/>
    <n v="0.9"/>
    <n v="0"/>
  </r>
  <r>
    <s v="ORD-5275"/>
    <d v="2025-06-11T00:00:00"/>
    <x v="11"/>
    <s v="CUST-511"/>
    <x v="2"/>
    <x v="2"/>
    <x v="2"/>
    <x v="7"/>
    <x v="1"/>
    <n v="2"/>
    <n v="1299"/>
    <n v="0.1"/>
    <n v="129.9"/>
    <n v="2598"/>
    <n v="2468.1"/>
    <x v="3"/>
    <x v="0"/>
    <n v="80"/>
    <n v="0.95"/>
    <n v="0"/>
  </r>
  <r>
    <s v="ORD-5276"/>
    <d v="2025-08-21T00:00:00"/>
    <x v="0"/>
    <s v="CUST-611"/>
    <x v="9"/>
    <x v="8"/>
    <x v="1"/>
    <x v="2"/>
    <x v="2"/>
    <n v="2"/>
    <n v="2799"/>
    <n v="0.2"/>
    <n v="559.80000000000007"/>
    <n v="5598"/>
    <n v="5038.2"/>
    <x v="3"/>
    <x v="0"/>
    <n v="40"/>
    <n v="0.9"/>
    <n v="0"/>
  </r>
  <r>
    <s v="ORD-5277"/>
    <d v="2025-11-06T00:00:00"/>
    <x v="10"/>
    <s v="CUST-431"/>
    <x v="2"/>
    <x v="2"/>
    <x v="2"/>
    <x v="17"/>
    <x v="1"/>
    <n v="1"/>
    <n v="2199"/>
    <n v="0.25"/>
    <n v="549.75"/>
    <n v="2199"/>
    <n v="1649.25"/>
    <x v="3"/>
    <x v="0"/>
    <n v="60"/>
    <n v="0.75"/>
    <n v="0"/>
  </r>
  <r>
    <s v="ORD-5278"/>
    <d v="2025-01-09T00:00:00"/>
    <x v="7"/>
    <s v="CUST-292"/>
    <x v="2"/>
    <x v="2"/>
    <x v="2"/>
    <x v="6"/>
    <x v="0"/>
    <n v="1"/>
    <n v="1599"/>
    <n v="0.2"/>
    <n v="319.8"/>
    <n v="1599"/>
    <n v="1279.2"/>
    <x v="3"/>
    <x v="0"/>
    <n v="80"/>
    <n v="0.8"/>
    <n v="0"/>
  </r>
  <r>
    <s v="ORD-5279"/>
    <d v="2025-08-11T00:00:00"/>
    <x v="0"/>
    <s v="CUST-420"/>
    <x v="0"/>
    <x v="0"/>
    <x v="0"/>
    <x v="8"/>
    <x v="1"/>
    <n v="1"/>
    <n v="2499"/>
    <n v="0"/>
    <n v="0"/>
    <n v="2499"/>
    <n v="2499"/>
    <x v="3"/>
    <x v="1"/>
    <n v="60"/>
    <n v="1"/>
    <n v="0"/>
  </r>
  <r>
    <s v="ORD-5280"/>
    <d v="2025-09-02T00:00:00"/>
    <x v="3"/>
    <s v="CUST-617"/>
    <x v="6"/>
    <x v="6"/>
    <x v="2"/>
    <x v="2"/>
    <x v="2"/>
    <n v="1"/>
    <n v="2799"/>
    <n v="0.1"/>
    <n v="279.90000000000003"/>
    <n v="2799"/>
    <n v="2519.1"/>
    <x v="1"/>
    <x v="0"/>
    <n v="40"/>
    <n v="0.9"/>
    <n v="0"/>
  </r>
  <r>
    <s v="ORD-5281"/>
    <d v="2025-06-16T00:00:00"/>
    <x v="11"/>
    <s v="CUST-740"/>
    <x v="7"/>
    <x v="7"/>
    <x v="1"/>
    <x v="2"/>
    <x v="2"/>
    <n v="1"/>
    <n v="2799"/>
    <n v="0"/>
    <n v="0"/>
    <n v="2799"/>
    <n v="2799"/>
    <x v="3"/>
    <x v="0"/>
    <n v="80"/>
    <n v="1"/>
    <n v="0"/>
  </r>
  <r>
    <s v="ORD-5282"/>
    <d v="2025-08-04T00:00:00"/>
    <x v="0"/>
    <s v="CUST-673"/>
    <x v="6"/>
    <x v="6"/>
    <x v="2"/>
    <x v="19"/>
    <x v="2"/>
    <n v="1"/>
    <n v="1499"/>
    <n v="0.05"/>
    <n v="74.95"/>
    <n v="1499"/>
    <n v="1424.05"/>
    <x v="1"/>
    <x v="1"/>
    <n v="0"/>
    <n v="0.95"/>
    <n v="0"/>
  </r>
  <r>
    <s v="ORD-5283"/>
    <d v="2025-08-10T00:00:00"/>
    <x v="0"/>
    <s v="CUST-372"/>
    <x v="8"/>
    <x v="1"/>
    <x v="1"/>
    <x v="15"/>
    <x v="3"/>
    <n v="1"/>
    <n v="299"/>
    <n v="0"/>
    <n v="0"/>
    <n v="299"/>
    <n v="299"/>
    <x v="2"/>
    <x v="0"/>
    <n v="80"/>
    <n v="1"/>
    <n v="0"/>
  </r>
  <r>
    <s v="ORD-5284"/>
    <d v="2025-07-03T00:00:00"/>
    <x v="5"/>
    <s v="CUST-614"/>
    <x v="1"/>
    <x v="1"/>
    <x v="1"/>
    <x v="22"/>
    <x v="2"/>
    <n v="1"/>
    <n v="3299"/>
    <n v="0"/>
    <n v="0"/>
    <n v="3299"/>
    <n v="3299"/>
    <x v="3"/>
    <x v="0"/>
    <n v="40"/>
    <n v="1"/>
    <n v="0"/>
  </r>
  <r>
    <s v="ORD-5285"/>
    <d v="2025-03-02T00:00:00"/>
    <x v="1"/>
    <s v="CUST-395"/>
    <x v="3"/>
    <x v="3"/>
    <x v="3"/>
    <x v="12"/>
    <x v="1"/>
    <n v="2"/>
    <n v="799"/>
    <n v="0"/>
    <n v="0"/>
    <n v="1598"/>
    <n v="1598"/>
    <x v="0"/>
    <x v="1"/>
    <n v="0"/>
    <n v="1"/>
    <n v="0"/>
  </r>
  <r>
    <s v="ORD-5286"/>
    <d v="2025-06-19T00:00:00"/>
    <x v="11"/>
    <s v="CUST-529"/>
    <x v="3"/>
    <x v="3"/>
    <x v="3"/>
    <x v="19"/>
    <x v="2"/>
    <n v="2"/>
    <n v="1499"/>
    <n v="0.1"/>
    <n v="149.9"/>
    <n v="2998"/>
    <n v="2848.1"/>
    <x v="2"/>
    <x v="0"/>
    <n v="40"/>
    <n v="0.95"/>
    <n v="0"/>
  </r>
  <r>
    <s v="ORD-5287"/>
    <d v="2025-01-15T00:00:00"/>
    <x v="7"/>
    <s v="CUST-488"/>
    <x v="2"/>
    <x v="2"/>
    <x v="2"/>
    <x v="16"/>
    <x v="4"/>
    <n v="3"/>
    <n v="1599"/>
    <n v="0.25"/>
    <n v="399.75"/>
    <n v="4797"/>
    <n v="4397.25"/>
    <x v="1"/>
    <x v="0"/>
    <n v="40"/>
    <n v="0.91666666666666663"/>
    <n v="0"/>
  </r>
  <r>
    <s v="ORD-5288"/>
    <d v="2025-11-26T00:00:00"/>
    <x v="10"/>
    <s v="CUST-386"/>
    <x v="7"/>
    <x v="7"/>
    <x v="1"/>
    <x v="0"/>
    <x v="0"/>
    <n v="3"/>
    <n v="1799"/>
    <n v="0.25"/>
    <n v="449.75"/>
    <n v="5397"/>
    <n v="4947.25"/>
    <x v="0"/>
    <x v="0"/>
    <n v="40"/>
    <n v="0.91666666666666663"/>
    <n v="0"/>
  </r>
  <r>
    <s v="ORD-5289"/>
    <d v="2025-12-28T00:00:00"/>
    <x v="4"/>
    <s v="CUST-431"/>
    <x v="4"/>
    <x v="4"/>
    <x v="2"/>
    <x v="0"/>
    <x v="0"/>
    <n v="1"/>
    <n v="1799"/>
    <n v="0.15"/>
    <n v="269.84999999999997"/>
    <n v="1799"/>
    <n v="1529.15"/>
    <x v="3"/>
    <x v="0"/>
    <n v="80"/>
    <n v="0.85000000000000009"/>
    <n v="0"/>
  </r>
  <r>
    <s v="ORD-5290"/>
    <d v="2025-12-23T00:00:00"/>
    <x v="4"/>
    <s v="CUST-797"/>
    <x v="1"/>
    <x v="1"/>
    <x v="1"/>
    <x v="11"/>
    <x v="2"/>
    <n v="2"/>
    <n v="5499"/>
    <n v="0"/>
    <n v="0"/>
    <n v="10998"/>
    <n v="10998"/>
    <x v="3"/>
    <x v="0"/>
    <n v="60"/>
    <n v="1"/>
    <n v="0"/>
  </r>
  <r>
    <s v="ORD-5291"/>
    <d v="2025-11-04T00:00:00"/>
    <x v="10"/>
    <s v="CUST-221"/>
    <x v="9"/>
    <x v="8"/>
    <x v="1"/>
    <x v="13"/>
    <x v="2"/>
    <n v="1"/>
    <n v="449"/>
    <n v="0.2"/>
    <n v="89.800000000000011"/>
    <n v="449"/>
    <n v="359.2"/>
    <x v="0"/>
    <x v="2"/>
    <n v="60"/>
    <n v="0.79999999999999993"/>
    <n v="0"/>
  </r>
  <r>
    <s v="ORD-5292"/>
    <d v="2025-12-23T00:00:00"/>
    <x v="4"/>
    <s v="CUST-426"/>
    <x v="6"/>
    <x v="6"/>
    <x v="2"/>
    <x v="8"/>
    <x v="1"/>
    <n v="1"/>
    <n v="2499"/>
    <n v="0.15"/>
    <n v="374.84999999999997"/>
    <n v="2499"/>
    <n v="2124.15"/>
    <x v="3"/>
    <x v="0"/>
    <n v="60"/>
    <n v="0.85000000000000009"/>
    <n v="0"/>
  </r>
  <r>
    <s v="ORD-5293"/>
    <d v="2025-06-03T00:00:00"/>
    <x v="11"/>
    <s v="CUST-626"/>
    <x v="2"/>
    <x v="2"/>
    <x v="2"/>
    <x v="1"/>
    <x v="1"/>
    <n v="1"/>
    <n v="3999"/>
    <n v="0.1"/>
    <n v="399.90000000000003"/>
    <n v="3999"/>
    <n v="3599.1"/>
    <x v="3"/>
    <x v="0"/>
    <n v="0"/>
    <n v="0.9"/>
    <n v="0"/>
  </r>
  <r>
    <s v="ORD-5294"/>
    <d v="2025-08-29T00:00:00"/>
    <x v="0"/>
    <s v="CUST-837"/>
    <x v="0"/>
    <x v="0"/>
    <x v="0"/>
    <x v="12"/>
    <x v="1"/>
    <n v="1"/>
    <n v="799"/>
    <n v="0.1"/>
    <n v="79.900000000000006"/>
    <n v="799"/>
    <n v="719.1"/>
    <x v="3"/>
    <x v="0"/>
    <n v="40"/>
    <n v="0.9"/>
    <n v="0"/>
  </r>
  <r>
    <s v="ORD-5295"/>
    <d v="2025-07-05T00:00:00"/>
    <x v="5"/>
    <s v="CUST-745"/>
    <x v="5"/>
    <x v="5"/>
    <x v="3"/>
    <x v="6"/>
    <x v="0"/>
    <n v="1"/>
    <n v="1599"/>
    <n v="0.1"/>
    <n v="159.9"/>
    <n v="1599"/>
    <n v="1439.1"/>
    <x v="2"/>
    <x v="0"/>
    <n v="40"/>
    <n v="0.89999999999999991"/>
    <n v="0"/>
  </r>
  <r>
    <s v="ORD-5296"/>
    <d v="2025-06-04T00:00:00"/>
    <x v="11"/>
    <s v="CUST-835"/>
    <x v="4"/>
    <x v="4"/>
    <x v="2"/>
    <x v="1"/>
    <x v="1"/>
    <n v="1"/>
    <n v="3999"/>
    <n v="0.2"/>
    <n v="799.80000000000007"/>
    <n v="3999"/>
    <n v="3199.2"/>
    <x v="0"/>
    <x v="0"/>
    <n v="60"/>
    <n v="0.79999999999999993"/>
    <n v="0"/>
  </r>
  <r>
    <s v="ORD-5297"/>
    <d v="2025-12-21T00:00:00"/>
    <x v="4"/>
    <s v="CUST-606"/>
    <x v="6"/>
    <x v="6"/>
    <x v="2"/>
    <x v="14"/>
    <x v="4"/>
    <n v="2"/>
    <n v="399"/>
    <n v="0.15"/>
    <n v="59.849999999999994"/>
    <n v="798"/>
    <n v="738.15"/>
    <x v="3"/>
    <x v="0"/>
    <n v="40"/>
    <n v="0.92499999999999993"/>
    <n v="0"/>
  </r>
  <r>
    <s v="ORD-5298"/>
    <d v="2025-10-01T00:00:00"/>
    <x v="2"/>
    <s v="CUST-496"/>
    <x v="6"/>
    <x v="6"/>
    <x v="2"/>
    <x v="8"/>
    <x v="1"/>
    <n v="1"/>
    <n v="2499"/>
    <n v="0.2"/>
    <n v="499.8"/>
    <n v="2499"/>
    <n v="1999.2"/>
    <x v="1"/>
    <x v="0"/>
    <n v="0"/>
    <n v="0.8"/>
    <n v="0"/>
  </r>
  <r>
    <s v="ORD-5299"/>
    <d v="2025-01-07T00:00:00"/>
    <x v="7"/>
    <s v="CUST-313"/>
    <x v="4"/>
    <x v="4"/>
    <x v="2"/>
    <x v="10"/>
    <x v="0"/>
    <n v="2"/>
    <n v="599"/>
    <n v="0.05"/>
    <n v="29.950000000000003"/>
    <n v="1198"/>
    <n v="1168.05"/>
    <x v="1"/>
    <x v="0"/>
    <n v="80"/>
    <n v="0.97499999999999998"/>
    <n v="0"/>
  </r>
  <r>
    <s v="ORD-5300"/>
    <d v="2025-10-03T00:00:00"/>
    <x v="2"/>
    <s v="CUST-711"/>
    <x v="3"/>
    <x v="3"/>
    <x v="3"/>
    <x v="0"/>
    <x v="0"/>
    <n v="2"/>
    <n v="1799"/>
    <n v="0.25"/>
    <n v="449.75"/>
    <n v="3598"/>
    <n v="3148.25"/>
    <x v="3"/>
    <x v="0"/>
    <n v="60"/>
    <n v="0.875"/>
    <n v="0"/>
  </r>
  <r>
    <s v="ORD-5301"/>
    <d v="2025-10-24T00:00:00"/>
    <x v="2"/>
    <s v="CUST-518"/>
    <x v="3"/>
    <x v="3"/>
    <x v="3"/>
    <x v="20"/>
    <x v="3"/>
    <n v="2"/>
    <n v="499"/>
    <n v="0.1"/>
    <n v="49.900000000000006"/>
    <n v="998"/>
    <n v="948.1"/>
    <x v="1"/>
    <x v="0"/>
    <n v="0"/>
    <n v="0.95000000000000007"/>
    <n v="0"/>
  </r>
  <r>
    <s v="ORD-5302"/>
    <d v="2025-05-15T00:00:00"/>
    <x v="8"/>
    <s v="CUST-369"/>
    <x v="1"/>
    <x v="1"/>
    <x v="1"/>
    <x v="4"/>
    <x v="3"/>
    <n v="3"/>
    <n v="349"/>
    <n v="0.1"/>
    <n v="34.9"/>
    <n v="1047"/>
    <n v="1012.1"/>
    <x v="3"/>
    <x v="0"/>
    <n v="40"/>
    <n v="0.96666666666666667"/>
    <n v="0"/>
  </r>
  <r>
    <s v="ORD-5303"/>
    <d v="2025-03-25T00:00:00"/>
    <x v="1"/>
    <s v="CUST-465"/>
    <x v="9"/>
    <x v="8"/>
    <x v="1"/>
    <x v="11"/>
    <x v="2"/>
    <n v="2"/>
    <n v="5499"/>
    <n v="0.25"/>
    <n v="1374.75"/>
    <n v="10998"/>
    <n v="9623.25"/>
    <x v="2"/>
    <x v="0"/>
    <n v="60"/>
    <n v="0.875"/>
    <n v="0"/>
  </r>
  <r>
    <s v="ORD-5304"/>
    <d v="2025-01-04T00:00:00"/>
    <x v="7"/>
    <s v="CUST-872"/>
    <x v="3"/>
    <x v="3"/>
    <x v="3"/>
    <x v="2"/>
    <x v="2"/>
    <n v="3"/>
    <n v="2799"/>
    <n v="0"/>
    <n v="0"/>
    <n v="8397"/>
    <n v="8397"/>
    <x v="2"/>
    <x v="0"/>
    <n v="40"/>
    <n v="1"/>
    <n v="0"/>
  </r>
  <r>
    <s v="ORD-5305"/>
    <d v="2025-05-03T00:00:00"/>
    <x v="8"/>
    <s v="CUST-284"/>
    <x v="1"/>
    <x v="1"/>
    <x v="1"/>
    <x v="10"/>
    <x v="0"/>
    <n v="1"/>
    <n v="599"/>
    <n v="0.1"/>
    <n v="59.900000000000006"/>
    <n v="599"/>
    <n v="539.1"/>
    <x v="3"/>
    <x v="0"/>
    <n v="40"/>
    <n v="0.9"/>
    <n v="0"/>
  </r>
  <r>
    <s v="ORD-5306"/>
    <d v="2025-11-21T00:00:00"/>
    <x v="10"/>
    <s v="CUST-207"/>
    <x v="1"/>
    <x v="1"/>
    <x v="1"/>
    <x v="10"/>
    <x v="0"/>
    <n v="4"/>
    <n v="599"/>
    <n v="0.2"/>
    <n v="119.80000000000001"/>
    <n v="2396"/>
    <n v="2276.1999999999998"/>
    <x v="0"/>
    <x v="0"/>
    <n v="80"/>
    <n v="0.95"/>
    <n v="0"/>
  </r>
  <r>
    <s v="ORD-5307"/>
    <d v="2025-01-25T00:00:00"/>
    <x v="7"/>
    <s v="CUST-580"/>
    <x v="6"/>
    <x v="6"/>
    <x v="2"/>
    <x v="1"/>
    <x v="1"/>
    <n v="1"/>
    <n v="3999"/>
    <n v="0"/>
    <n v="0"/>
    <n v="3999"/>
    <n v="3999"/>
    <x v="3"/>
    <x v="0"/>
    <n v="40"/>
    <n v="1"/>
    <n v="0"/>
  </r>
  <r>
    <s v="ORD-5308"/>
    <d v="2025-09-13T00:00:00"/>
    <x v="3"/>
    <s v="CUST-243"/>
    <x v="1"/>
    <x v="1"/>
    <x v="1"/>
    <x v="12"/>
    <x v="1"/>
    <n v="1"/>
    <n v="799"/>
    <n v="0.1"/>
    <n v="79.900000000000006"/>
    <n v="799"/>
    <n v="719.1"/>
    <x v="2"/>
    <x v="0"/>
    <n v="0"/>
    <n v="0.9"/>
    <n v="0"/>
  </r>
  <r>
    <s v="ORD-5309"/>
    <d v="2025-08-28T00:00:00"/>
    <x v="0"/>
    <s v="CUST-367"/>
    <x v="8"/>
    <x v="1"/>
    <x v="1"/>
    <x v="7"/>
    <x v="1"/>
    <n v="3"/>
    <n v="1299"/>
    <n v="0.1"/>
    <n v="129.9"/>
    <n v="3897"/>
    <n v="3767.1"/>
    <x v="2"/>
    <x v="0"/>
    <n v="0"/>
    <n v="0.96666666666666667"/>
    <n v="0"/>
  </r>
  <r>
    <s v="ORD-5310"/>
    <d v="2025-03-17T00:00:00"/>
    <x v="1"/>
    <s v="CUST-229"/>
    <x v="3"/>
    <x v="3"/>
    <x v="3"/>
    <x v="10"/>
    <x v="0"/>
    <n v="1"/>
    <n v="599"/>
    <n v="0.1"/>
    <n v="59.900000000000006"/>
    <n v="599"/>
    <n v="539.1"/>
    <x v="0"/>
    <x v="1"/>
    <n v="40"/>
    <n v="0.9"/>
    <n v="0"/>
  </r>
  <r>
    <s v="ORD-5311"/>
    <d v="2025-03-13T00:00:00"/>
    <x v="1"/>
    <s v="CUST-238"/>
    <x v="2"/>
    <x v="2"/>
    <x v="2"/>
    <x v="12"/>
    <x v="1"/>
    <n v="2"/>
    <n v="799"/>
    <n v="0.15"/>
    <n v="119.85"/>
    <n v="1598"/>
    <n v="1478.15"/>
    <x v="3"/>
    <x v="0"/>
    <n v="40"/>
    <n v="0.92500000000000004"/>
    <n v="0"/>
  </r>
  <r>
    <s v="ORD-5312"/>
    <d v="2025-08-12T00:00:00"/>
    <x v="0"/>
    <s v="CUST-272"/>
    <x v="1"/>
    <x v="1"/>
    <x v="1"/>
    <x v="12"/>
    <x v="1"/>
    <n v="1"/>
    <n v="799"/>
    <n v="0.1"/>
    <n v="79.900000000000006"/>
    <n v="799"/>
    <n v="719.1"/>
    <x v="0"/>
    <x v="0"/>
    <n v="80"/>
    <n v="0.9"/>
    <n v="0"/>
  </r>
  <r>
    <s v="ORD-6869"/>
    <d v="2025-12-12T00:00:00"/>
    <x v="4"/>
    <s v="CUST-723"/>
    <x v="8"/>
    <x v="1"/>
    <x v="1"/>
    <x v="1"/>
    <x v="1"/>
    <n v="3"/>
    <n v="3999"/>
    <n v="0.1"/>
    <n v="399.90000000000003"/>
    <n v="11997"/>
    <n v="11597.1"/>
    <x v="0"/>
    <x v="0"/>
    <n v="80"/>
    <n v="0.96666666666666667"/>
    <n v="0"/>
  </r>
  <r>
    <s v="ORD-5313"/>
    <d v="2025-10-18T00:00:00"/>
    <x v="2"/>
    <s v="CUST-240"/>
    <x v="5"/>
    <x v="5"/>
    <x v="3"/>
    <x v="6"/>
    <x v="0"/>
    <n v="1"/>
    <n v="1599"/>
    <n v="0"/>
    <n v="0"/>
    <n v="1599"/>
    <n v="1599"/>
    <x v="3"/>
    <x v="0"/>
    <n v="60"/>
    <n v="1"/>
    <n v="0"/>
  </r>
  <r>
    <s v="ORD-5314"/>
    <d v="2025-10-28T00:00:00"/>
    <x v="2"/>
    <s v="CUST-335"/>
    <x v="1"/>
    <x v="1"/>
    <x v="1"/>
    <x v="15"/>
    <x v="3"/>
    <n v="1"/>
    <n v="299"/>
    <n v="0.1"/>
    <n v="29.900000000000002"/>
    <n v="299"/>
    <n v="269.10000000000002"/>
    <x v="2"/>
    <x v="0"/>
    <n v="60"/>
    <n v="0.9"/>
    <n v="0"/>
  </r>
  <r>
    <s v="ORD-5315"/>
    <d v="2025-12-01T00:00:00"/>
    <x v="4"/>
    <s v="CUST-450"/>
    <x v="8"/>
    <x v="1"/>
    <x v="1"/>
    <x v="4"/>
    <x v="3"/>
    <n v="1"/>
    <n v="349"/>
    <n v="0"/>
    <n v="0"/>
    <n v="349"/>
    <n v="349"/>
    <x v="2"/>
    <x v="0"/>
    <n v="40"/>
    <n v="1"/>
    <n v="0"/>
  </r>
  <r>
    <s v="ORD-5316"/>
    <d v="2025-05-09T00:00:00"/>
    <x v="8"/>
    <s v="CUST-625"/>
    <x v="9"/>
    <x v="8"/>
    <x v="1"/>
    <x v="19"/>
    <x v="2"/>
    <n v="2"/>
    <n v="1499"/>
    <n v="0"/>
    <n v="0"/>
    <n v="2998"/>
    <n v="2998"/>
    <x v="3"/>
    <x v="0"/>
    <n v="60"/>
    <n v="1"/>
    <n v="0"/>
  </r>
  <r>
    <s v="ORD-5317"/>
    <d v="2025-12-02T00:00:00"/>
    <x v="4"/>
    <s v="CUST-613"/>
    <x v="6"/>
    <x v="6"/>
    <x v="2"/>
    <x v="15"/>
    <x v="3"/>
    <n v="4"/>
    <n v="299"/>
    <n v="0.1"/>
    <n v="29.900000000000002"/>
    <n v="1196"/>
    <n v="1166.0999999999999"/>
    <x v="3"/>
    <x v="0"/>
    <n v="0"/>
    <n v="0.97499999999999998"/>
    <n v="0"/>
  </r>
  <r>
    <s v="ORD-5318"/>
    <d v="2025-05-24T00:00:00"/>
    <x v="8"/>
    <s v="CUST-396"/>
    <x v="3"/>
    <x v="3"/>
    <x v="3"/>
    <x v="0"/>
    <x v="0"/>
    <n v="1"/>
    <n v="1799"/>
    <n v="0.1"/>
    <n v="179.9"/>
    <n v="1799"/>
    <n v="1619.1"/>
    <x v="0"/>
    <x v="0"/>
    <n v="0"/>
    <n v="0.89999999999999991"/>
    <n v="0"/>
  </r>
  <r>
    <s v="ORD-5319"/>
    <d v="2025-09-17T00:00:00"/>
    <x v="3"/>
    <s v="CUST-589"/>
    <x v="6"/>
    <x v="6"/>
    <x v="2"/>
    <x v="1"/>
    <x v="1"/>
    <n v="1"/>
    <n v="3999"/>
    <n v="0.1"/>
    <n v="399.90000000000003"/>
    <n v="3999"/>
    <n v="3599.1"/>
    <x v="3"/>
    <x v="0"/>
    <n v="0"/>
    <n v="0.9"/>
    <n v="0"/>
  </r>
  <r>
    <s v="ORD-5320"/>
    <d v="2025-01-02T00:00:00"/>
    <x v="7"/>
    <s v="CUST-719"/>
    <x v="2"/>
    <x v="2"/>
    <x v="2"/>
    <x v="17"/>
    <x v="1"/>
    <n v="2"/>
    <n v="2199"/>
    <n v="0.15"/>
    <n v="329.84999999999997"/>
    <n v="4398"/>
    <n v="4068.15"/>
    <x v="3"/>
    <x v="0"/>
    <n v="40"/>
    <n v="0.92500000000000004"/>
    <n v="0"/>
  </r>
  <r>
    <s v="ORD-5321"/>
    <d v="2025-08-26T00:00:00"/>
    <x v="0"/>
    <s v="CUST-525"/>
    <x v="6"/>
    <x v="6"/>
    <x v="2"/>
    <x v="18"/>
    <x v="4"/>
    <n v="4"/>
    <n v="1299"/>
    <n v="0.25"/>
    <n v="324.75"/>
    <n v="5196"/>
    <n v="4871.25"/>
    <x v="3"/>
    <x v="0"/>
    <n v="80"/>
    <n v="0.9375"/>
    <n v="0"/>
  </r>
  <r>
    <s v="ORD-5322"/>
    <d v="2025-03-19T00:00:00"/>
    <x v="1"/>
    <s v="CUST-236"/>
    <x v="4"/>
    <x v="4"/>
    <x v="2"/>
    <x v="0"/>
    <x v="0"/>
    <n v="1"/>
    <n v="1799"/>
    <n v="0.1"/>
    <n v="179.9"/>
    <n v="1799"/>
    <n v="1619.1"/>
    <x v="2"/>
    <x v="0"/>
    <n v="40"/>
    <n v="0.89999999999999991"/>
    <n v="0"/>
  </r>
  <r>
    <s v="ORD-5323"/>
    <d v="2025-10-02T00:00:00"/>
    <x v="2"/>
    <s v="CUST-461"/>
    <x v="6"/>
    <x v="6"/>
    <x v="2"/>
    <x v="5"/>
    <x v="0"/>
    <n v="1"/>
    <n v="2299"/>
    <n v="0.05"/>
    <n v="114.95"/>
    <n v="2299"/>
    <n v="2184.0500000000002"/>
    <x v="2"/>
    <x v="0"/>
    <n v="60"/>
    <n v="0.95000000000000007"/>
    <n v="0"/>
  </r>
  <r>
    <s v="ORD-5324"/>
    <d v="2025-11-25T00:00:00"/>
    <x v="10"/>
    <s v="CUST-365"/>
    <x v="9"/>
    <x v="8"/>
    <x v="1"/>
    <x v="4"/>
    <x v="3"/>
    <n v="1"/>
    <n v="349"/>
    <n v="0.25"/>
    <n v="87.25"/>
    <n v="349"/>
    <n v="261.75"/>
    <x v="3"/>
    <x v="2"/>
    <n v="60"/>
    <n v="0.75"/>
    <n v="0"/>
  </r>
  <r>
    <s v="ORD-5325"/>
    <d v="2025-12-25T00:00:00"/>
    <x v="4"/>
    <s v="CUST-865"/>
    <x v="8"/>
    <x v="1"/>
    <x v="1"/>
    <x v="9"/>
    <x v="1"/>
    <n v="3"/>
    <n v="1899"/>
    <n v="0.15"/>
    <n v="284.84999999999997"/>
    <n v="5697"/>
    <n v="5412.15"/>
    <x v="2"/>
    <x v="0"/>
    <n v="40"/>
    <n v="0.95"/>
    <n v="0"/>
  </r>
  <r>
    <s v="ORD-5326"/>
    <d v="2025-05-27T00:00:00"/>
    <x v="8"/>
    <s v="CUST-679"/>
    <x v="3"/>
    <x v="3"/>
    <x v="3"/>
    <x v="16"/>
    <x v="4"/>
    <n v="2"/>
    <n v="1599"/>
    <n v="0.25"/>
    <n v="399.75"/>
    <n v="3198"/>
    <n v="2798.25"/>
    <x v="3"/>
    <x v="0"/>
    <n v="60"/>
    <n v="0.875"/>
    <n v="0"/>
  </r>
  <r>
    <s v="ORD-5327"/>
    <d v="2025-03-22T00:00:00"/>
    <x v="1"/>
    <s v="CUST-821"/>
    <x v="4"/>
    <x v="4"/>
    <x v="2"/>
    <x v="0"/>
    <x v="0"/>
    <n v="1"/>
    <n v="1799"/>
    <n v="0.1"/>
    <n v="179.9"/>
    <n v="1799"/>
    <n v="1619.1"/>
    <x v="3"/>
    <x v="2"/>
    <n v="60"/>
    <n v="0.89999999999999991"/>
    <n v="0"/>
  </r>
  <r>
    <s v="ORD-5328"/>
    <d v="2025-09-16T00:00:00"/>
    <x v="3"/>
    <s v="CUST-695"/>
    <x v="7"/>
    <x v="7"/>
    <x v="1"/>
    <x v="9"/>
    <x v="1"/>
    <n v="3"/>
    <n v="1899"/>
    <n v="0.2"/>
    <n v="379.8"/>
    <n v="5697"/>
    <n v="5317.2"/>
    <x v="0"/>
    <x v="0"/>
    <n v="60"/>
    <n v="0.93333333333333335"/>
    <n v="0"/>
  </r>
  <r>
    <s v="ORD-5329"/>
    <d v="2025-01-24T00:00:00"/>
    <x v="7"/>
    <s v="CUST-354"/>
    <x v="4"/>
    <x v="4"/>
    <x v="2"/>
    <x v="12"/>
    <x v="1"/>
    <n v="1"/>
    <n v="799"/>
    <n v="0.2"/>
    <n v="159.80000000000001"/>
    <n v="799"/>
    <n v="639.20000000000005"/>
    <x v="0"/>
    <x v="0"/>
    <n v="0"/>
    <n v="0.8"/>
    <n v="0"/>
  </r>
  <r>
    <s v="ORD-5330"/>
    <d v="2025-08-16T00:00:00"/>
    <x v="0"/>
    <s v="CUST-418"/>
    <x v="8"/>
    <x v="1"/>
    <x v="1"/>
    <x v="22"/>
    <x v="2"/>
    <n v="1"/>
    <n v="3299"/>
    <n v="0.1"/>
    <n v="329.90000000000003"/>
    <n v="3299"/>
    <n v="2969.1"/>
    <x v="3"/>
    <x v="0"/>
    <n v="40"/>
    <n v="0.9"/>
    <n v="0"/>
  </r>
  <r>
    <s v="ORD-5331"/>
    <d v="2025-03-25T00:00:00"/>
    <x v="1"/>
    <s v="CUST-265"/>
    <x v="6"/>
    <x v="6"/>
    <x v="2"/>
    <x v="3"/>
    <x v="0"/>
    <n v="1"/>
    <n v="899"/>
    <n v="0.05"/>
    <n v="44.95"/>
    <n v="899"/>
    <n v="854.05"/>
    <x v="3"/>
    <x v="0"/>
    <n v="60"/>
    <n v="0.95"/>
    <n v="0"/>
  </r>
  <r>
    <s v="ORD-5332"/>
    <d v="2025-01-27T00:00:00"/>
    <x v="7"/>
    <s v="CUST-347"/>
    <x v="4"/>
    <x v="4"/>
    <x v="2"/>
    <x v="0"/>
    <x v="0"/>
    <n v="4"/>
    <n v="1799"/>
    <n v="0.1"/>
    <n v="179.9"/>
    <n v="7196"/>
    <n v="7016.1"/>
    <x v="3"/>
    <x v="0"/>
    <n v="0"/>
    <n v="0.97500000000000009"/>
    <n v="0"/>
  </r>
  <r>
    <s v="ORD-5333"/>
    <d v="2025-08-29T00:00:00"/>
    <x v="0"/>
    <s v="CUST-411"/>
    <x v="0"/>
    <x v="0"/>
    <x v="0"/>
    <x v="15"/>
    <x v="3"/>
    <n v="3"/>
    <n v="299"/>
    <n v="0.2"/>
    <n v="59.800000000000004"/>
    <n v="897"/>
    <n v="837.2"/>
    <x v="2"/>
    <x v="0"/>
    <n v="40"/>
    <n v="0.93333333333333335"/>
    <n v="0"/>
  </r>
  <r>
    <s v="ORD-5334"/>
    <d v="2025-06-07T00:00:00"/>
    <x v="11"/>
    <s v="CUST-275"/>
    <x v="4"/>
    <x v="4"/>
    <x v="2"/>
    <x v="5"/>
    <x v="0"/>
    <n v="1"/>
    <n v="2299"/>
    <n v="0.2"/>
    <n v="459.8"/>
    <n v="2299"/>
    <n v="1839.2"/>
    <x v="3"/>
    <x v="0"/>
    <n v="80"/>
    <n v="0.8"/>
    <n v="0"/>
  </r>
  <r>
    <s v="ORD-5335"/>
    <d v="2025-01-31T00:00:00"/>
    <x v="7"/>
    <s v="CUST-241"/>
    <x v="0"/>
    <x v="0"/>
    <x v="0"/>
    <x v="19"/>
    <x v="2"/>
    <n v="3"/>
    <n v="1499"/>
    <n v="0.2"/>
    <n v="299.8"/>
    <n v="4497"/>
    <n v="4197.2"/>
    <x v="3"/>
    <x v="0"/>
    <n v="60"/>
    <n v="0.93333333333333335"/>
    <n v="0"/>
  </r>
  <r>
    <s v="ORD-5336"/>
    <d v="2025-09-22T00:00:00"/>
    <x v="3"/>
    <s v="CUST-468"/>
    <x v="8"/>
    <x v="1"/>
    <x v="1"/>
    <x v="9"/>
    <x v="1"/>
    <n v="3"/>
    <n v="1899"/>
    <n v="0.15"/>
    <n v="284.84999999999997"/>
    <n v="5697"/>
    <n v="5412.15"/>
    <x v="3"/>
    <x v="0"/>
    <n v="80"/>
    <n v="0.95"/>
    <n v="0"/>
  </r>
  <r>
    <s v="ORD-5337"/>
    <d v="2025-08-26T00:00:00"/>
    <x v="0"/>
    <s v="CUST-373"/>
    <x v="3"/>
    <x v="3"/>
    <x v="3"/>
    <x v="18"/>
    <x v="4"/>
    <n v="1"/>
    <n v="1299"/>
    <n v="0"/>
    <n v="0"/>
    <n v="1299"/>
    <n v="1299"/>
    <x v="3"/>
    <x v="2"/>
    <n v="80"/>
    <n v="1"/>
    <n v="0"/>
  </r>
  <r>
    <s v="ORD-5338"/>
    <d v="2025-02-09T00:00:00"/>
    <x v="9"/>
    <s v="CUST-453"/>
    <x v="1"/>
    <x v="1"/>
    <x v="1"/>
    <x v="5"/>
    <x v="0"/>
    <n v="1"/>
    <n v="2299"/>
    <n v="0.05"/>
    <n v="114.95"/>
    <n v="2299"/>
    <n v="2184.0500000000002"/>
    <x v="2"/>
    <x v="0"/>
    <n v="80"/>
    <n v="0.95000000000000007"/>
    <n v="0"/>
  </r>
  <r>
    <s v="ORD-5339"/>
    <d v="2025-07-30T00:00:00"/>
    <x v="5"/>
    <s v="CUST-676"/>
    <x v="4"/>
    <x v="4"/>
    <x v="2"/>
    <x v="5"/>
    <x v="0"/>
    <n v="1"/>
    <n v="2299"/>
    <n v="0.15"/>
    <n v="344.84999999999997"/>
    <n v="2299"/>
    <n v="1954.15"/>
    <x v="2"/>
    <x v="0"/>
    <n v="40"/>
    <n v="0.85000000000000009"/>
    <n v="0"/>
  </r>
  <r>
    <s v="ORD-5340"/>
    <d v="2025-12-15T00:00:00"/>
    <x v="4"/>
    <s v="CUST-303"/>
    <x v="5"/>
    <x v="5"/>
    <x v="3"/>
    <x v="14"/>
    <x v="4"/>
    <n v="1"/>
    <n v="399"/>
    <n v="0"/>
    <n v="0"/>
    <n v="399"/>
    <n v="399"/>
    <x v="3"/>
    <x v="0"/>
    <n v="60"/>
    <n v="1"/>
    <n v="0"/>
  </r>
  <r>
    <s v="ORD-5341"/>
    <d v="2025-12-25T00:00:00"/>
    <x v="4"/>
    <s v="CUST-844"/>
    <x v="1"/>
    <x v="1"/>
    <x v="1"/>
    <x v="10"/>
    <x v="0"/>
    <n v="5"/>
    <n v="599"/>
    <n v="0.05"/>
    <n v="29.950000000000003"/>
    <n v="2995"/>
    <n v="2965.05"/>
    <x v="3"/>
    <x v="0"/>
    <n v="80"/>
    <n v="0.9900000000000001"/>
    <n v="0"/>
  </r>
  <r>
    <s v="ORD-5342"/>
    <d v="2025-06-30T00:00:00"/>
    <x v="11"/>
    <s v="CUST-634"/>
    <x v="0"/>
    <x v="0"/>
    <x v="0"/>
    <x v="12"/>
    <x v="1"/>
    <n v="4"/>
    <n v="799"/>
    <n v="0.25"/>
    <n v="199.75"/>
    <n v="3196"/>
    <n v="2996.25"/>
    <x v="3"/>
    <x v="0"/>
    <n v="80"/>
    <n v="0.9375"/>
    <n v="0"/>
  </r>
  <r>
    <s v="ORD-5343"/>
    <d v="2025-10-19T00:00:00"/>
    <x v="2"/>
    <s v="CUST-629"/>
    <x v="1"/>
    <x v="1"/>
    <x v="1"/>
    <x v="17"/>
    <x v="1"/>
    <n v="1"/>
    <n v="2199"/>
    <n v="0.15"/>
    <n v="329.84999999999997"/>
    <n v="2199"/>
    <n v="1869.15"/>
    <x v="2"/>
    <x v="1"/>
    <n v="0"/>
    <n v="0.85000000000000009"/>
    <n v="0"/>
  </r>
  <r>
    <s v="ORD-5344"/>
    <d v="2025-11-02T00:00:00"/>
    <x v="10"/>
    <s v="CUST-336"/>
    <x v="4"/>
    <x v="4"/>
    <x v="2"/>
    <x v="7"/>
    <x v="1"/>
    <n v="1"/>
    <n v="1299"/>
    <n v="0.2"/>
    <n v="259.8"/>
    <n v="1299"/>
    <n v="1039.2"/>
    <x v="1"/>
    <x v="0"/>
    <n v="0"/>
    <n v="0.8"/>
    <n v="0"/>
  </r>
  <r>
    <s v="ORD-5345"/>
    <d v="2025-02-16T00:00:00"/>
    <x v="9"/>
    <s v="CUST-294"/>
    <x v="1"/>
    <x v="1"/>
    <x v="1"/>
    <x v="17"/>
    <x v="1"/>
    <n v="2"/>
    <n v="2199"/>
    <n v="0.05"/>
    <n v="109.95"/>
    <n v="4398"/>
    <n v="4288.05"/>
    <x v="0"/>
    <x v="1"/>
    <n v="60"/>
    <n v="0.97500000000000009"/>
    <n v="0"/>
  </r>
  <r>
    <s v="ORD-5346"/>
    <d v="2025-06-01T00:00:00"/>
    <x v="11"/>
    <s v="CUST-861"/>
    <x v="1"/>
    <x v="1"/>
    <x v="1"/>
    <x v="20"/>
    <x v="3"/>
    <n v="4"/>
    <n v="499"/>
    <n v="0.1"/>
    <n v="49.900000000000006"/>
    <n v="1996"/>
    <n v="1946.1"/>
    <x v="3"/>
    <x v="0"/>
    <n v="60"/>
    <n v="0.97499999999999998"/>
    <n v="0"/>
  </r>
  <r>
    <s v="ORD-5347"/>
    <d v="2025-09-23T00:00:00"/>
    <x v="3"/>
    <s v="CUST-822"/>
    <x v="6"/>
    <x v="6"/>
    <x v="2"/>
    <x v="22"/>
    <x v="2"/>
    <n v="3"/>
    <n v="3299"/>
    <n v="0.2"/>
    <n v="659.80000000000007"/>
    <n v="9897"/>
    <n v="9237.2000000000007"/>
    <x v="2"/>
    <x v="0"/>
    <n v="80"/>
    <n v="0.93333333333333346"/>
    <n v="0"/>
  </r>
  <r>
    <s v="ORD-5348"/>
    <d v="2025-01-25T00:00:00"/>
    <x v="7"/>
    <s v="CUST-316"/>
    <x v="4"/>
    <x v="4"/>
    <x v="2"/>
    <x v="8"/>
    <x v="1"/>
    <n v="4"/>
    <n v="2499"/>
    <n v="0.05"/>
    <n v="124.95"/>
    <n v="9996"/>
    <n v="9871.0499999999993"/>
    <x v="0"/>
    <x v="0"/>
    <n v="60"/>
    <n v="0.98749999999999993"/>
    <n v="0"/>
  </r>
  <r>
    <s v="ORD-5349"/>
    <d v="2025-06-19T00:00:00"/>
    <x v="11"/>
    <s v="CUST-201"/>
    <x v="6"/>
    <x v="6"/>
    <x v="2"/>
    <x v="2"/>
    <x v="2"/>
    <n v="3"/>
    <n v="2799"/>
    <n v="0"/>
    <n v="0"/>
    <n v="8397"/>
    <n v="8397"/>
    <x v="3"/>
    <x v="0"/>
    <n v="40"/>
    <n v="1"/>
    <n v="0"/>
  </r>
  <r>
    <s v="ORD-5350"/>
    <d v="2025-11-28T00:00:00"/>
    <x v="10"/>
    <s v="CUST-408"/>
    <x v="4"/>
    <x v="4"/>
    <x v="2"/>
    <x v="1"/>
    <x v="1"/>
    <n v="1"/>
    <n v="3999"/>
    <n v="0.05"/>
    <n v="199.95000000000002"/>
    <n v="3999"/>
    <n v="3799.05"/>
    <x v="3"/>
    <x v="0"/>
    <n v="0"/>
    <n v="0.95000000000000007"/>
    <n v="0"/>
  </r>
  <r>
    <s v="ORD-5351"/>
    <d v="2025-10-19T00:00:00"/>
    <x v="2"/>
    <s v="CUST-866"/>
    <x v="4"/>
    <x v="4"/>
    <x v="2"/>
    <x v="11"/>
    <x v="2"/>
    <n v="1"/>
    <n v="5499"/>
    <n v="0.25"/>
    <n v="1374.75"/>
    <n v="5499"/>
    <n v="4124.25"/>
    <x v="3"/>
    <x v="0"/>
    <n v="80"/>
    <n v="0.75"/>
    <n v="0"/>
  </r>
  <r>
    <s v="ORD-5352"/>
    <d v="2025-10-12T00:00:00"/>
    <x v="2"/>
    <s v="CUST-293"/>
    <x v="9"/>
    <x v="8"/>
    <x v="1"/>
    <x v="7"/>
    <x v="1"/>
    <n v="1"/>
    <n v="1299"/>
    <n v="0.05"/>
    <n v="64.95"/>
    <n v="1299"/>
    <n v="1234.05"/>
    <x v="0"/>
    <x v="0"/>
    <n v="40"/>
    <n v="0.95"/>
    <n v="0"/>
  </r>
  <r>
    <s v="ORD-5353"/>
    <d v="2025-05-04T00:00:00"/>
    <x v="8"/>
    <s v="CUST-556"/>
    <x v="4"/>
    <x v="4"/>
    <x v="2"/>
    <x v="21"/>
    <x v="4"/>
    <n v="2"/>
    <n v="699"/>
    <n v="0.1"/>
    <n v="69.900000000000006"/>
    <n v="1398"/>
    <n v="1328.1"/>
    <x v="0"/>
    <x v="0"/>
    <n v="80"/>
    <n v="0.95"/>
    <n v="0"/>
  </r>
  <r>
    <s v="ORD-5354"/>
    <d v="2025-09-16T00:00:00"/>
    <x v="3"/>
    <s v="CUST-357"/>
    <x v="1"/>
    <x v="1"/>
    <x v="1"/>
    <x v="13"/>
    <x v="2"/>
    <n v="5"/>
    <n v="449"/>
    <n v="0.15"/>
    <n v="67.349999999999994"/>
    <n v="2245"/>
    <n v="2177.65"/>
    <x v="3"/>
    <x v="0"/>
    <n v="60"/>
    <n v="0.97000000000000008"/>
    <n v="0"/>
  </r>
  <r>
    <s v="ORD-5355"/>
    <d v="2025-02-10T00:00:00"/>
    <x v="9"/>
    <s v="CUST-559"/>
    <x v="1"/>
    <x v="1"/>
    <x v="1"/>
    <x v="20"/>
    <x v="3"/>
    <n v="2"/>
    <n v="499"/>
    <n v="0.2"/>
    <n v="99.800000000000011"/>
    <n v="998"/>
    <n v="898.2"/>
    <x v="3"/>
    <x v="0"/>
    <n v="60"/>
    <n v="0.9"/>
    <n v="0"/>
  </r>
  <r>
    <s v="ORD-5356"/>
    <d v="2025-01-31T00:00:00"/>
    <x v="7"/>
    <s v="CUST-549"/>
    <x v="1"/>
    <x v="1"/>
    <x v="1"/>
    <x v="8"/>
    <x v="1"/>
    <n v="1"/>
    <n v="2499"/>
    <n v="0.2"/>
    <n v="499.8"/>
    <n v="2499"/>
    <n v="1999.2"/>
    <x v="2"/>
    <x v="2"/>
    <n v="40"/>
    <n v="0.8"/>
    <n v="0"/>
  </r>
  <r>
    <s v="ORD-5357"/>
    <d v="2025-04-13T00:00:00"/>
    <x v="6"/>
    <s v="CUST-292"/>
    <x v="8"/>
    <x v="1"/>
    <x v="1"/>
    <x v="12"/>
    <x v="1"/>
    <n v="1"/>
    <n v="799"/>
    <n v="0.1"/>
    <n v="79.900000000000006"/>
    <n v="799"/>
    <n v="719.1"/>
    <x v="3"/>
    <x v="0"/>
    <n v="80"/>
    <n v="0.9"/>
    <n v="0"/>
  </r>
  <r>
    <s v="ORD-5358"/>
    <d v="2025-08-30T00:00:00"/>
    <x v="0"/>
    <s v="CUST-265"/>
    <x v="7"/>
    <x v="7"/>
    <x v="1"/>
    <x v="10"/>
    <x v="0"/>
    <n v="2"/>
    <n v="599"/>
    <n v="0"/>
    <n v="0"/>
    <n v="1198"/>
    <n v="1198"/>
    <x v="0"/>
    <x v="0"/>
    <n v="0"/>
    <n v="1"/>
    <n v="0"/>
  </r>
  <r>
    <s v="ORD-5359"/>
    <d v="2025-04-13T00:00:00"/>
    <x v="6"/>
    <s v="CUST-652"/>
    <x v="1"/>
    <x v="1"/>
    <x v="1"/>
    <x v="1"/>
    <x v="1"/>
    <n v="1"/>
    <n v="3999"/>
    <n v="0.1"/>
    <n v="399.90000000000003"/>
    <n v="3999"/>
    <n v="3599.1"/>
    <x v="0"/>
    <x v="0"/>
    <n v="60"/>
    <n v="0.9"/>
    <n v="0"/>
  </r>
  <r>
    <s v="ORD-5360"/>
    <d v="2025-09-19T00:00:00"/>
    <x v="3"/>
    <s v="CUST-499"/>
    <x v="0"/>
    <x v="0"/>
    <x v="0"/>
    <x v="7"/>
    <x v="1"/>
    <n v="1"/>
    <n v="1299"/>
    <n v="0"/>
    <n v="0"/>
    <n v="1299"/>
    <n v="1299"/>
    <x v="3"/>
    <x v="0"/>
    <n v="0"/>
    <n v="1"/>
    <n v="0"/>
  </r>
  <r>
    <s v="ORD-5361"/>
    <d v="2025-02-06T00:00:00"/>
    <x v="9"/>
    <s v="CUST-548"/>
    <x v="4"/>
    <x v="4"/>
    <x v="2"/>
    <x v="6"/>
    <x v="0"/>
    <n v="1"/>
    <n v="1599"/>
    <n v="0.2"/>
    <n v="319.8"/>
    <n v="1599"/>
    <n v="1279.2"/>
    <x v="0"/>
    <x v="0"/>
    <n v="0"/>
    <n v="0.8"/>
    <n v="0"/>
  </r>
  <r>
    <s v="ORD-5362"/>
    <d v="2025-11-12T00:00:00"/>
    <x v="10"/>
    <s v="CUST-795"/>
    <x v="6"/>
    <x v="6"/>
    <x v="2"/>
    <x v="1"/>
    <x v="1"/>
    <n v="1"/>
    <n v="3999"/>
    <n v="0"/>
    <n v="0"/>
    <n v="3999"/>
    <n v="3999"/>
    <x v="3"/>
    <x v="1"/>
    <n v="60"/>
    <n v="1"/>
    <n v="0"/>
  </r>
  <r>
    <s v="ORD-5363"/>
    <d v="2025-06-01T00:00:00"/>
    <x v="11"/>
    <s v="CUST-692"/>
    <x v="2"/>
    <x v="2"/>
    <x v="2"/>
    <x v="11"/>
    <x v="2"/>
    <n v="1"/>
    <n v="5499"/>
    <n v="0.1"/>
    <n v="549.9"/>
    <n v="5499"/>
    <n v="4949.1000000000004"/>
    <x v="2"/>
    <x v="0"/>
    <n v="0"/>
    <n v="0.9"/>
    <n v="0"/>
  </r>
  <r>
    <s v="ORD-5364"/>
    <d v="2025-10-02T00:00:00"/>
    <x v="2"/>
    <s v="CUST-769"/>
    <x v="2"/>
    <x v="2"/>
    <x v="2"/>
    <x v="6"/>
    <x v="0"/>
    <n v="1"/>
    <n v="1599"/>
    <n v="0"/>
    <n v="0"/>
    <n v="1599"/>
    <n v="1599"/>
    <x v="3"/>
    <x v="0"/>
    <n v="80"/>
    <n v="1"/>
    <n v="0"/>
  </r>
  <r>
    <s v="ORD-5365"/>
    <d v="2025-07-19T00:00:00"/>
    <x v="5"/>
    <s v="CUST-746"/>
    <x v="9"/>
    <x v="8"/>
    <x v="1"/>
    <x v="2"/>
    <x v="2"/>
    <n v="2"/>
    <n v="2799"/>
    <n v="0.05"/>
    <n v="139.95000000000002"/>
    <n v="5598"/>
    <n v="5458.05"/>
    <x v="2"/>
    <x v="0"/>
    <n v="0"/>
    <n v="0.97499999999999998"/>
    <n v="0"/>
  </r>
  <r>
    <s v="ORD-5366"/>
    <d v="2025-11-01T00:00:00"/>
    <x v="10"/>
    <s v="CUST-700"/>
    <x v="1"/>
    <x v="1"/>
    <x v="1"/>
    <x v="21"/>
    <x v="4"/>
    <n v="3"/>
    <n v="699"/>
    <n v="0.05"/>
    <n v="34.950000000000003"/>
    <n v="2097"/>
    <n v="2062.0500000000002"/>
    <x v="0"/>
    <x v="0"/>
    <n v="80"/>
    <n v="0.98333333333333339"/>
    <n v="0"/>
  </r>
  <r>
    <s v="ORD-5367"/>
    <d v="2025-07-13T00:00:00"/>
    <x v="5"/>
    <s v="CUST-672"/>
    <x v="8"/>
    <x v="1"/>
    <x v="1"/>
    <x v="8"/>
    <x v="1"/>
    <n v="4"/>
    <n v="2499"/>
    <n v="0.1"/>
    <n v="249.9"/>
    <n v="9996"/>
    <n v="9746.1"/>
    <x v="3"/>
    <x v="0"/>
    <n v="0"/>
    <n v="0.97500000000000009"/>
    <n v="0"/>
  </r>
  <r>
    <s v="ORD-5368"/>
    <d v="2025-05-08T00:00:00"/>
    <x v="8"/>
    <s v="CUST-590"/>
    <x v="7"/>
    <x v="7"/>
    <x v="1"/>
    <x v="7"/>
    <x v="1"/>
    <n v="1"/>
    <n v="1299"/>
    <n v="0.15"/>
    <n v="194.85"/>
    <n v="1299"/>
    <n v="1104.1500000000001"/>
    <x v="3"/>
    <x v="0"/>
    <n v="80"/>
    <n v="0.85000000000000009"/>
    <n v="0"/>
  </r>
  <r>
    <s v="ORD-5369"/>
    <d v="2025-12-11T00:00:00"/>
    <x v="4"/>
    <s v="CUST-727"/>
    <x v="4"/>
    <x v="4"/>
    <x v="2"/>
    <x v="9"/>
    <x v="1"/>
    <n v="1"/>
    <n v="1899"/>
    <n v="0"/>
    <n v="0"/>
    <n v="1899"/>
    <n v="1899"/>
    <x v="3"/>
    <x v="0"/>
    <n v="60"/>
    <n v="1"/>
    <n v="0"/>
  </r>
  <r>
    <s v="ORD-5370"/>
    <d v="2025-09-29T00:00:00"/>
    <x v="3"/>
    <s v="CUST-858"/>
    <x v="4"/>
    <x v="4"/>
    <x v="2"/>
    <x v="20"/>
    <x v="3"/>
    <n v="2"/>
    <n v="499"/>
    <n v="0.1"/>
    <n v="49.900000000000006"/>
    <n v="998"/>
    <n v="948.1"/>
    <x v="2"/>
    <x v="0"/>
    <n v="60"/>
    <n v="0.95000000000000007"/>
    <n v="0"/>
  </r>
  <r>
    <s v="ORD-5371"/>
    <d v="2025-03-08T00:00:00"/>
    <x v="1"/>
    <s v="CUST-242"/>
    <x v="2"/>
    <x v="2"/>
    <x v="2"/>
    <x v="12"/>
    <x v="1"/>
    <n v="4"/>
    <n v="799"/>
    <n v="0"/>
    <n v="0"/>
    <n v="3196"/>
    <n v="3196"/>
    <x v="3"/>
    <x v="0"/>
    <n v="0"/>
    <n v="1"/>
    <n v="0"/>
  </r>
  <r>
    <s v="ORD-5372"/>
    <d v="2025-11-23T00:00:00"/>
    <x v="10"/>
    <s v="CUST-721"/>
    <x v="8"/>
    <x v="1"/>
    <x v="1"/>
    <x v="19"/>
    <x v="2"/>
    <n v="1"/>
    <n v="1499"/>
    <n v="0.25"/>
    <n v="374.75"/>
    <n v="1499"/>
    <n v="1124.25"/>
    <x v="1"/>
    <x v="0"/>
    <n v="60"/>
    <n v="0.75"/>
    <n v="0"/>
  </r>
  <r>
    <s v="ORD-5373"/>
    <d v="2025-03-17T00:00:00"/>
    <x v="1"/>
    <s v="CUST-431"/>
    <x v="8"/>
    <x v="1"/>
    <x v="1"/>
    <x v="22"/>
    <x v="2"/>
    <n v="5"/>
    <n v="3299"/>
    <n v="0.1"/>
    <n v="329.90000000000003"/>
    <n v="16495"/>
    <n v="16165.1"/>
    <x v="3"/>
    <x v="0"/>
    <n v="0"/>
    <n v="0.98"/>
    <n v="0"/>
  </r>
  <r>
    <s v="ORD-5374"/>
    <d v="2025-12-02T00:00:00"/>
    <x v="4"/>
    <s v="CUST-260"/>
    <x v="1"/>
    <x v="1"/>
    <x v="1"/>
    <x v="15"/>
    <x v="3"/>
    <n v="2"/>
    <n v="299"/>
    <n v="0.15"/>
    <n v="44.85"/>
    <n v="598"/>
    <n v="553.15"/>
    <x v="3"/>
    <x v="0"/>
    <n v="80"/>
    <n v="0.92499999999999993"/>
    <n v="0"/>
  </r>
  <r>
    <s v="ORD-5375"/>
    <d v="2025-12-18T00:00:00"/>
    <x v="4"/>
    <s v="CUST-524"/>
    <x v="8"/>
    <x v="1"/>
    <x v="1"/>
    <x v="9"/>
    <x v="1"/>
    <n v="3"/>
    <n v="1899"/>
    <n v="0.25"/>
    <n v="474.75"/>
    <n v="5697"/>
    <n v="5222.25"/>
    <x v="3"/>
    <x v="0"/>
    <n v="0"/>
    <n v="0.91666666666666663"/>
    <n v="0"/>
  </r>
  <r>
    <s v="ORD-5376"/>
    <d v="2025-07-27T00:00:00"/>
    <x v="5"/>
    <s v="CUST-652"/>
    <x v="8"/>
    <x v="1"/>
    <x v="1"/>
    <x v="13"/>
    <x v="2"/>
    <n v="4"/>
    <n v="449"/>
    <n v="0.25"/>
    <n v="112.25"/>
    <n v="1796"/>
    <n v="1683.75"/>
    <x v="0"/>
    <x v="0"/>
    <n v="0"/>
    <n v="0.9375"/>
    <n v="0"/>
  </r>
  <r>
    <s v="ORD-5377"/>
    <d v="2025-05-06T00:00:00"/>
    <x v="8"/>
    <s v="CUST-805"/>
    <x v="7"/>
    <x v="7"/>
    <x v="1"/>
    <x v="7"/>
    <x v="1"/>
    <n v="1"/>
    <n v="1299"/>
    <n v="0.1"/>
    <n v="129.9"/>
    <n v="1299"/>
    <n v="1169.0999999999999"/>
    <x v="0"/>
    <x v="0"/>
    <n v="0"/>
    <n v="0.89999999999999991"/>
    <n v="0"/>
  </r>
  <r>
    <s v="ORD-5378"/>
    <d v="2025-03-30T00:00:00"/>
    <x v="1"/>
    <s v="CUST-547"/>
    <x v="2"/>
    <x v="2"/>
    <x v="2"/>
    <x v="2"/>
    <x v="2"/>
    <n v="2"/>
    <n v="2799"/>
    <n v="0.1"/>
    <n v="279.90000000000003"/>
    <n v="5598"/>
    <n v="5318.1"/>
    <x v="3"/>
    <x v="0"/>
    <n v="0"/>
    <n v="0.95000000000000007"/>
    <n v="0"/>
  </r>
  <r>
    <s v="ORD-5379"/>
    <d v="2025-12-08T00:00:00"/>
    <x v="4"/>
    <s v="CUST-672"/>
    <x v="4"/>
    <x v="4"/>
    <x v="2"/>
    <x v="21"/>
    <x v="4"/>
    <n v="2"/>
    <n v="699"/>
    <n v="0.25"/>
    <n v="174.75"/>
    <n v="1398"/>
    <n v="1223.25"/>
    <x v="3"/>
    <x v="0"/>
    <n v="40"/>
    <n v="0.875"/>
    <n v="0"/>
  </r>
  <r>
    <s v="ORD-5380"/>
    <d v="2025-07-06T00:00:00"/>
    <x v="5"/>
    <s v="CUST-839"/>
    <x v="6"/>
    <x v="6"/>
    <x v="2"/>
    <x v="16"/>
    <x v="4"/>
    <n v="1"/>
    <n v="1599"/>
    <n v="0"/>
    <n v="0"/>
    <n v="1599"/>
    <n v="1599"/>
    <x v="0"/>
    <x v="0"/>
    <n v="40"/>
    <n v="1"/>
    <n v="0"/>
  </r>
  <r>
    <s v="ORD-5381"/>
    <d v="2025-08-25T00:00:00"/>
    <x v="0"/>
    <s v="CUST-559"/>
    <x v="1"/>
    <x v="1"/>
    <x v="1"/>
    <x v="18"/>
    <x v="4"/>
    <n v="2"/>
    <n v="1299"/>
    <n v="0.2"/>
    <n v="259.8"/>
    <n v="2598"/>
    <n v="2338.1999999999998"/>
    <x v="0"/>
    <x v="0"/>
    <n v="60"/>
    <n v="0.89999999999999991"/>
    <n v="0"/>
  </r>
  <r>
    <s v="ORD-5382"/>
    <d v="2025-02-19T00:00:00"/>
    <x v="9"/>
    <s v="CUST-293"/>
    <x v="2"/>
    <x v="2"/>
    <x v="2"/>
    <x v="17"/>
    <x v="1"/>
    <n v="2"/>
    <n v="2199"/>
    <n v="0.1"/>
    <n v="219.9"/>
    <n v="4398"/>
    <n v="4178.1000000000004"/>
    <x v="3"/>
    <x v="0"/>
    <n v="0"/>
    <n v="0.95000000000000007"/>
    <n v="0"/>
  </r>
  <r>
    <s v="ORD-5383"/>
    <d v="2025-04-11T00:00:00"/>
    <x v="6"/>
    <s v="CUST-508"/>
    <x v="4"/>
    <x v="4"/>
    <x v="2"/>
    <x v="17"/>
    <x v="1"/>
    <n v="1"/>
    <n v="2199"/>
    <n v="0.1"/>
    <n v="219.9"/>
    <n v="2199"/>
    <n v="1979.1"/>
    <x v="0"/>
    <x v="1"/>
    <n v="60"/>
    <n v="0.89999999999999991"/>
    <n v="0"/>
  </r>
  <r>
    <s v="ORD-5384"/>
    <d v="2025-11-03T00:00:00"/>
    <x v="10"/>
    <s v="CUST-809"/>
    <x v="1"/>
    <x v="1"/>
    <x v="1"/>
    <x v="0"/>
    <x v="0"/>
    <n v="1"/>
    <n v="1799"/>
    <n v="0.2"/>
    <n v="359.8"/>
    <n v="1799"/>
    <n v="1439.2"/>
    <x v="3"/>
    <x v="0"/>
    <n v="80"/>
    <n v="0.8"/>
    <n v="0"/>
  </r>
  <r>
    <s v="ORD-5385"/>
    <d v="2025-05-07T00:00:00"/>
    <x v="8"/>
    <s v="CUST-831"/>
    <x v="1"/>
    <x v="1"/>
    <x v="1"/>
    <x v="8"/>
    <x v="1"/>
    <n v="3"/>
    <n v="2499"/>
    <n v="0"/>
    <n v="0"/>
    <n v="7497"/>
    <n v="7497"/>
    <x v="0"/>
    <x v="0"/>
    <n v="80"/>
    <n v="1"/>
    <n v="0"/>
  </r>
  <r>
    <s v="ORD-5386"/>
    <d v="2025-07-16T00:00:00"/>
    <x v="5"/>
    <s v="CUST-650"/>
    <x v="4"/>
    <x v="4"/>
    <x v="2"/>
    <x v="22"/>
    <x v="2"/>
    <n v="1"/>
    <n v="3299"/>
    <n v="0.15"/>
    <n v="494.84999999999997"/>
    <n v="3299"/>
    <n v="2804.15"/>
    <x v="3"/>
    <x v="0"/>
    <n v="0"/>
    <n v="0.85"/>
    <n v="0"/>
  </r>
  <r>
    <s v="ORD-5387"/>
    <d v="2025-03-29T00:00:00"/>
    <x v="1"/>
    <s v="CUST-880"/>
    <x v="5"/>
    <x v="5"/>
    <x v="3"/>
    <x v="8"/>
    <x v="1"/>
    <n v="1"/>
    <n v="2499"/>
    <n v="0.1"/>
    <n v="249.9"/>
    <n v="2499"/>
    <n v="2249.1"/>
    <x v="0"/>
    <x v="0"/>
    <n v="40"/>
    <n v="0.89999999999999991"/>
    <n v="0"/>
  </r>
  <r>
    <s v="ORD-5388"/>
    <d v="2025-07-03T00:00:00"/>
    <x v="5"/>
    <s v="CUST-693"/>
    <x v="1"/>
    <x v="1"/>
    <x v="1"/>
    <x v="16"/>
    <x v="4"/>
    <n v="2"/>
    <n v="1599"/>
    <n v="0"/>
    <n v="0"/>
    <n v="3198"/>
    <n v="3198"/>
    <x v="1"/>
    <x v="0"/>
    <n v="40"/>
    <n v="1"/>
    <n v="0"/>
  </r>
  <r>
    <s v="ORD-5389"/>
    <d v="2025-09-27T00:00:00"/>
    <x v="3"/>
    <s v="CUST-708"/>
    <x v="9"/>
    <x v="8"/>
    <x v="1"/>
    <x v="17"/>
    <x v="1"/>
    <n v="3"/>
    <n v="2199"/>
    <n v="0"/>
    <n v="0"/>
    <n v="6597"/>
    <n v="6597"/>
    <x v="0"/>
    <x v="1"/>
    <n v="80"/>
    <n v="1"/>
    <n v="0"/>
  </r>
  <r>
    <s v="ORD-5390"/>
    <d v="2025-11-29T00:00:00"/>
    <x v="10"/>
    <s v="CUST-380"/>
    <x v="8"/>
    <x v="1"/>
    <x v="1"/>
    <x v="11"/>
    <x v="2"/>
    <n v="2"/>
    <n v="5499"/>
    <n v="0.25"/>
    <n v="1374.75"/>
    <n v="10998"/>
    <n v="9623.25"/>
    <x v="3"/>
    <x v="0"/>
    <n v="40"/>
    <n v="0.875"/>
    <n v="0"/>
  </r>
  <r>
    <s v="ORD-5391"/>
    <d v="2025-05-22T00:00:00"/>
    <x v="8"/>
    <s v="CUST-287"/>
    <x v="0"/>
    <x v="0"/>
    <x v="0"/>
    <x v="0"/>
    <x v="0"/>
    <n v="2"/>
    <n v="1799"/>
    <n v="0.1"/>
    <n v="179.9"/>
    <n v="3598"/>
    <n v="3418.1"/>
    <x v="3"/>
    <x v="0"/>
    <n v="40"/>
    <n v="0.95"/>
    <n v="0"/>
  </r>
  <r>
    <s v="ORD-5392"/>
    <d v="2025-02-16T00:00:00"/>
    <x v="9"/>
    <s v="CUST-250"/>
    <x v="8"/>
    <x v="1"/>
    <x v="1"/>
    <x v="21"/>
    <x v="4"/>
    <n v="1"/>
    <n v="699"/>
    <n v="0.25"/>
    <n v="174.75"/>
    <n v="699"/>
    <n v="524.25"/>
    <x v="3"/>
    <x v="0"/>
    <n v="80"/>
    <n v="0.75"/>
    <n v="0"/>
  </r>
  <r>
    <s v="ORD-5393"/>
    <d v="2025-05-20T00:00:00"/>
    <x v="8"/>
    <s v="CUST-229"/>
    <x v="1"/>
    <x v="1"/>
    <x v="1"/>
    <x v="15"/>
    <x v="3"/>
    <n v="1"/>
    <n v="299"/>
    <n v="0.1"/>
    <n v="29.900000000000002"/>
    <n v="299"/>
    <n v="269.10000000000002"/>
    <x v="0"/>
    <x v="1"/>
    <n v="80"/>
    <n v="0.9"/>
    <n v="0"/>
  </r>
  <r>
    <s v="ORD-5394"/>
    <d v="2025-06-06T00:00:00"/>
    <x v="11"/>
    <s v="CUST-230"/>
    <x v="4"/>
    <x v="4"/>
    <x v="2"/>
    <x v="5"/>
    <x v="0"/>
    <n v="1"/>
    <n v="2299"/>
    <n v="0.1"/>
    <n v="229.9"/>
    <n v="2299"/>
    <n v="2069.1"/>
    <x v="0"/>
    <x v="1"/>
    <n v="0"/>
    <n v="0.89999999999999991"/>
    <n v="0"/>
  </r>
  <r>
    <s v="ORD-5395"/>
    <d v="2025-04-30T00:00:00"/>
    <x v="6"/>
    <s v="CUST-407"/>
    <x v="3"/>
    <x v="3"/>
    <x v="3"/>
    <x v="8"/>
    <x v="1"/>
    <n v="2"/>
    <n v="2499"/>
    <n v="0.15"/>
    <n v="374.84999999999997"/>
    <n v="4998"/>
    <n v="4623.1499999999996"/>
    <x v="3"/>
    <x v="0"/>
    <n v="80"/>
    <n v="0.92499999999999993"/>
    <n v="0"/>
  </r>
  <r>
    <s v="ORD-5396"/>
    <d v="2025-11-28T00:00:00"/>
    <x v="10"/>
    <s v="CUST-243"/>
    <x v="1"/>
    <x v="1"/>
    <x v="1"/>
    <x v="18"/>
    <x v="4"/>
    <n v="1"/>
    <n v="1299"/>
    <n v="0.1"/>
    <n v="129.9"/>
    <n v="1299"/>
    <n v="1169.0999999999999"/>
    <x v="2"/>
    <x v="0"/>
    <n v="0"/>
    <n v="0.89999999999999991"/>
    <n v="0"/>
  </r>
  <r>
    <s v="ORD-5397"/>
    <d v="2025-04-15T00:00:00"/>
    <x v="6"/>
    <s v="CUST-430"/>
    <x v="1"/>
    <x v="1"/>
    <x v="1"/>
    <x v="21"/>
    <x v="4"/>
    <n v="1"/>
    <n v="699"/>
    <n v="0.2"/>
    <n v="139.80000000000001"/>
    <n v="699"/>
    <n v="559.20000000000005"/>
    <x v="0"/>
    <x v="0"/>
    <n v="0"/>
    <n v="0.8"/>
    <n v="0"/>
  </r>
  <r>
    <s v="ORD-5398"/>
    <d v="2025-05-15T00:00:00"/>
    <x v="8"/>
    <s v="CUST-602"/>
    <x v="0"/>
    <x v="0"/>
    <x v="0"/>
    <x v="12"/>
    <x v="1"/>
    <n v="3"/>
    <n v="799"/>
    <n v="0.25"/>
    <n v="199.75"/>
    <n v="2397"/>
    <n v="2197.25"/>
    <x v="3"/>
    <x v="0"/>
    <n v="80"/>
    <n v="0.91666666666666663"/>
    <n v="0"/>
  </r>
  <r>
    <s v="ORD-5399"/>
    <d v="2025-03-14T00:00:00"/>
    <x v="1"/>
    <s v="CUST-693"/>
    <x v="9"/>
    <x v="8"/>
    <x v="1"/>
    <x v="6"/>
    <x v="0"/>
    <n v="1"/>
    <n v="1599"/>
    <n v="0.25"/>
    <n v="399.75"/>
    <n v="1599"/>
    <n v="1199.25"/>
    <x v="3"/>
    <x v="0"/>
    <n v="0"/>
    <n v="0.75"/>
    <n v="0"/>
  </r>
  <r>
    <s v="ORD-5400"/>
    <d v="2025-08-02T00:00:00"/>
    <x v="0"/>
    <s v="CUST-846"/>
    <x v="0"/>
    <x v="0"/>
    <x v="0"/>
    <x v="5"/>
    <x v="0"/>
    <n v="1"/>
    <n v="2299"/>
    <n v="0"/>
    <n v="0"/>
    <n v="2299"/>
    <n v="2299"/>
    <x v="2"/>
    <x v="1"/>
    <n v="80"/>
    <n v="1"/>
    <n v="0"/>
  </r>
  <r>
    <s v="ORD-5401"/>
    <d v="2025-03-29T00:00:00"/>
    <x v="1"/>
    <s v="CUST-413"/>
    <x v="5"/>
    <x v="5"/>
    <x v="3"/>
    <x v="4"/>
    <x v="3"/>
    <n v="2"/>
    <n v="349"/>
    <n v="0"/>
    <n v="0"/>
    <n v="698"/>
    <n v="698"/>
    <x v="3"/>
    <x v="0"/>
    <n v="80"/>
    <n v="1"/>
    <n v="0"/>
  </r>
  <r>
    <s v="ORD-5402"/>
    <d v="2025-09-01T00:00:00"/>
    <x v="3"/>
    <s v="CUST-340"/>
    <x v="3"/>
    <x v="3"/>
    <x v="3"/>
    <x v="9"/>
    <x v="1"/>
    <n v="1"/>
    <n v="1899"/>
    <n v="0.2"/>
    <n v="379.8"/>
    <n v="1899"/>
    <n v="1519.2"/>
    <x v="3"/>
    <x v="0"/>
    <n v="60"/>
    <n v="0.8"/>
    <n v="0"/>
  </r>
  <r>
    <s v="ORD-5403"/>
    <d v="2025-03-12T00:00:00"/>
    <x v="1"/>
    <s v="CUST-734"/>
    <x v="1"/>
    <x v="1"/>
    <x v="1"/>
    <x v="2"/>
    <x v="2"/>
    <n v="1"/>
    <n v="2799"/>
    <n v="0.1"/>
    <n v="279.90000000000003"/>
    <n v="2799"/>
    <n v="2519.1"/>
    <x v="2"/>
    <x v="0"/>
    <n v="80"/>
    <n v="0.9"/>
    <n v="0"/>
  </r>
  <r>
    <s v="ORD-5404"/>
    <d v="2025-09-10T00:00:00"/>
    <x v="3"/>
    <s v="CUST-655"/>
    <x v="8"/>
    <x v="1"/>
    <x v="1"/>
    <x v="18"/>
    <x v="4"/>
    <n v="1"/>
    <n v="1299"/>
    <n v="0.1"/>
    <n v="129.9"/>
    <n v="1299"/>
    <n v="1169.0999999999999"/>
    <x v="0"/>
    <x v="0"/>
    <n v="40"/>
    <n v="0.89999999999999991"/>
    <n v="0"/>
  </r>
  <r>
    <s v="ORD-5405"/>
    <d v="2025-05-30T00:00:00"/>
    <x v="8"/>
    <s v="CUST-478"/>
    <x v="3"/>
    <x v="3"/>
    <x v="3"/>
    <x v="7"/>
    <x v="1"/>
    <n v="3"/>
    <n v="1299"/>
    <n v="0.1"/>
    <n v="129.9"/>
    <n v="3897"/>
    <n v="3767.1"/>
    <x v="0"/>
    <x v="0"/>
    <n v="40"/>
    <n v="0.96666666666666667"/>
    <n v="0"/>
  </r>
  <r>
    <s v="ORD-5406"/>
    <d v="2025-02-03T00:00:00"/>
    <x v="9"/>
    <s v="CUST-627"/>
    <x v="4"/>
    <x v="4"/>
    <x v="2"/>
    <x v="0"/>
    <x v="0"/>
    <n v="1"/>
    <n v="1799"/>
    <n v="0.15"/>
    <n v="269.84999999999997"/>
    <n v="1799"/>
    <n v="1529.15"/>
    <x v="3"/>
    <x v="1"/>
    <n v="0"/>
    <n v="0.85000000000000009"/>
    <n v="0"/>
  </r>
  <r>
    <s v="ORD-5407"/>
    <d v="2025-09-16T00:00:00"/>
    <x v="3"/>
    <s v="CUST-325"/>
    <x v="6"/>
    <x v="6"/>
    <x v="2"/>
    <x v="14"/>
    <x v="4"/>
    <n v="2"/>
    <n v="399"/>
    <n v="0.25"/>
    <n v="99.75"/>
    <n v="798"/>
    <n v="698.25"/>
    <x v="3"/>
    <x v="0"/>
    <n v="40"/>
    <n v="0.875"/>
    <n v="0"/>
  </r>
  <r>
    <s v="ORD-5408"/>
    <d v="2025-03-12T00:00:00"/>
    <x v="1"/>
    <s v="CUST-311"/>
    <x v="1"/>
    <x v="1"/>
    <x v="1"/>
    <x v="11"/>
    <x v="2"/>
    <n v="1"/>
    <n v="5499"/>
    <n v="0"/>
    <n v="0"/>
    <n v="5499"/>
    <n v="5499"/>
    <x v="2"/>
    <x v="0"/>
    <n v="0"/>
    <n v="1"/>
    <n v="0"/>
  </r>
  <r>
    <s v="ORD-5409"/>
    <d v="2025-05-22T00:00:00"/>
    <x v="8"/>
    <s v="CUST-298"/>
    <x v="0"/>
    <x v="0"/>
    <x v="0"/>
    <x v="18"/>
    <x v="4"/>
    <n v="1"/>
    <n v="1299"/>
    <n v="0"/>
    <n v="0"/>
    <n v="1299"/>
    <n v="1299"/>
    <x v="1"/>
    <x v="0"/>
    <n v="0"/>
    <n v="1"/>
    <n v="0"/>
  </r>
  <r>
    <s v="ORD-5410"/>
    <d v="2025-04-22T00:00:00"/>
    <x v="6"/>
    <s v="CUST-411"/>
    <x v="4"/>
    <x v="4"/>
    <x v="2"/>
    <x v="12"/>
    <x v="1"/>
    <n v="1"/>
    <n v="799"/>
    <n v="0.15"/>
    <n v="119.85"/>
    <n v="799"/>
    <n v="679.15"/>
    <x v="3"/>
    <x v="0"/>
    <n v="80"/>
    <n v="0.85"/>
    <n v="0"/>
  </r>
  <r>
    <s v="ORD-5411"/>
    <d v="2025-03-20T00:00:00"/>
    <x v="1"/>
    <s v="CUST-390"/>
    <x v="2"/>
    <x v="2"/>
    <x v="2"/>
    <x v="7"/>
    <x v="1"/>
    <n v="1"/>
    <n v="1299"/>
    <n v="0"/>
    <n v="0"/>
    <n v="1299"/>
    <n v="1299"/>
    <x v="2"/>
    <x v="0"/>
    <n v="60"/>
    <n v="1"/>
    <n v="0"/>
  </r>
  <r>
    <s v="ORD-5412"/>
    <d v="2025-05-29T00:00:00"/>
    <x v="8"/>
    <s v="CUST-894"/>
    <x v="3"/>
    <x v="3"/>
    <x v="3"/>
    <x v="2"/>
    <x v="2"/>
    <n v="2"/>
    <n v="2799"/>
    <n v="0.1"/>
    <n v="279.90000000000003"/>
    <n v="5598"/>
    <n v="5318.1"/>
    <x v="0"/>
    <x v="0"/>
    <n v="40"/>
    <n v="0.95000000000000007"/>
    <n v="0"/>
  </r>
  <r>
    <s v="ORD-5413"/>
    <d v="2025-01-14T00:00:00"/>
    <x v="7"/>
    <s v="CUST-316"/>
    <x v="0"/>
    <x v="0"/>
    <x v="0"/>
    <x v="20"/>
    <x v="3"/>
    <n v="2"/>
    <n v="499"/>
    <n v="0.1"/>
    <n v="49.900000000000006"/>
    <n v="998"/>
    <n v="948.1"/>
    <x v="0"/>
    <x v="2"/>
    <n v="40"/>
    <n v="0.95000000000000007"/>
    <n v="0"/>
  </r>
  <r>
    <s v="ORD-5414"/>
    <d v="2025-04-08T00:00:00"/>
    <x v="6"/>
    <s v="CUST-393"/>
    <x v="4"/>
    <x v="4"/>
    <x v="2"/>
    <x v="12"/>
    <x v="1"/>
    <n v="3"/>
    <n v="799"/>
    <n v="0.05"/>
    <n v="39.950000000000003"/>
    <n v="2397"/>
    <n v="2357.0500000000002"/>
    <x v="1"/>
    <x v="0"/>
    <n v="40"/>
    <n v="0.98333333333333339"/>
    <n v="0"/>
  </r>
  <r>
    <s v="ORD-5415"/>
    <d v="2025-11-04T00:00:00"/>
    <x v="10"/>
    <s v="CUST-857"/>
    <x v="4"/>
    <x v="4"/>
    <x v="2"/>
    <x v="22"/>
    <x v="2"/>
    <n v="2"/>
    <n v="3299"/>
    <n v="0.2"/>
    <n v="659.80000000000007"/>
    <n v="6598"/>
    <n v="5938.2"/>
    <x v="3"/>
    <x v="0"/>
    <n v="40"/>
    <n v="0.9"/>
    <n v="0"/>
  </r>
  <r>
    <s v="ORD-5416"/>
    <d v="2025-07-07T00:00:00"/>
    <x v="5"/>
    <s v="CUST-760"/>
    <x v="3"/>
    <x v="3"/>
    <x v="3"/>
    <x v="22"/>
    <x v="2"/>
    <n v="1"/>
    <n v="3299"/>
    <n v="0"/>
    <n v="0"/>
    <n v="3299"/>
    <n v="3299"/>
    <x v="2"/>
    <x v="0"/>
    <n v="0"/>
    <n v="1"/>
    <n v="0"/>
  </r>
  <r>
    <s v="ORD-5417"/>
    <d v="2025-10-10T00:00:00"/>
    <x v="2"/>
    <s v="CUST-308"/>
    <x v="7"/>
    <x v="7"/>
    <x v="1"/>
    <x v="2"/>
    <x v="2"/>
    <n v="1"/>
    <n v="2799"/>
    <n v="0.1"/>
    <n v="279.90000000000003"/>
    <n v="2799"/>
    <n v="2519.1"/>
    <x v="3"/>
    <x v="0"/>
    <n v="80"/>
    <n v="0.9"/>
    <n v="0"/>
  </r>
  <r>
    <s v="ORD-5418"/>
    <d v="2025-08-30T00:00:00"/>
    <x v="0"/>
    <s v="CUST-433"/>
    <x v="8"/>
    <x v="1"/>
    <x v="1"/>
    <x v="6"/>
    <x v="0"/>
    <n v="4"/>
    <n v="1599"/>
    <n v="0.05"/>
    <n v="79.95"/>
    <n v="6396"/>
    <n v="6316.05"/>
    <x v="2"/>
    <x v="0"/>
    <n v="0"/>
    <n v="0.98750000000000004"/>
    <n v="0"/>
  </r>
  <r>
    <s v="ORD-5419"/>
    <d v="2025-04-02T00:00:00"/>
    <x v="6"/>
    <s v="CUST-839"/>
    <x v="0"/>
    <x v="0"/>
    <x v="0"/>
    <x v="12"/>
    <x v="1"/>
    <n v="2"/>
    <n v="799"/>
    <n v="0.05"/>
    <n v="39.950000000000003"/>
    <n v="1598"/>
    <n v="1558.05"/>
    <x v="0"/>
    <x v="0"/>
    <n v="40"/>
    <n v="0.97499999999999998"/>
    <n v="0"/>
  </r>
  <r>
    <s v="ORD-5420"/>
    <d v="2025-09-26T00:00:00"/>
    <x v="3"/>
    <s v="CUST-506"/>
    <x v="2"/>
    <x v="2"/>
    <x v="2"/>
    <x v="7"/>
    <x v="1"/>
    <n v="1"/>
    <n v="1299"/>
    <n v="0.1"/>
    <n v="129.9"/>
    <n v="1299"/>
    <n v="1169.0999999999999"/>
    <x v="0"/>
    <x v="1"/>
    <n v="40"/>
    <n v="0.89999999999999991"/>
    <n v="0"/>
  </r>
  <r>
    <s v="ORD-5421"/>
    <d v="2025-08-10T00:00:00"/>
    <x v="0"/>
    <s v="CUST-389"/>
    <x v="4"/>
    <x v="4"/>
    <x v="2"/>
    <x v="1"/>
    <x v="1"/>
    <n v="2"/>
    <n v="3999"/>
    <n v="0.25"/>
    <n v="999.75"/>
    <n v="7998"/>
    <n v="6998.25"/>
    <x v="3"/>
    <x v="0"/>
    <n v="80"/>
    <n v="0.875"/>
    <n v="0"/>
  </r>
  <r>
    <s v="ORD-5422"/>
    <d v="2025-11-03T00:00:00"/>
    <x v="10"/>
    <s v="CUST-830"/>
    <x v="3"/>
    <x v="3"/>
    <x v="3"/>
    <x v="5"/>
    <x v="0"/>
    <n v="1"/>
    <n v="2299"/>
    <n v="0"/>
    <n v="0"/>
    <n v="2299"/>
    <n v="2299"/>
    <x v="2"/>
    <x v="0"/>
    <n v="80"/>
    <n v="1"/>
    <n v="0"/>
  </r>
  <r>
    <s v="ORD-5423"/>
    <d v="2025-07-05T00:00:00"/>
    <x v="5"/>
    <s v="CUST-251"/>
    <x v="4"/>
    <x v="4"/>
    <x v="2"/>
    <x v="2"/>
    <x v="2"/>
    <n v="1"/>
    <n v="2799"/>
    <n v="0.1"/>
    <n v="279.90000000000003"/>
    <n v="2799"/>
    <n v="2519.1"/>
    <x v="1"/>
    <x v="0"/>
    <n v="80"/>
    <n v="0.9"/>
    <n v="0"/>
  </r>
  <r>
    <s v="ORD-5424"/>
    <d v="2025-09-19T00:00:00"/>
    <x v="3"/>
    <s v="CUST-357"/>
    <x v="1"/>
    <x v="1"/>
    <x v="1"/>
    <x v="13"/>
    <x v="2"/>
    <n v="1"/>
    <n v="449"/>
    <n v="0.15"/>
    <n v="67.349999999999994"/>
    <n v="449"/>
    <n v="381.65"/>
    <x v="2"/>
    <x v="1"/>
    <n v="40"/>
    <n v="0.85"/>
    <n v="0"/>
  </r>
  <r>
    <s v="ORD-5425"/>
    <d v="2025-05-30T00:00:00"/>
    <x v="8"/>
    <s v="CUST-762"/>
    <x v="5"/>
    <x v="5"/>
    <x v="3"/>
    <x v="3"/>
    <x v="0"/>
    <n v="2"/>
    <n v="899"/>
    <n v="0"/>
    <n v="0"/>
    <n v="1798"/>
    <n v="1798"/>
    <x v="2"/>
    <x v="0"/>
    <n v="80"/>
    <n v="1"/>
    <n v="0"/>
  </r>
  <r>
    <s v="ORD-5426"/>
    <d v="2025-03-25T00:00:00"/>
    <x v="1"/>
    <s v="CUST-316"/>
    <x v="2"/>
    <x v="2"/>
    <x v="2"/>
    <x v="7"/>
    <x v="1"/>
    <n v="1"/>
    <n v="1299"/>
    <n v="0.15"/>
    <n v="194.85"/>
    <n v="1299"/>
    <n v="1104.1500000000001"/>
    <x v="1"/>
    <x v="0"/>
    <n v="0"/>
    <n v="0.85000000000000009"/>
    <n v="0"/>
  </r>
  <r>
    <s v="ORD-5427"/>
    <d v="2025-08-06T00:00:00"/>
    <x v="0"/>
    <s v="CUST-899"/>
    <x v="3"/>
    <x v="3"/>
    <x v="3"/>
    <x v="2"/>
    <x v="2"/>
    <n v="1"/>
    <n v="2799"/>
    <n v="0.15"/>
    <n v="419.84999999999997"/>
    <n v="2799"/>
    <n v="2379.15"/>
    <x v="0"/>
    <x v="0"/>
    <n v="0"/>
    <n v="0.85"/>
    <n v="0"/>
  </r>
  <r>
    <s v="ORD-5428"/>
    <d v="2025-09-07T00:00:00"/>
    <x v="3"/>
    <s v="CUST-437"/>
    <x v="3"/>
    <x v="3"/>
    <x v="3"/>
    <x v="18"/>
    <x v="4"/>
    <n v="1"/>
    <n v="1299"/>
    <n v="0.15"/>
    <n v="194.85"/>
    <n v="1299"/>
    <n v="1104.1500000000001"/>
    <x v="3"/>
    <x v="0"/>
    <n v="60"/>
    <n v="0.85000000000000009"/>
    <n v="0"/>
  </r>
  <r>
    <s v="ORD-5429"/>
    <d v="2025-08-27T00:00:00"/>
    <x v="0"/>
    <s v="CUST-381"/>
    <x v="3"/>
    <x v="3"/>
    <x v="3"/>
    <x v="19"/>
    <x v="2"/>
    <n v="2"/>
    <n v="1499"/>
    <n v="0.25"/>
    <n v="374.75"/>
    <n v="2998"/>
    <n v="2623.25"/>
    <x v="1"/>
    <x v="0"/>
    <n v="60"/>
    <n v="0.875"/>
    <n v="0"/>
  </r>
  <r>
    <s v="ORD-5430"/>
    <d v="2025-12-31T00:00:00"/>
    <x v="4"/>
    <s v="CUST-822"/>
    <x v="9"/>
    <x v="8"/>
    <x v="1"/>
    <x v="6"/>
    <x v="0"/>
    <n v="1"/>
    <n v="1599"/>
    <n v="0.2"/>
    <n v="319.8"/>
    <n v="1599"/>
    <n v="1279.2"/>
    <x v="3"/>
    <x v="0"/>
    <n v="80"/>
    <n v="0.8"/>
    <n v="0"/>
  </r>
  <r>
    <s v="ORD-5431"/>
    <d v="2025-11-18T00:00:00"/>
    <x v="10"/>
    <s v="CUST-294"/>
    <x v="4"/>
    <x v="4"/>
    <x v="2"/>
    <x v="6"/>
    <x v="0"/>
    <n v="4"/>
    <n v="1599"/>
    <n v="0.1"/>
    <n v="159.9"/>
    <n v="6396"/>
    <n v="6236.1"/>
    <x v="3"/>
    <x v="0"/>
    <n v="0"/>
    <n v="0.97500000000000009"/>
    <n v="0"/>
  </r>
  <r>
    <s v="ORD-5432"/>
    <d v="2025-01-16T00:00:00"/>
    <x v="7"/>
    <s v="CUST-672"/>
    <x v="1"/>
    <x v="1"/>
    <x v="1"/>
    <x v="16"/>
    <x v="4"/>
    <n v="4"/>
    <n v="1599"/>
    <n v="0.05"/>
    <n v="79.95"/>
    <n v="6396"/>
    <n v="6316.05"/>
    <x v="3"/>
    <x v="0"/>
    <n v="0"/>
    <n v="0.98750000000000004"/>
    <n v="0"/>
  </r>
  <r>
    <s v="ORD-5433"/>
    <d v="2025-06-11T00:00:00"/>
    <x v="11"/>
    <s v="CUST-863"/>
    <x v="8"/>
    <x v="1"/>
    <x v="1"/>
    <x v="13"/>
    <x v="2"/>
    <n v="1"/>
    <n v="449"/>
    <n v="0.25"/>
    <n v="112.25"/>
    <n v="449"/>
    <n v="336.75"/>
    <x v="3"/>
    <x v="0"/>
    <n v="0"/>
    <n v="0.75"/>
    <n v="0"/>
  </r>
  <r>
    <s v="ORD-5434"/>
    <d v="2025-09-01T00:00:00"/>
    <x v="3"/>
    <s v="CUST-624"/>
    <x v="7"/>
    <x v="7"/>
    <x v="1"/>
    <x v="18"/>
    <x v="4"/>
    <n v="1"/>
    <n v="1299"/>
    <n v="0.15"/>
    <n v="194.85"/>
    <n v="1299"/>
    <n v="1104.1500000000001"/>
    <x v="0"/>
    <x v="0"/>
    <n v="40"/>
    <n v="0.85000000000000009"/>
    <n v="0"/>
  </r>
  <r>
    <s v="ORD-5435"/>
    <d v="2025-05-20T00:00:00"/>
    <x v="8"/>
    <s v="CUST-447"/>
    <x v="1"/>
    <x v="1"/>
    <x v="1"/>
    <x v="7"/>
    <x v="1"/>
    <n v="2"/>
    <n v="1299"/>
    <n v="0.1"/>
    <n v="129.9"/>
    <n v="2598"/>
    <n v="2468.1"/>
    <x v="3"/>
    <x v="1"/>
    <n v="80"/>
    <n v="0.95"/>
    <n v="0"/>
  </r>
  <r>
    <s v="ORD-5436"/>
    <d v="2025-01-06T00:00:00"/>
    <x v="7"/>
    <s v="CUST-541"/>
    <x v="3"/>
    <x v="3"/>
    <x v="3"/>
    <x v="22"/>
    <x v="2"/>
    <n v="2"/>
    <n v="3299"/>
    <n v="0.1"/>
    <n v="329.90000000000003"/>
    <n v="6598"/>
    <n v="6268.1"/>
    <x v="0"/>
    <x v="0"/>
    <n v="40"/>
    <n v="0.95000000000000007"/>
    <n v="0"/>
  </r>
  <r>
    <s v="ORD-5437"/>
    <d v="2025-05-09T00:00:00"/>
    <x v="8"/>
    <s v="CUST-235"/>
    <x v="1"/>
    <x v="1"/>
    <x v="1"/>
    <x v="3"/>
    <x v="0"/>
    <n v="2"/>
    <n v="899"/>
    <n v="0"/>
    <n v="0"/>
    <n v="1798"/>
    <n v="1798"/>
    <x v="3"/>
    <x v="0"/>
    <n v="0"/>
    <n v="1"/>
    <n v="0"/>
  </r>
  <r>
    <s v="ORD-5438"/>
    <d v="2025-10-15T00:00:00"/>
    <x v="2"/>
    <s v="CUST-640"/>
    <x v="0"/>
    <x v="0"/>
    <x v="0"/>
    <x v="1"/>
    <x v="1"/>
    <n v="1"/>
    <n v="3999"/>
    <n v="0.1"/>
    <n v="399.90000000000003"/>
    <n v="3999"/>
    <n v="3599.1"/>
    <x v="3"/>
    <x v="0"/>
    <n v="0"/>
    <n v="0.9"/>
    <n v="0"/>
  </r>
  <r>
    <s v="ORD-5439"/>
    <d v="2025-09-17T00:00:00"/>
    <x v="3"/>
    <s v="CUST-490"/>
    <x v="1"/>
    <x v="1"/>
    <x v="1"/>
    <x v="21"/>
    <x v="4"/>
    <n v="1"/>
    <n v="699"/>
    <n v="0.1"/>
    <n v="69.900000000000006"/>
    <n v="699"/>
    <n v="629.1"/>
    <x v="3"/>
    <x v="0"/>
    <n v="80"/>
    <n v="0.9"/>
    <n v="0"/>
  </r>
  <r>
    <s v="ORD-5440"/>
    <d v="2025-09-10T00:00:00"/>
    <x v="3"/>
    <s v="CUST-533"/>
    <x v="8"/>
    <x v="1"/>
    <x v="1"/>
    <x v="12"/>
    <x v="1"/>
    <n v="1"/>
    <n v="799"/>
    <n v="0.2"/>
    <n v="159.80000000000001"/>
    <n v="799"/>
    <n v="639.20000000000005"/>
    <x v="3"/>
    <x v="0"/>
    <n v="60"/>
    <n v="0.8"/>
    <n v="0"/>
  </r>
  <r>
    <s v="ORD-5441"/>
    <d v="2025-07-01T00:00:00"/>
    <x v="5"/>
    <s v="CUST-350"/>
    <x v="4"/>
    <x v="4"/>
    <x v="2"/>
    <x v="18"/>
    <x v="4"/>
    <n v="2"/>
    <n v="1299"/>
    <n v="0"/>
    <n v="0"/>
    <n v="2598"/>
    <n v="2598"/>
    <x v="0"/>
    <x v="0"/>
    <n v="80"/>
    <n v="1"/>
    <n v="0"/>
  </r>
  <r>
    <s v="ORD-5442"/>
    <d v="2025-11-02T00:00:00"/>
    <x v="10"/>
    <s v="CUST-307"/>
    <x v="6"/>
    <x v="6"/>
    <x v="2"/>
    <x v="1"/>
    <x v="1"/>
    <n v="1"/>
    <n v="3999"/>
    <n v="0.2"/>
    <n v="799.80000000000007"/>
    <n v="3999"/>
    <n v="3199.2"/>
    <x v="0"/>
    <x v="0"/>
    <n v="60"/>
    <n v="0.79999999999999993"/>
    <n v="0"/>
  </r>
  <r>
    <s v="ORD-5443"/>
    <d v="2025-09-03T00:00:00"/>
    <x v="3"/>
    <s v="CUST-844"/>
    <x v="9"/>
    <x v="8"/>
    <x v="1"/>
    <x v="0"/>
    <x v="0"/>
    <n v="2"/>
    <n v="1799"/>
    <n v="0"/>
    <n v="0"/>
    <n v="3598"/>
    <n v="3598"/>
    <x v="3"/>
    <x v="2"/>
    <n v="40"/>
    <n v="1"/>
    <n v="0"/>
  </r>
  <r>
    <s v="ORD-5444"/>
    <d v="2025-10-13T00:00:00"/>
    <x v="2"/>
    <s v="CUST-707"/>
    <x v="2"/>
    <x v="2"/>
    <x v="2"/>
    <x v="22"/>
    <x v="2"/>
    <n v="2"/>
    <n v="3299"/>
    <n v="0.15"/>
    <n v="494.84999999999997"/>
    <n v="6598"/>
    <n v="6103.15"/>
    <x v="3"/>
    <x v="0"/>
    <n v="80"/>
    <n v="0.92499999999999993"/>
    <n v="0"/>
  </r>
  <r>
    <s v="ORD-5445"/>
    <d v="2025-01-11T00:00:00"/>
    <x v="7"/>
    <s v="CUST-783"/>
    <x v="2"/>
    <x v="2"/>
    <x v="2"/>
    <x v="8"/>
    <x v="1"/>
    <n v="1"/>
    <n v="2499"/>
    <n v="0.1"/>
    <n v="249.9"/>
    <n v="2499"/>
    <n v="2249.1"/>
    <x v="0"/>
    <x v="1"/>
    <n v="40"/>
    <n v="0.89999999999999991"/>
    <n v="0"/>
  </r>
  <r>
    <s v="ORD-5446"/>
    <d v="2025-05-28T00:00:00"/>
    <x v="8"/>
    <s v="CUST-777"/>
    <x v="6"/>
    <x v="6"/>
    <x v="2"/>
    <x v="8"/>
    <x v="1"/>
    <n v="1"/>
    <n v="2499"/>
    <n v="0.25"/>
    <n v="624.75"/>
    <n v="2499"/>
    <n v="1874.25"/>
    <x v="0"/>
    <x v="0"/>
    <n v="80"/>
    <n v="0.75"/>
    <n v="0"/>
  </r>
  <r>
    <s v="ORD-5447"/>
    <d v="2025-04-13T00:00:00"/>
    <x v="6"/>
    <s v="CUST-765"/>
    <x v="6"/>
    <x v="6"/>
    <x v="2"/>
    <x v="16"/>
    <x v="4"/>
    <n v="3"/>
    <n v="1599"/>
    <n v="0"/>
    <n v="0"/>
    <n v="4797"/>
    <n v="4797"/>
    <x v="0"/>
    <x v="0"/>
    <n v="0"/>
    <n v="1"/>
    <n v="0"/>
  </r>
  <r>
    <s v="ORD-5448"/>
    <d v="2025-11-22T00:00:00"/>
    <x v="10"/>
    <s v="CUST-445"/>
    <x v="1"/>
    <x v="1"/>
    <x v="1"/>
    <x v="22"/>
    <x v="2"/>
    <n v="2"/>
    <n v="3299"/>
    <n v="0.2"/>
    <n v="659.80000000000007"/>
    <n v="6598"/>
    <n v="5938.2"/>
    <x v="2"/>
    <x v="0"/>
    <n v="0"/>
    <n v="0.9"/>
    <n v="0"/>
  </r>
  <r>
    <s v="ORD-6844"/>
    <d v="2025-12-14T00:00:00"/>
    <x v="4"/>
    <s v="CUST-497"/>
    <x v="0"/>
    <x v="0"/>
    <x v="0"/>
    <x v="4"/>
    <x v="3"/>
    <n v="5"/>
    <n v="349"/>
    <n v="0"/>
    <n v="0"/>
    <n v="1745"/>
    <n v="1745"/>
    <x v="1"/>
    <x v="0"/>
    <n v="80"/>
    <n v="1"/>
    <n v="0"/>
  </r>
  <r>
    <s v="ORD-5449"/>
    <d v="2025-08-28T00:00:00"/>
    <x v="0"/>
    <s v="CUST-788"/>
    <x v="2"/>
    <x v="2"/>
    <x v="2"/>
    <x v="16"/>
    <x v="4"/>
    <n v="1"/>
    <n v="1599"/>
    <n v="0.15"/>
    <n v="239.85"/>
    <n v="1599"/>
    <n v="1359.15"/>
    <x v="2"/>
    <x v="2"/>
    <n v="80"/>
    <n v="0.85000000000000009"/>
    <n v="0"/>
  </r>
  <r>
    <s v="ORD-5450"/>
    <d v="2025-09-22T00:00:00"/>
    <x v="3"/>
    <s v="CUST-627"/>
    <x v="3"/>
    <x v="3"/>
    <x v="3"/>
    <x v="6"/>
    <x v="0"/>
    <n v="1"/>
    <n v="1599"/>
    <n v="0.1"/>
    <n v="159.9"/>
    <n v="1599"/>
    <n v="1439.1"/>
    <x v="2"/>
    <x v="0"/>
    <n v="80"/>
    <n v="0.89999999999999991"/>
    <n v="0"/>
  </r>
  <r>
    <s v="ORD-5451"/>
    <d v="2025-05-23T00:00:00"/>
    <x v="8"/>
    <s v="CUST-276"/>
    <x v="9"/>
    <x v="8"/>
    <x v="1"/>
    <x v="10"/>
    <x v="0"/>
    <n v="1"/>
    <n v="599"/>
    <n v="0.25"/>
    <n v="149.75"/>
    <n v="599"/>
    <n v="449.25"/>
    <x v="1"/>
    <x v="0"/>
    <n v="60"/>
    <n v="0.75"/>
    <n v="0"/>
  </r>
  <r>
    <s v="ORD-5452"/>
    <d v="2025-02-05T00:00:00"/>
    <x v="9"/>
    <s v="CUST-735"/>
    <x v="0"/>
    <x v="0"/>
    <x v="0"/>
    <x v="22"/>
    <x v="2"/>
    <n v="1"/>
    <n v="3299"/>
    <n v="0.1"/>
    <n v="329.90000000000003"/>
    <n v="3299"/>
    <n v="2969.1"/>
    <x v="2"/>
    <x v="0"/>
    <n v="40"/>
    <n v="0.9"/>
    <n v="0"/>
  </r>
  <r>
    <s v="ORD-5453"/>
    <d v="2025-07-13T00:00:00"/>
    <x v="5"/>
    <s v="CUST-496"/>
    <x v="2"/>
    <x v="2"/>
    <x v="2"/>
    <x v="21"/>
    <x v="4"/>
    <n v="1"/>
    <n v="699"/>
    <n v="0.1"/>
    <n v="69.900000000000006"/>
    <n v="699"/>
    <n v="629.1"/>
    <x v="1"/>
    <x v="0"/>
    <n v="80"/>
    <n v="0.9"/>
    <n v="0"/>
  </r>
  <r>
    <s v="ORD-5454"/>
    <d v="2025-10-25T00:00:00"/>
    <x v="2"/>
    <s v="CUST-270"/>
    <x v="6"/>
    <x v="6"/>
    <x v="2"/>
    <x v="12"/>
    <x v="1"/>
    <n v="1"/>
    <n v="799"/>
    <n v="0.2"/>
    <n v="159.80000000000001"/>
    <n v="799"/>
    <n v="639.20000000000005"/>
    <x v="2"/>
    <x v="0"/>
    <n v="40"/>
    <n v="0.8"/>
    <n v="0"/>
  </r>
  <r>
    <s v="ORD-5455"/>
    <d v="2025-02-02T00:00:00"/>
    <x v="9"/>
    <s v="CUST-550"/>
    <x v="4"/>
    <x v="4"/>
    <x v="2"/>
    <x v="0"/>
    <x v="0"/>
    <n v="2"/>
    <n v="1799"/>
    <n v="0.15"/>
    <n v="269.84999999999997"/>
    <n v="3598"/>
    <n v="3328.15"/>
    <x v="3"/>
    <x v="1"/>
    <n v="40"/>
    <n v="0.92500000000000004"/>
    <n v="0"/>
  </r>
  <r>
    <s v="ORD-5456"/>
    <d v="2025-05-11T00:00:00"/>
    <x v="8"/>
    <s v="CUST-764"/>
    <x v="6"/>
    <x v="6"/>
    <x v="2"/>
    <x v="16"/>
    <x v="4"/>
    <n v="1"/>
    <n v="1599"/>
    <n v="0.25"/>
    <n v="399.75"/>
    <n v="1599"/>
    <n v="1199.25"/>
    <x v="3"/>
    <x v="1"/>
    <n v="60"/>
    <n v="0.75"/>
    <n v="0"/>
  </r>
  <r>
    <s v="ORD-5457"/>
    <d v="2025-01-14T00:00:00"/>
    <x v="7"/>
    <s v="CUST-343"/>
    <x v="2"/>
    <x v="2"/>
    <x v="2"/>
    <x v="7"/>
    <x v="1"/>
    <n v="2"/>
    <n v="1299"/>
    <n v="0.25"/>
    <n v="324.75"/>
    <n v="2598"/>
    <n v="2273.25"/>
    <x v="0"/>
    <x v="0"/>
    <n v="60"/>
    <n v="0.875"/>
    <n v="0"/>
  </r>
  <r>
    <s v="ORD-5458"/>
    <d v="2025-12-29T00:00:00"/>
    <x v="4"/>
    <s v="CUST-611"/>
    <x v="1"/>
    <x v="1"/>
    <x v="1"/>
    <x v="19"/>
    <x v="2"/>
    <n v="1"/>
    <n v="1499"/>
    <n v="0.1"/>
    <n v="149.9"/>
    <n v="1499"/>
    <n v="1349.1"/>
    <x v="2"/>
    <x v="0"/>
    <n v="40"/>
    <n v="0.89999999999999991"/>
    <n v="0"/>
  </r>
  <r>
    <s v="ORD-5459"/>
    <d v="2025-07-13T00:00:00"/>
    <x v="5"/>
    <s v="CUST-364"/>
    <x v="1"/>
    <x v="1"/>
    <x v="1"/>
    <x v="1"/>
    <x v="1"/>
    <n v="1"/>
    <n v="3999"/>
    <n v="0.1"/>
    <n v="399.90000000000003"/>
    <n v="3999"/>
    <n v="3599.1"/>
    <x v="0"/>
    <x v="0"/>
    <n v="60"/>
    <n v="0.9"/>
    <n v="0"/>
  </r>
  <r>
    <s v="ORD-5460"/>
    <d v="2025-05-16T00:00:00"/>
    <x v="8"/>
    <s v="CUST-306"/>
    <x v="8"/>
    <x v="1"/>
    <x v="1"/>
    <x v="19"/>
    <x v="2"/>
    <n v="1"/>
    <n v="1499"/>
    <n v="0.05"/>
    <n v="74.95"/>
    <n v="1499"/>
    <n v="1424.05"/>
    <x v="2"/>
    <x v="0"/>
    <n v="80"/>
    <n v="0.95"/>
    <n v="0"/>
  </r>
  <r>
    <s v="ORD-5461"/>
    <d v="2025-03-28T00:00:00"/>
    <x v="1"/>
    <s v="CUST-535"/>
    <x v="4"/>
    <x v="4"/>
    <x v="2"/>
    <x v="15"/>
    <x v="3"/>
    <n v="1"/>
    <n v="299"/>
    <n v="0.25"/>
    <n v="74.75"/>
    <n v="299"/>
    <n v="224.25"/>
    <x v="3"/>
    <x v="0"/>
    <n v="80"/>
    <n v="0.75"/>
    <n v="0"/>
  </r>
  <r>
    <s v="ORD-5462"/>
    <d v="2025-01-06T00:00:00"/>
    <x v="7"/>
    <s v="CUST-282"/>
    <x v="1"/>
    <x v="1"/>
    <x v="1"/>
    <x v="7"/>
    <x v="1"/>
    <n v="2"/>
    <n v="1299"/>
    <n v="0.25"/>
    <n v="324.75"/>
    <n v="2598"/>
    <n v="2273.25"/>
    <x v="0"/>
    <x v="1"/>
    <n v="40"/>
    <n v="0.875"/>
    <n v="0"/>
  </r>
  <r>
    <s v="ORD-5463"/>
    <d v="2025-07-31T00:00:00"/>
    <x v="5"/>
    <s v="CUST-540"/>
    <x v="4"/>
    <x v="4"/>
    <x v="2"/>
    <x v="22"/>
    <x v="2"/>
    <n v="1"/>
    <n v="3299"/>
    <n v="0.25"/>
    <n v="824.75"/>
    <n v="3299"/>
    <n v="2474.25"/>
    <x v="3"/>
    <x v="0"/>
    <n v="0"/>
    <n v="0.75"/>
    <n v="0"/>
  </r>
  <r>
    <s v="ORD-5464"/>
    <d v="2025-12-20T00:00:00"/>
    <x v="4"/>
    <s v="CUST-585"/>
    <x v="3"/>
    <x v="3"/>
    <x v="3"/>
    <x v="14"/>
    <x v="4"/>
    <n v="2"/>
    <n v="399"/>
    <n v="0"/>
    <n v="0"/>
    <n v="798"/>
    <n v="798"/>
    <x v="3"/>
    <x v="0"/>
    <n v="60"/>
    <n v="1"/>
    <n v="0"/>
  </r>
  <r>
    <s v="ORD-5465"/>
    <d v="2025-01-14T00:00:00"/>
    <x v="7"/>
    <s v="CUST-696"/>
    <x v="1"/>
    <x v="1"/>
    <x v="1"/>
    <x v="19"/>
    <x v="2"/>
    <n v="2"/>
    <n v="1499"/>
    <n v="0.05"/>
    <n v="74.95"/>
    <n v="2998"/>
    <n v="2923.05"/>
    <x v="3"/>
    <x v="0"/>
    <n v="80"/>
    <n v="0.97500000000000009"/>
    <n v="0"/>
  </r>
  <r>
    <s v="ORD-5466"/>
    <d v="2025-09-21T00:00:00"/>
    <x v="3"/>
    <s v="CUST-235"/>
    <x v="4"/>
    <x v="4"/>
    <x v="2"/>
    <x v="7"/>
    <x v="1"/>
    <n v="1"/>
    <n v="1299"/>
    <n v="0.1"/>
    <n v="129.9"/>
    <n v="1299"/>
    <n v="1169.0999999999999"/>
    <x v="2"/>
    <x v="1"/>
    <n v="0"/>
    <n v="0.89999999999999991"/>
    <n v="0"/>
  </r>
  <r>
    <s v="ORD-5467"/>
    <d v="2025-10-04T00:00:00"/>
    <x v="2"/>
    <s v="CUST-469"/>
    <x v="5"/>
    <x v="5"/>
    <x v="3"/>
    <x v="2"/>
    <x v="2"/>
    <n v="1"/>
    <n v="2799"/>
    <n v="0"/>
    <n v="0"/>
    <n v="2799"/>
    <n v="2799"/>
    <x v="0"/>
    <x v="0"/>
    <n v="60"/>
    <n v="1"/>
    <n v="0"/>
  </r>
  <r>
    <s v="ORD-5468"/>
    <d v="2025-02-23T00:00:00"/>
    <x v="9"/>
    <s v="CUST-894"/>
    <x v="6"/>
    <x v="6"/>
    <x v="2"/>
    <x v="13"/>
    <x v="2"/>
    <n v="4"/>
    <n v="449"/>
    <n v="0.05"/>
    <n v="22.450000000000003"/>
    <n v="1796"/>
    <n v="1773.55"/>
    <x v="3"/>
    <x v="0"/>
    <n v="0"/>
    <n v="0.98749999999999993"/>
    <n v="0"/>
  </r>
  <r>
    <s v="ORD-5469"/>
    <d v="2025-09-03T00:00:00"/>
    <x v="3"/>
    <s v="CUST-733"/>
    <x v="8"/>
    <x v="1"/>
    <x v="1"/>
    <x v="13"/>
    <x v="2"/>
    <n v="1"/>
    <n v="449"/>
    <n v="0.15"/>
    <n v="67.349999999999994"/>
    <n v="449"/>
    <n v="381.65"/>
    <x v="3"/>
    <x v="0"/>
    <n v="80"/>
    <n v="0.85"/>
    <n v="0"/>
  </r>
  <r>
    <s v="ORD-5470"/>
    <d v="2025-12-26T00:00:00"/>
    <x v="4"/>
    <s v="CUST-510"/>
    <x v="6"/>
    <x v="6"/>
    <x v="2"/>
    <x v="12"/>
    <x v="1"/>
    <n v="1"/>
    <n v="799"/>
    <n v="0"/>
    <n v="0"/>
    <n v="799"/>
    <n v="799"/>
    <x v="1"/>
    <x v="0"/>
    <n v="0"/>
    <n v="1"/>
    <n v="0"/>
  </r>
  <r>
    <s v="ORD-5471"/>
    <d v="2025-11-15T00:00:00"/>
    <x v="10"/>
    <s v="CUST-438"/>
    <x v="6"/>
    <x v="6"/>
    <x v="2"/>
    <x v="0"/>
    <x v="0"/>
    <n v="3"/>
    <n v="1799"/>
    <n v="0.1"/>
    <n v="179.9"/>
    <n v="5397"/>
    <n v="5217.1000000000004"/>
    <x v="3"/>
    <x v="0"/>
    <n v="40"/>
    <n v="0.96666666666666679"/>
    <n v="0"/>
  </r>
  <r>
    <s v="ORD-5472"/>
    <d v="2025-03-27T00:00:00"/>
    <x v="1"/>
    <s v="CUST-538"/>
    <x v="8"/>
    <x v="1"/>
    <x v="1"/>
    <x v="2"/>
    <x v="2"/>
    <n v="4"/>
    <n v="2799"/>
    <n v="0.25"/>
    <n v="699.75"/>
    <n v="11196"/>
    <n v="10496.25"/>
    <x v="2"/>
    <x v="0"/>
    <n v="80"/>
    <n v="0.9375"/>
    <n v="0"/>
  </r>
  <r>
    <s v="ORD-5473"/>
    <d v="2025-01-14T00:00:00"/>
    <x v="7"/>
    <s v="CUST-353"/>
    <x v="9"/>
    <x v="8"/>
    <x v="1"/>
    <x v="6"/>
    <x v="0"/>
    <n v="1"/>
    <n v="1599"/>
    <n v="0.25"/>
    <n v="399.75"/>
    <n v="1599"/>
    <n v="1199.25"/>
    <x v="0"/>
    <x v="0"/>
    <n v="80"/>
    <n v="0.75"/>
    <n v="0"/>
  </r>
  <r>
    <s v="ORD-5474"/>
    <d v="2025-01-24T00:00:00"/>
    <x v="7"/>
    <s v="CUST-383"/>
    <x v="3"/>
    <x v="3"/>
    <x v="3"/>
    <x v="17"/>
    <x v="1"/>
    <n v="1"/>
    <n v="2199"/>
    <n v="0.25"/>
    <n v="549.75"/>
    <n v="2199"/>
    <n v="1649.25"/>
    <x v="2"/>
    <x v="1"/>
    <n v="80"/>
    <n v="0.75"/>
    <n v="0"/>
  </r>
  <r>
    <s v="ORD-5475"/>
    <d v="2025-11-11T00:00:00"/>
    <x v="10"/>
    <s v="CUST-311"/>
    <x v="3"/>
    <x v="3"/>
    <x v="3"/>
    <x v="10"/>
    <x v="0"/>
    <n v="2"/>
    <n v="599"/>
    <n v="0.2"/>
    <n v="119.80000000000001"/>
    <n v="1198"/>
    <n v="1078.2"/>
    <x v="0"/>
    <x v="0"/>
    <n v="80"/>
    <n v="0.9"/>
    <n v="0"/>
  </r>
  <r>
    <s v="ORD-5476"/>
    <d v="2025-05-17T00:00:00"/>
    <x v="8"/>
    <s v="CUST-242"/>
    <x v="9"/>
    <x v="8"/>
    <x v="1"/>
    <x v="7"/>
    <x v="1"/>
    <n v="1"/>
    <n v="1299"/>
    <n v="0.25"/>
    <n v="324.75"/>
    <n v="1299"/>
    <n v="974.25"/>
    <x v="3"/>
    <x v="2"/>
    <n v="40"/>
    <n v="0.75"/>
    <n v="0"/>
  </r>
  <r>
    <s v="ORD-5477"/>
    <d v="2025-08-05T00:00:00"/>
    <x v="0"/>
    <s v="CUST-755"/>
    <x v="4"/>
    <x v="4"/>
    <x v="2"/>
    <x v="17"/>
    <x v="1"/>
    <n v="1"/>
    <n v="2199"/>
    <n v="0.25"/>
    <n v="549.75"/>
    <n v="2199"/>
    <n v="1649.25"/>
    <x v="2"/>
    <x v="1"/>
    <n v="60"/>
    <n v="0.75"/>
    <n v="0"/>
  </r>
  <r>
    <s v="ORD-5478"/>
    <d v="2025-02-13T00:00:00"/>
    <x v="9"/>
    <s v="CUST-379"/>
    <x v="1"/>
    <x v="1"/>
    <x v="1"/>
    <x v="15"/>
    <x v="3"/>
    <n v="1"/>
    <n v="299"/>
    <n v="0"/>
    <n v="0"/>
    <n v="299"/>
    <n v="299"/>
    <x v="0"/>
    <x v="0"/>
    <n v="40"/>
    <n v="1"/>
    <n v="0"/>
  </r>
  <r>
    <s v="ORD-5479"/>
    <d v="2025-07-06T00:00:00"/>
    <x v="5"/>
    <s v="CUST-325"/>
    <x v="9"/>
    <x v="8"/>
    <x v="1"/>
    <x v="11"/>
    <x v="2"/>
    <n v="2"/>
    <n v="5499"/>
    <n v="0"/>
    <n v="0"/>
    <n v="10998"/>
    <n v="10998"/>
    <x v="0"/>
    <x v="0"/>
    <n v="40"/>
    <n v="1"/>
    <n v="0"/>
  </r>
  <r>
    <s v="ORD-5480"/>
    <d v="2025-12-26T00:00:00"/>
    <x v="4"/>
    <s v="CUST-376"/>
    <x v="7"/>
    <x v="7"/>
    <x v="1"/>
    <x v="7"/>
    <x v="1"/>
    <n v="1"/>
    <n v="1299"/>
    <n v="0.1"/>
    <n v="129.9"/>
    <n v="1299"/>
    <n v="1169.0999999999999"/>
    <x v="1"/>
    <x v="0"/>
    <n v="0"/>
    <n v="0.89999999999999991"/>
    <n v="0"/>
  </r>
  <r>
    <s v="ORD-5481"/>
    <d v="2025-04-25T00:00:00"/>
    <x v="6"/>
    <s v="CUST-281"/>
    <x v="5"/>
    <x v="5"/>
    <x v="3"/>
    <x v="13"/>
    <x v="2"/>
    <n v="1"/>
    <n v="449"/>
    <n v="0.25"/>
    <n v="112.25"/>
    <n v="449"/>
    <n v="336.75"/>
    <x v="2"/>
    <x v="2"/>
    <n v="0"/>
    <n v="0.75"/>
    <n v="0"/>
  </r>
  <r>
    <s v="ORD-5482"/>
    <d v="2025-08-17T00:00:00"/>
    <x v="0"/>
    <s v="CUST-656"/>
    <x v="1"/>
    <x v="1"/>
    <x v="1"/>
    <x v="0"/>
    <x v="0"/>
    <n v="5"/>
    <n v="1799"/>
    <n v="0.25"/>
    <n v="449.75"/>
    <n v="8995"/>
    <n v="8545.25"/>
    <x v="1"/>
    <x v="0"/>
    <n v="60"/>
    <n v="0.95"/>
    <n v="0"/>
  </r>
  <r>
    <s v="ORD-5483"/>
    <d v="2025-05-20T00:00:00"/>
    <x v="8"/>
    <s v="CUST-554"/>
    <x v="0"/>
    <x v="0"/>
    <x v="0"/>
    <x v="3"/>
    <x v="0"/>
    <n v="3"/>
    <n v="899"/>
    <n v="0.25"/>
    <n v="224.75"/>
    <n v="2697"/>
    <n v="2472.25"/>
    <x v="3"/>
    <x v="0"/>
    <n v="80"/>
    <n v="0.91666666666666663"/>
    <n v="0"/>
  </r>
  <r>
    <s v="ORD-5484"/>
    <d v="2025-09-27T00:00:00"/>
    <x v="3"/>
    <s v="CUST-648"/>
    <x v="7"/>
    <x v="7"/>
    <x v="1"/>
    <x v="2"/>
    <x v="2"/>
    <n v="1"/>
    <n v="2799"/>
    <n v="0.1"/>
    <n v="279.90000000000003"/>
    <n v="2799"/>
    <n v="2519.1"/>
    <x v="2"/>
    <x v="0"/>
    <n v="60"/>
    <n v="0.9"/>
    <n v="0"/>
  </r>
  <r>
    <s v="ORD-5485"/>
    <d v="2025-10-26T00:00:00"/>
    <x v="2"/>
    <s v="CUST-487"/>
    <x v="7"/>
    <x v="7"/>
    <x v="1"/>
    <x v="16"/>
    <x v="4"/>
    <n v="2"/>
    <n v="1599"/>
    <n v="0.05"/>
    <n v="79.95"/>
    <n v="3198"/>
    <n v="3118.05"/>
    <x v="3"/>
    <x v="2"/>
    <n v="80"/>
    <n v="0.97500000000000009"/>
    <n v="0"/>
  </r>
  <r>
    <s v="ORD-5486"/>
    <d v="2025-11-14T00:00:00"/>
    <x v="10"/>
    <s v="CUST-828"/>
    <x v="2"/>
    <x v="2"/>
    <x v="2"/>
    <x v="18"/>
    <x v="4"/>
    <n v="1"/>
    <n v="1299"/>
    <n v="0"/>
    <n v="0"/>
    <n v="1299"/>
    <n v="1299"/>
    <x v="0"/>
    <x v="0"/>
    <n v="0"/>
    <n v="1"/>
    <n v="0"/>
  </r>
  <r>
    <s v="ORD-5487"/>
    <d v="2025-09-25T00:00:00"/>
    <x v="3"/>
    <s v="CUST-359"/>
    <x v="6"/>
    <x v="6"/>
    <x v="2"/>
    <x v="6"/>
    <x v="0"/>
    <n v="1"/>
    <n v="1599"/>
    <n v="0"/>
    <n v="0"/>
    <n v="1599"/>
    <n v="1599"/>
    <x v="3"/>
    <x v="0"/>
    <n v="80"/>
    <n v="1"/>
    <n v="0"/>
  </r>
  <r>
    <s v="ORD-5488"/>
    <d v="2025-04-09T00:00:00"/>
    <x v="6"/>
    <s v="CUST-408"/>
    <x v="7"/>
    <x v="7"/>
    <x v="1"/>
    <x v="5"/>
    <x v="0"/>
    <n v="1"/>
    <n v="2299"/>
    <n v="0.2"/>
    <n v="459.8"/>
    <n v="2299"/>
    <n v="1839.2"/>
    <x v="0"/>
    <x v="0"/>
    <n v="80"/>
    <n v="0.8"/>
    <n v="0"/>
  </r>
  <r>
    <s v="ORD-5489"/>
    <d v="2025-11-10T00:00:00"/>
    <x v="10"/>
    <s v="CUST-472"/>
    <x v="4"/>
    <x v="4"/>
    <x v="2"/>
    <x v="2"/>
    <x v="2"/>
    <n v="2"/>
    <n v="2799"/>
    <n v="0.1"/>
    <n v="279.90000000000003"/>
    <n v="5598"/>
    <n v="5318.1"/>
    <x v="3"/>
    <x v="0"/>
    <n v="40"/>
    <n v="0.95000000000000007"/>
    <n v="0"/>
  </r>
  <r>
    <s v="ORD-5490"/>
    <d v="2025-09-29T00:00:00"/>
    <x v="3"/>
    <s v="CUST-253"/>
    <x v="3"/>
    <x v="3"/>
    <x v="3"/>
    <x v="14"/>
    <x v="4"/>
    <n v="1"/>
    <n v="399"/>
    <n v="0.25"/>
    <n v="99.75"/>
    <n v="399"/>
    <n v="299.25"/>
    <x v="3"/>
    <x v="0"/>
    <n v="60"/>
    <n v="0.75"/>
    <n v="0"/>
  </r>
  <r>
    <s v="ORD-5491"/>
    <d v="2025-08-09T00:00:00"/>
    <x v="0"/>
    <s v="CUST-663"/>
    <x v="0"/>
    <x v="0"/>
    <x v="0"/>
    <x v="12"/>
    <x v="1"/>
    <n v="1"/>
    <n v="799"/>
    <n v="0.1"/>
    <n v="79.900000000000006"/>
    <n v="799"/>
    <n v="719.1"/>
    <x v="2"/>
    <x v="0"/>
    <n v="60"/>
    <n v="0.9"/>
    <n v="0"/>
  </r>
  <r>
    <s v="ORD-5492"/>
    <d v="2025-01-13T00:00:00"/>
    <x v="7"/>
    <s v="CUST-844"/>
    <x v="1"/>
    <x v="1"/>
    <x v="1"/>
    <x v="5"/>
    <x v="0"/>
    <n v="1"/>
    <n v="2299"/>
    <n v="0.15"/>
    <n v="344.84999999999997"/>
    <n v="2299"/>
    <n v="1954.15"/>
    <x v="3"/>
    <x v="0"/>
    <n v="40"/>
    <n v="0.85000000000000009"/>
    <n v="0"/>
  </r>
  <r>
    <s v="ORD-5493"/>
    <d v="2025-07-02T00:00:00"/>
    <x v="5"/>
    <s v="CUST-274"/>
    <x v="0"/>
    <x v="0"/>
    <x v="0"/>
    <x v="20"/>
    <x v="3"/>
    <n v="1"/>
    <n v="499"/>
    <n v="0"/>
    <n v="0"/>
    <n v="499"/>
    <n v="499"/>
    <x v="0"/>
    <x v="0"/>
    <n v="40"/>
    <n v="1"/>
    <n v="0"/>
  </r>
  <r>
    <s v="ORD-5494"/>
    <d v="2025-02-11T00:00:00"/>
    <x v="9"/>
    <s v="CUST-830"/>
    <x v="1"/>
    <x v="1"/>
    <x v="1"/>
    <x v="0"/>
    <x v="0"/>
    <n v="1"/>
    <n v="1799"/>
    <n v="0.2"/>
    <n v="359.8"/>
    <n v="1799"/>
    <n v="1439.2"/>
    <x v="2"/>
    <x v="0"/>
    <n v="0"/>
    <n v="0.8"/>
    <n v="0"/>
  </r>
  <r>
    <s v="ORD-5495"/>
    <d v="2025-08-04T00:00:00"/>
    <x v="0"/>
    <s v="CUST-421"/>
    <x v="4"/>
    <x v="4"/>
    <x v="2"/>
    <x v="7"/>
    <x v="1"/>
    <n v="1"/>
    <n v="1299"/>
    <n v="0.1"/>
    <n v="129.9"/>
    <n v="1299"/>
    <n v="1169.0999999999999"/>
    <x v="3"/>
    <x v="0"/>
    <n v="40"/>
    <n v="0.89999999999999991"/>
    <n v="0"/>
  </r>
  <r>
    <s v="ORD-5496"/>
    <d v="2025-01-07T00:00:00"/>
    <x v="7"/>
    <s v="CUST-633"/>
    <x v="2"/>
    <x v="2"/>
    <x v="2"/>
    <x v="5"/>
    <x v="0"/>
    <n v="3"/>
    <n v="2299"/>
    <n v="0.25"/>
    <n v="574.75"/>
    <n v="6897"/>
    <n v="6322.25"/>
    <x v="3"/>
    <x v="1"/>
    <n v="80"/>
    <n v="0.91666666666666663"/>
    <n v="0"/>
  </r>
  <r>
    <s v="ORD-5497"/>
    <d v="2025-03-15T00:00:00"/>
    <x v="1"/>
    <s v="CUST-523"/>
    <x v="1"/>
    <x v="1"/>
    <x v="1"/>
    <x v="7"/>
    <x v="1"/>
    <n v="2"/>
    <n v="1299"/>
    <n v="0"/>
    <n v="0"/>
    <n v="2598"/>
    <n v="2598"/>
    <x v="0"/>
    <x v="0"/>
    <n v="40"/>
    <n v="1"/>
    <n v="0"/>
  </r>
  <r>
    <s v="ORD-5498"/>
    <d v="2025-07-21T00:00:00"/>
    <x v="5"/>
    <s v="CUST-347"/>
    <x v="1"/>
    <x v="1"/>
    <x v="1"/>
    <x v="5"/>
    <x v="0"/>
    <n v="1"/>
    <n v="2299"/>
    <n v="0"/>
    <n v="0"/>
    <n v="2299"/>
    <n v="2299"/>
    <x v="3"/>
    <x v="0"/>
    <n v="0"/>
    <n v="1"/>
    <n v="0"/>
  </r>
  <r>
    <s v="ORD-5499"/>
    <d v="2025-04-24T00:00:00"/>
    <x v="6"/>
    <s v="CUST-386"/>
    <x v="5"/>
    <x v="5"/>
    <x v="3"/>
    <x v="7"/>
    <x v="1"/>
    <n v="4"/>
    <n v="1299"/>
    <n v="0.2"/>
    <n v="259.8"/>
    <n v="5196"/>
    <n v="4936.2"/>
    <x v="3"/>
    <x v="0"/>
    <n v="40"/>
    <n v="0.95"/>
    <n v="0"/>
  </r>
  <r>
    <s v="ORD-5500"/>
    <d v="2025-11-24T00:00:00"/>
    <x v="10"/>
    <s v="CUST-812"/>
    <x v="1"/>
    <x v="1"/>
    <x v="1"/>
    <x v="16"/>
    <x v="4"/>
    <n v="1"/>
    <n v="1599"/>
    <n v="0.1"/>
    <n v="159.9"/>
    <n v="1599"/>
    <n v="1439.1"/>
    <x v="0"/>
    <x v="0"/>
    <n v="60"/>
    <n v="0.89999999999999991"/>
    <n v="0"/>
  </r>
  <r>
    <s v="ORD-5501"/>
    <d v="2025-06-08T00:00:00"/>
    <x v="11"/>
    <s v="CUST-444"/>
    <x v="4"/>
    <x v="4"/>
    <x v="2"/>
    <x v="18"/>
    <x v="4"/>
    <n v="2"/>
    <n v="1299"/>
    <n v="0.1"/>
    <n v="129.9"/>
    <n v="2598"/>
    <n v="2468.1"/>
    <x v="3"/>
    <x v="0"/>
    <n v="60"/>
    <n v="0.95"/>
    <n v="0"/>
  </r>
  <r>
    <s v="ORD-5502"/>
    <d v="2025-11-28T00:00:00"/>
    <x v="10"/>
    <s v="CUST-838"/>
    <x v="6"/>
    <x v="6"/>
    <x v="2"/>
    <x v="10"/>
    <x v="0"/>
    <n v="1"/>
    <n v="599"/>
    <n v="0.1"/>
    <n v="59.900000000000006"/>
    <n v="599"/>
    <n v="539.1"/>
    <x v="3"/>
    <x v="0"/>
    <n v="80"/>
    <n v="0.9"/>
    <n v="0"/>
  </r>
  <r>
    <s v="ORD-5503"/>
    <d v="2025-02-04T00:00:00"/>
    <x v="9"/>
    <s v="CUST-824"/>
    <x v="4"/>
    <x v="4"/>
    <x v="2"/>
    <x v="5"/>
    <x v="0"/>
    <n v="1"/>
    <n v="2299"/>
    <n v="0.1"/>
    <n v="229.9"/>
    <n v="2299"/>
    <n v="2069.1"/>
    <x v="3"/>
    <x v="1"/>
    <n v="80"/>
    <n v="0.89999999999999991"/>
    <n v="0"/>
  </r>
  <r>
    <s v="ORD-5504"/>
    <d v="2025-08-21T00:00:00"/>
    <x v="0"/>
    <s v="CUST-316"/>
    <x v="4"/>
    <x v="4"/>
    <x v="2"/>
    <x v="14"/>
    <x v="4"/>
    <n v="3"/>
    <n v="399"/>
    <n v="0.15"/>
    <n v="59.849999999999994"/>
    <n v="1197"/>
    <n v="1137.1500000000001"/>
    <x v="2"/>
    <x v="0"/>
    <n v="60"/>
    <n v="0.95000000000000007"/>
    <n v="0"/>
  </r>
  <r>
    <s v="ORD-5505"/>
    <d v="2025-08-07T00:00:00"/>
    <x v="0"/>
    <s v="CUST-689"/>
    <x v="6"/>
    <x v="6"/>
    <x v="2"/>
    <x v="14"/>
    <x v="4"/>
    <n v="1"/>
    <n v="399"/>
    <n v="0"/>
    <n v="0"/>
    <n v="399"/>
    <n v="399"/>
    <x v="2"/>
    <x v="1"/>
    <n v="0"/>
    <n v="1"/>
    <n v="0"/>
  </r>
  <r>
    <s v="ORD-5506"/>
    <d v="2025-01-06T00:00:00"/>
    <x v="7"/>
    <s v="CUST-876"/>
    <x v="7"/>
    <x v="7"/>
    <x v="1"/>
    <x v="13"/>
    <x v="2"/>
    <n v="3"/>
    <n v="449"/>
    <n v="0.25"/>
    <n v="112.25"/>
    <n v="1347"/>
    <n v="1234.75"/>
    <x v="0"/>
    <x v="0"/>
    <n v="60"/>
    <n v="0.91666666666666663"/>
    <n v="0"/>
  </r>
  <r>
    <s v="ORD-5507"/>
    <d v="2025-05-02T00:00:00"/>
    <x v="8"/>
    <s v="CUST-426"/>
    <x v="8"/>
    <x v="1"/>
    <x v="1"/>
    <x v="15"/>
    <x v="3"/>
    <n v="1"/>
    <n v="299"/>
    <n v="0.1"/>
    <n v="29.900000000000002"/>
    <n v="299"/>
    <n v="269.10000000000002"/>
    <x v="0"/>
    <x v="0"/>
    <n v="0"/>
    <n v="0.9"/>
    <n v="0"/>
  </r>
  <r>
    <s v="ORD-5508"/>
    <d v="2025-11-14T00:00:00"/>
    <x v="10"/>
    <s v="CUST-314"/>
    <x v="7"/>
    <x v="7"/>
    <x v="1"/>
    <x v="8"/>
    <x v="1"/>
    <n v="2"/>
    <n v="2499"/>
    <n v="0.25"/>
    <n v="624.75"/>
    <n v="4998"/>
    <n v="4373.25"/>
    <x v="3"/>
    <x v="0"/>
    <n v="60"/>
    <n v="0.875"/>
    <n v="0"/>
  </r>
  <r>
    <s v="ORD-5509"/>
    <d v="2025-08-15T00:00:00"/>
    <x v="0"/>
    <s v="CUST-645"/>
    <x v="3"/>
    <x v="3"/>
    <x v="3"/>
    <x v="9"/>
    <x v="1"/>
    <n v="1"/>
    <n v="1899"/>
    <n v="0.05"/>
    <n v="94.95"/>
    <n v="1899"/>
    <n v="1804.05"/>
    <x v="2"/>
    <x v="0"/>
    <n v="80"/>
    <n v="0.95"/>
    <n v="0"/>
  </r>
  <r>
    <s v="ORD-5510"/>
    <d v="2025-04-19T00:00:00"/>
    <x v="6"/>
    <s v="CUST-431"/>
    <x v="2"/>
    <x v="2"/>
    <x v="2"/>
    <x v="21"/>
    <x v="4"/>
    <n v="1"/>
    <n v="699"/>
    <n v="0"/>
    <n v="0"/>
    <n v="699"/>
    <n v="699"/>
    <x v="2"/>
    <x v="0"/>
    <n v="40"/>
    <n v="1"/>
    <n v="0"/>
  </r>
  <r>
    <s v="ORD-5511"/>
    <d v="2025-12-03T00:00:00"/>
    <x v="4"/>
    <s v="CUST-333"/>
    <x v="2"/>
    <x v="2"/>
    <x v="2"/>
    <x v="2"/>
    <x v="2"/>
    <n v="1"/>
    <n v="2799"/>
    <n v="0"/>
    <n v="0"/>
    <n v="2799"/>
    <n v="2799"/>
    <x v="2"/>
    <x v="1"/>
    <n v="60"/>
    <n v="1"/>
    <n v="0"/>
  </r>
  <r>
    <s v="ORD-5512"/>
    <d v="2025-03-20T00:00:00"/>
    <x v="1"/>
    <s v="CUST-841"/>
    <x v="3"/>
    <x v="3"/>
    <x v="3"/>
    <x v="5"/>
    <x v="0"/>
    <n v="5"/>
    <n v="2299"/>
    <n v="0.05"/>
    <n v="114.95"/>
    <n v="11495"/>
    <n v="11380.05"/>
    <x v="3"/>
    <x v="1"/>
    <n v="60"/>
    <n v="0.99"/>
    <n v="0"/>
  </r>
  <r>
    <s v="ORD-5513"/>
    <d v="2025-05-27T00:00:00"/>
    <x v="8"/>
    <s v="CUST-578"/>
    <x v="1"/>
    <x v="1"/>
    <x v="1"/>
    <x v="8"/>
    <x v="1"/>
    <n v="2"/>
    <n v="2499"/>
    <n v="0.1"/>
    <n v="249.9"/>
    <n v="4998"/>
    <n v="4748.1000000000004"/>
    <x v="3"/>
    <x v="0"/>
    <n v="80"/>
    <n v="0.95000000000000007"/>
    <n v="0"/>
  </r>
  <r>
    <s v="ORD-5514"/>
    <d v="2025-09-20T00:00:00"/>
    <x v="3"/>
    <s v="CUST-747"/>
    <x v="2"/>
    <x v="2"/>
    <x v="2"/>
    <x v="21"/>
    <x v="4"/>
    <n v="5"/>
    <n v="699"/>
    <n v="0"/>
    <n v="0"/>
    <n v="3495"/>
    <n v="3495"/>
    <x v="3"/>
    <x v="0"/>
    <n v="60"/>
    <n v="1"/>
    <n v="0"/>
  </r>
  <r>
    <s v="ORD-5515"/>
    <d v="2025-02-01T00:00:00"/>
    <x v="9"/>
    <s v="CUST-352"/>
    <x v="6"/>
    <x v="6"/>
    <x v="2"/>
    <x v="9"/>
    <x v="1"/>
    <n v="2"/>
    <n v="1899"/>
    <n v="0"/>
    <n v="0"/>
    <n v="3798"/>
    <n v="3798"/>
    <x v="1"/>
    <x v="0"/>
    <n v="0"/>
    <n v="1"/>
    <n v="0"/>
  </r>
  <r>
    <s v="ORD-5516"/>
    <d v="2025-06-01T00:00:00"/>
    <x v="11"/>
    <s v="CUST-528"/>
    <x v="8"/>
    <x v="1"/>
    <x v="1"/>
    <x v="2"/>
    <x v="2"/>
    <n v="2"/>
    <n v="2799"/>
    <n v="0"/>
    <n v="0"/>
    <n v="5598"/>
    <n v="5598"/>
    <x v="3"/>
    <x v="2"/>
    <n v="0"/>
    <n v="1"/>
    <n v="0"/>
  </r>
  <r>
    <s v="ORD-5517"/>
    <d v="2025-08-01T00:00:00"/>
    <x v="0"/>
    <s v="CUST-208"/>
    <x v="2"/>
    <x v="2"/>
    <x v="2"/>
    <x v="8"/>
    <x v="1"/>
    <n v="2"/>
    <n v="2499"/>
    <n v="0.15"/>
    <n v="374.84999999999997"/>
    <n v="4998"/>
    <n v="4623.1499999999996"/>
    <x v="1"/>
    <x v="0"/>
    <n v="40"/>
    <n v="0.92499999999999993"/>
    <n v="0"/>
  </r>
  <r>
    <s v="ORD-5518"/>
    <d v="2025-04-07T00:00:00"/>
    <x v="6"/>
    <s v="CUST-648"/>
    <x v="3"/>
    <x v="3"/>
    <x v="3"/>
    <x v="5"/>
    <x v="0"/>
    <n v="4"/>
    <n v="2299"/>
    <n v="0.05"/>
    <n v="114.95"/>
    <n v="9196"/>
    <n v="9081.0499999999993"/>
    <x v="1"/>
    <x v="2"/>
    <n v="40"/>
    <n v="0.98749999999999993"/>
    <n v="0"/>
  </r>
  <r>
    <s v="ORD-5519"/>
    <d v="2025-10-04T00:00:00"/>
    <x v="2"/>
    <s v="CUST-312"/>
    <x v="0"/>
    <x v="0"/>
    <x v="0"/>
    <x v="1"/>
    <x v="1"/>
    <n v="1"/>
    <n v="3999"/>
    <n v="0.1"/>
    <n v="399.90000000000003"/>
    <n v="3999"/>
    <n v="3599.1"/>
    <x v="2"/>
    <x v="0"/>
    <n v="0"/>
    <n v="0.9"/>
    <n v="0"/>
  </r>
  <r>
    <s v="ORD-5520"/>
    <d v="2025-03-07T00:00:00"/>
    <x v="1"/>
    <s v="CUST-488"/>
    <x v="9"/>
    <x v="8"/>
    <x v="1"/>
    <x v="15"/>
    <x v="3"/>
    <n v="1"/>
    <n v="299"/>
    <n v="0"/>
    <n v="0"/>
    <n v="299"/>
    <n v="299"/>
    <x v="0"/>
    <x v="0"/>
    <n v="80"/>
    <n v="1"/>
    <n v="0"/>
  </r>
  <r>
    <s v="ORD-5521"/>
    <d v="2025-06-21T00:00:00"/>
    <x v="11"/>
    <s v="CUST-576"/>
    <x v="1"/>
    <x v="1"/>
    <x v="1"/>
    <x v="13"/>
    <x v="2"/>
    <n v="1"/>
    <n v="449"/>
    <n v="0.15"/>
    <n v="67.349999999999994"/>
    <n v="449"/>
    <n v="381.65"/>
    <x v="3"/>
    <x v="0"/>
    <n v="60"/>
    <n v="0.85"/>
    <n v="0"/>
  </r>
  <r>
    <s v="ORD-5522"/>
    <d v="2025-11-12T00:00:00"/>
    <x v="10"/>
    <s v="CUST-619"/>
    <x v="4"/>
    <x v="4"/>
    <x v="2"/>
    <x v="6"/>
    <x v="0"/>
    <n v="1"/>
    <n v="1599"/>
    <n v="0.25"/>
    <n v="399.75"/>
    <n v="1599"/>
    <n v="1199.25"/>
    <x v="3"/>
    <x v="0"/>
    <n v="80"/>
    <n v="0.75"/>
    <n v="0"/>
  </r>
  <r>
    <s v="ORD-5523"/>
    <d v="2025-05-29T00:00:00"/>
    <x v="8"/>
    <s v="CUST-790"/>
    <x v="4"/>
    <x v="4"/>
    <x v="2"/>
    <x v="12"/>
    <x v="1"/>
    <n v="1"/>
    <n v="799"/>
    <n v="0"/>
    <n v="0"/>
    <n v="799"/>
    <n v="799"/>
    <x v="3"/>
    <x v="0"/>
    <n v="60"/>
    <n v="1"/>
    <n v="0"/>
  </r>
  <r>
    <s v="ORD-5524"/>
    <d v="2025-12-18T00:00:00"/>
    <x v="4"/>
    <s v="CUST-520"/>
    <x v="6"/>
    <x v="6"/>
    <x v="2"/>
    <x v="22"/>
    <x v="2"/>
    <n v="1"/>
    <n v="3299"/>
    <n v="0"/>
    <n v="0"/>
    <n v="3299"/>
    <n v="3299"/>
    <x v="3"/>
    <x v="0"/>
    <n v="40"/>
    <n v="1"/>
    <n v="0"/>
  </r>
  <r>
    <s v="ORD-5525"/>
    <d v="2025-01-09T00:00:00"/>
    <x v="7"/>
    <s v="CUST-638"/>
    <x v="3"/>
    <x v="3"/>
    <x v="3"/>
    <x v="21"/>
    <x v="4"/>
    <n v="1"/>
    <n v="699"/>
    <n v="0"/>
    <n v="0"/>
    <n v="699"/>
    <n v="699"/>
    <x v="3"/>
    <x v="0"/>
    <n v="40"/>
    <n v="1"/>
    <n v="0"/>
  </r>
  <r>
    <s v="ORD-5526"/>
    <d v="2025-04-18T00:00:00"/>
    <x v="6"/>
    <s v="CUST-543"/>
    <x v="1"/>
    <x v="1"/>
    <x v="1"/>
    <x v="9"/>
    <x v="1"/>
    <n v="1"/>
    <n v="1899"/>
    <n v="0.2"/>
    <n v="379.8"/>
    <n v="1899"/>
    <n v="1519.2"/>
    <x v="3"/>
    <x v="2"/>
    <n v="40"/>
    <n v="0.8"/>
    <n v="0"/>
  </r>
  <r>
    <s v="ORD-5527"/>
    <d v="2025-03-06T00:00:00"/>
    <x v="1"/>
    <s v="CUST-794"/>
    <x v="2"/>
    <x v="2"/>
    <x v="2"/>
    <x v="11"/>
    <x v="2"/>
    <n v="2"/>
    <n v="5499"/>
    <n v="0.15"/>
    <n v="824.85"/>
    <n v="10998"/>
    <n v="10173.15"/>
    <x v="3"/>
    <x v="0"/>
    <n v="0"/>
    <n v="0.92499999999999993"/>
    <n v="0"/>
  </r>
  <r>
    <s v="ORD-5528"/>
    <d v="2025-09-07T00:00:00"/>
    <x v="3"/>
    <s v="CUST-736"/>
    <x v="3"/>
    <x v="3"/>
    <x v="3"/>
    <x v="10"/>
    <x v="0"/>
    <n v="3"/>
    <n v="599"/>
    <n v="0.1"/>
    <n v="59.900000000000006"/>
    <n v="1797"/>
    <n v="1737.1"/>
    <x v="1"/>
    <x v="0"/>
    <n v="0"/>
    <n v="0.96666666666666656"/>
    <n v="0"/>
  </r>
  <r>
    <s v="ORD-5529"/>
    <d v="2025-12-03T00:00:00"/>
    <x v="4"/>
    <s v="CUST-897"/>
    <x v="3"/>
    <x v="3"/>
    <x v="3"/>
    <x v="8"/>
    <x v="1"/>
    <n v="2"/>
    <n v="2499"/>
    <n v="0.1"/>
    <n v="249.9"/>
    <n v="4998"/>
    <n v="4748.1000000000004"/>
    <x v="2"/>
    <x v="1"/>
    <n v="80"/>
    <n v="0.95000000000000007"/>
    <n v="0"/>
  </r>
  <r>
    <s v="ORD-5530"/>
    <d v="2025-12-29T00:00:00"/>
    <x v="4"/>
    <s v="CUST-379"/>
    <x v="7"/>
    <x v="7"/>
    <x v="1"/>
    <x v="0"/>
    <x v="0"/>
    <n v="1"/>
    <n v="1799"/>
    <n v="0"/>
    <n v="0"/>
    <n v="1799"/>
    <n v="1799"/>
    <x v="2"/>
    <x v="0"/>
    <n v="0"/>
    <n v="1"/>
    <n v="0"/>
  </r>
  <r>
    <s v="ORD-5531"/>
    <d v="2025-08-08T00:00:00"/>
    <x v="0"/>
    <s v="CUST-500"/>
    <x v="9"/>
    <x v="8"/>
    <x v="1"/>
    <x v="11"/>
    <x v="2"/>
    <n v="1"/>
    <n v="5499"/>
    <n v="0.25"/>
    <n v="1374.75"/>
    <n v="5499"/>
    <n v="4124.25"/>
    <x v="3"/>
    <x v="0"/>
    <n v="40"/>
    <n v="0.75"/>
    <n v="0"/>
  </r>
  <r>
    <s v="ORD-5532"/>
    <d v="2025-06-22T00:00:00"/>
    <x v="11"/>
    <s v="CUST-743"/>
    <x v="1"/>
    <x v="1"/>
    <x v="1"/>
    <x v="0"/>
    <x v="0"/>
    <n v="1"/>
    <n v="1799"/>
    <n v="0.2"/>
    <n v="359.8"/>
    <n v="1799"/>
    <n v="1439.2"/>
    <x v="2"/>
    <x v="0"/>
    <n v="40"/>
    <n v="0.8"/>
    <n v="0"/>
  </r>
  <r>
    <s v="ORD-5533"/>
    <d v="2025-04-11T00:00:00"/>
    <x v="6"/>
    <s v="CUST-564"/>
    <x v="6"/>
    <x v="6"/>
    <x v="2"/>
    <x v="0"/>
    <x v="0"/>
    <n v="1"/>
    <n v="1799"/>
    <n v="0.05"/>
    <n v="89.95"/>
    <n v="1799"/>
    <n v="1709.05"/>
    <x v="3"/>
    <x v="0"/>
    <n v="80"/>
    <n v="0.95"/>
    <n v="0"/>
  </r>
  <r>
    <s v="ORD-5534"/>
    <d v="2025-07-07T00:00:00"/>
    <x v="5"/>
    <s v="CUST-783"/>
    <x v="1"/>
    <x v="1"/>
    <x v="1"/>
    <x v="19"/>
    <x v="2"/>
    <n v="4"/>
    <n v="1499"/>
    <n v="0.1"/>
    <n v="149.9"/>
    <n v="5996"/>
    <n v="5846.1"/>
    <x v="3"/>
    <x v="2"/>
    <n v="40"/>
    <n v="0.97500000000000009"/>
    <n v="0"/>
  </r>
  <r>
    <s v="ORD-5535"/>
    <d v="2025-05-15T00:00:00"/>
    <x v="8"/>
    <s v="CUST-295"/>
    <x v="1"/>
    <x v="1"/>
    <x v="1"/>
    <x v="1"/>
    <x v="1"/>
    <n v="2"/>
    <n v="3999"/>
    <n v="0.15"/>
    <n v="599.85"/>
    <n v="7998"/>
    <n v="7398.15"/>
    <x v="3"/>
    <x v="0"/>
    <n v="80"/>
    <n v="0.92499999999999993"/>
    <n v="0"/>
  </r>
  <r>
    <s v="ORD-5536"/>
    <d v="2025-11-07T00:00:00"/>
    <x v="10"/>
    <s v="CUST-710"/>
    <x v="8"/>
    <x v="1"/>
    <x v="1"/>
    <x v="5"/>
    <x v="0"/>
    <n v="1"/>
    <n v="2299"/>
    <n v="0.05"/>
    <n v="114.95"/>
    <n v="2299"/>
    <n v="2184.0500000000002"/>
    <x v="0"/>
    <x v="0"/>
    <n v="40"/>
    <n v="0.95000000000000007"/>
    <n v="0"/>
  </r>
  <r>
    <s v="ORD-5537"/>
    <d v="2025-07-24T00:00:00"/>
    <x v="5"/>
    <s v="CUST-307"/>
    <x v="7"/>
    <x v="7"/>
    <x v="1"/>
    <x v="16"/>
    <x v="4"/>
    <n v="2"/>
    <n v="1599"/>
    <n v="0"/>
    <n v="0"/>
    <n v="3198"/>
    <n v="3198"/>
    <x v="3"/>
    <x v="2"/>
    <n v="0"/>
    <n v="1"/>
    <n v="0"/>
  </r>
  <r>
    <s v="ORD-5538"/>
    <d v="2025-01-24T00:00:00"/>
    <x v="7"/>
    <s v="CUST-849"/>
    <x v="1"/>
    <x v="1"/>
    <x v="1"/>
    <x v="12"/>
    <x v="1"/>
    <n v="1"/>
    <n v="799"/>
    <n v="0.1"/>
    <n v="79.900000000000006"/>
    <n v="799"/>
    <n v="719.1"/>
    <x v="2"/>
    <x v="0"/>
    <n v="80"/>
    <n v="0.9"/>
    <n v="0"/>
  </r>
  <r>
    <s v="ORD-5539"/>
    <d v="2025-06-21T00:00:00"/>
    <x v="11"/>
    <s v="CUST-468"/>
    <x v="9"/>
    <x v="8"/>
    <x v="1"/>
    <x v="17"/>
    <x v="1"/>
    <n v="1"/>
    <n v="2199"/>
    <n v="0.25"/>
    <n v="549.75"/>
    <n v="2199"/>
    <n v="1649.25"/>
    <x v="3"/>
    <x v="0"/>
    <n v="40"/>
    <n v="0.75"/>
    <n v="0"/>
  </r>
  <r>
    <s v="ORD-5540"/>
    <d v="2025-06-19T00:00:00"/>
    <x v="11"/>
    <s v="CUST-298"/>
    <x v="3"/>
    <x v="3"/>
    <x v="3"/>
    <x v="5"/>
    <x v="0"/>
    <n v="1"/>
    <n v="2299"/>
    <n v="0"/>
    <n v="0"/>
    <n v="2299"/>
    <n v="2299"/>
    <x v="3"/>
    <x v="0"/>
    <n v="60"/>
    <n v="1"/>
    <n v="0"/>
  </r>
  <r>
    <s v="ORD-5541"/>
    <d v="2025-07-01T00:00:00"/>
    <x v="5"/>
    <s v="CUST-590"/>
    <x v="2"/>
    <x v="2"/>
    <x v="2"/>
    <x v="22"/>
    <x v="2"/>
    <n v="1"/>
    <n v="3299"/>
    <n v="0"/>
    <n v="0"/>
    <n v="3299"/>
    <n v="3299"/>
    <x v="0"/>
    <x v="0"/>
    <n v="0"/>
    <n v="1"/>
    <n v="0"/>
  </r>
  <r>
    <s v="ORD-5542"/>
    <d v="2025-04-17T00:00:00"/>
    <x v="6"/>
    <s v="CUST-839"/>
    <x v="8"/>
    <x v="1"/>
    <x v="1"/>
    <x v="5"/>
    <x v="0"/>
    <n v="5"/>
    <n v="2299"/>
    <n v="0.1"/>
    <n v="229.9"/>
    <n v="11495"/>
    <n v="11265.1"/>
    <x v="0"/>
    <x v="1"/>
    <n v="60"/>
    <n v="0.98"/>
    <n v="0"/>
  </r>
  <r>
    <s v="ORD-5543"/>
    <d v="2025-11-20T00:00:00"/>
    <x v="10"/>
    <s v="CUST-292"/>
    <x v="7"/>
    <x v="7"/>
    <x v="1"/>
    <x v="5"/>
    <x v="0"/>
    <n v="2"/>
    <n v="2299"/>
    <n v="0.15"/>
    <n v="344.84999999999997"/>
    <n v="4598"/>
    <n v="4253.1499999999996"/>
    <x v="3"/>
    <x v="0"/>
    <n v="60"/>
    <n v="0.92499999999999993"/>
    <n v="0"/>
  </r>
  <r>
    <s v="ORD-5544"/>
    <d v="2025-02-10T00:00:00"/>
    <x v="9"/>
    <s v="CUST-361"/>
    <x v="7"/>
    <x v="7"/>
    <x v="1"/>
    <x v="11"/>
    <x v="2"/>
    <n v="1"/>
    <n v="5499"/>
    <n v="0.1"/>
    <n v="549.9"/>
    <n v="5499"/>
    <n v="4949.1000000000004"/>
    <x v="0"/>
    <x v="0"/>
    <n v="40"/>
    <n v="0.9"/>
    <n v="0"/>
  </r>
  <r>
    <s v="ORD-5545"/>
    <d v="2025-05-31T00:00:00"/>
    <x v="8"/>
    <s v="CUST-871"/>
    <x v="1"/>
    <x v="1"/>
    <x v="1"/>
    <x v="4"/>
    <x v="3"/>
    <n v="2"/>
    <n v="349"/>
    <n v="0.1"/>
    <n v="34.9"/>
    <n v="698"/>
    <n v="663.1"/>
    <x v="2"/>
    <x v="0"/>
    <n v="0"/>
    <n v="0.95000000000000007"/>
    <n v="0"/>
  </r>
  <r>
    <s v="ORD-5546"/>
    <d v="2025-05-23T00:00:00"/>
    <x v="8"/>
    <s v="CUST-599"/>
    <x v="3"/>
    <x v="3"/>
    <x v="3"/>
    <x v="15"/>
    <x v="3"/>
    <n v="1"/>
    <n v="299"/>
    <n v="0"/>
    <n v="0"/>
    <n v="299"/>
    <n v="299"/>
    <x v="2"/>
    <x v="0"/>
    <n v="40"/>
    <n v="1"/>
    <n v="0"/>
  </r>
  <r>
    <s v="ORD-5547"/>
    <d v="2025-02-14T00:00:00"/>
    <x v="9"/>
    <s v="CUST-812"/>
    <x v="2"/>
    <x v="2"/>
    <x v="2"/>
    <x v="16"/>
    <x v="4"/>
    <n v="1"/>
    <n v="1599"/>
    <n v="0.25"/>
    <n v="399.75"/>
    <n v="1599"/>
    <n v="1199.25"/>
    <x v="2"/>
    <x v="0"/>
    <n v="40"/>
    <n v="0.75"/>
    <n v="0"/>
  </r>
  <r>
    <s v="ORD-5548"/>
    <d v="2025-01-09T00:00:00"/>
    <x v="7"/>
    <s v="CUST-243"/>
    <x v="4"/>
    <x v="4"/>
    <x v="2"/>
    <x v="11"/>
    <x v="2"/>
    <n v="3"/>
    <n v="5499"/>
    <n v="0"/>
    <n v="0"/>
    <n v="16497"/>
    <n v="16497"/>
    <x v="0"/>
    <x v="0"/>
    <n v="40"/>
    <n v="1"/>
    <n v="0"/>
  </r>
  <r>
    <s v="ORD-5549"/>
    <d v="2025-03-04T00:00:00"/>
    <x v="1"/>
    <s v="CUST-339"/>
    <x v="6"/>
    <x v="6"/>
    <x v="2"/>
    <x v="10"/>
    <x v="0"/>
    <n v="4"/>
    <n v="599"/>
    <n v="0"/>
    <n v="0"/>
    <n v="2396"/>
    <n v="2396"/>
    <x v="3"/>
    <x v="0"/>
    <n v="40"/>
    <n v="1"/>
    <n v="0"/>
  </r>
  <r>
    <s v="ORD-5550"/>
    <d v="2025-08-20T00:00:00"/>
    <x v="0"/>
    <s v="CUST-525"/>
    <x v="1"/>
    <x v="1"/>
    <x v="1"/>
    <x v="8"/>
    <x v="1"/>
    <n v="4"/>
    <n v="2499"/>
    <n v="0.2"/>
    <n v="499.8"/>
    <n v="9996"/>
    <n v="9496.2000000000007"/>
    <x v="0"/>
    <x v="0"/>
    <n v="60"/>
    <n v="0.95000000000000007"/>
    <n v="0"/>
  </r>
  <r>
    <s v="ORD-5551"/>
    <d v="2025-08-05T00:00:00"/>
    <x v="0"/>
    <s v="CUST-658"/>
    <x v="2"/>
    <x v="2"/>
    <x v="2"/>
    <x v="21"/>
    <x v="4"/>
    <n v="2"/>
    <n v="699"/>
    <n v="0.25"/>
    <n v="174.75"/>
    <n v="1398"/>
    <n v="1223.25"/>
    <x v="2"/>
    <x v="1"/>
    <n v="60"/>
    <n v="0.875"/>
    <n v="0"/>
  </r>
  <r>
    <s v="ORD-5552"/>
    <d v="2025-04-25T00:00:00"/>
    <x v="6"/>
    <s v="CUST-294"/>
    <x v="0"/>
    <x v="0"/>
    <x v="0"/>
    <x v="6"/>
    <x v="0"/>
    <n v="1"/>
    <n v="1599"/>
    <n v="0"/>
    <n v="0"/>
    <n v="1599"/>
    <n v="1599"/>
    <x v="3"/>
    <x v="1"/>
    <n v="60"/>
    <n v="1"/>
    <n v="0"/>
  </r>
  <r>
    <s v="ORD-5553"/>
    <d v="2025-04-22T00:00:00"/>
    <x v="6"/>
    <s v="CUST-316"/>
    <x v="0"/>
    <x v="0"/>
    <x v="0"/>
    <x v="22"/>
    <x v="2"/>
    <n v="2"/>
    <n v="3299"/>
    <n v="0.05"/>
    <n v="164.95000000000002"/>
    <n v="6598"/>
    <n v="6433.05"/>
    <x v="2"/>
    <x v="0"/>
    <n v="80"/>
    <n v="0.97499999999999998"/>
    <n v="0"/>
  </r>
  <r>
    <s v="ORD-5554"/>
    <d v="2025-09-29T00:00:00"/>
    <x v="3"/>
    <s v="CUST-732"/>
    <x v="8"/>
    <x v="1"/>
    <x v="1"/>
    <x v="20"/>
    <x v="3"/>
    <n v="2"/>
    <n v="499"/>
    <n v="0.25"/>
    <n v="124.75"/>
    <n v="998"/>
    <n v="873.25"/>
    <x v="3"/>
    <x v="0"/>
    <n v="60"/>
    <n v="0.875"/>
    <n v="0"/>
  </r>
  <r>
    <s v="ORD-5555"/>
    <d v="2025-12-29T00:00:00"/>
    <x v="4"/>
    <s v="CUST-560"/>
    <x v="1"/>
    <x v="1"/>
    <x v="1"/>
    <x v="12"/>
    <x v="1"/>
    <n v="1"/>
    <n v="799"/>
    <n v="0.1"/>
    <n v="79.900000000000006"/>
    <n v="799"/>
    <n v="719.1"/>
    <x v="3"/>
    <x v="0"/>
    <n v="60"/>
    <n v="0.9"/>
    <n v="0"/>
  </r>
  <r>
    <s v="ORD-5556"/>
    <d v="2025-09-02T00:00:00"/>
    <x v="3"/>
    <s v="CUST-220"/>
    <x v="1"/>
    <x v="1"/>
    <x v="1"/>
    <x v="22"/>
    <x v="2"/>
    <n v="1"/>
    <n v="3299"/>
    <n v="0.1"/>
    <n v="329.90000000000003"/>
    <n v="3299"/>
    <n v="2969.1"/>
    <x v="2"/>
    <x v="0"/>
    <n v="80"/>
    <n v="0.9"/>
    <n v="0"/>
  </r>
  <r>
    <s v="ORD-5557"/>
    <d v="2025-10-28T00:00:00"/>
    <x v="2"/>
    <s v="CUST-235"/>
    <x v="0"/>
    <x v="0"/>
    <x v="0"/>
    <x v="14"/>
    <x v="4"/>
    <n v="1"/>
    <n v="399"/>
    <n v="0"/>
    <n v="0"/>
    <n v="399"/>
    <n v="399"/>
    <x v="3"/>
    <x v="0"/>
    <n v="60"/>
    <n v="1"/>
    <n v="0"/>
  </r>
  <r>
    <s v="ORD-5558"/>
    <d v="2025-06-14T00:00:00"/>
    <x v="11"/>
    <s v="CUST-266"/>
    <x v="6"/>
    <x v="6"/>
    <x v="2"/>
    <x v="11"/>
    <x v="2"/>
    <n v="2"/>
    <n v="5499"/>
    <n v="0.2"/>
    <n v="1099.8"/>
    <n v="10998"/>
    <n v="9898.2000000000007"/>
    <x v="0"/>
    <x v="0"/>
    <n v="60"/>
    <n v="0.9"/>
    <n v="0"/>
  </r>
  <r>
    <s v="ORD-5559"/>
    <d v="2025-02-04T00:00:00"/>
    <x v="9"/>
    <s v="CUST-553"/>
    <x v="1"/>
    <x v="1"/>
    <x v="1"/>
    <x v="8"/>
    <x v="1"/>
    <n v="1"/>
    <n v="2499"/>
    <n v="0.1"/>
    <n v="249.9"/>
    <n v="2499"/>
    <n v="2249.1"/>
    <x v="3"/>
    <x v="2"/>
    <n v="80"/>
    <n v="0.89999999999999991"/>
    <n v="0"/>
  </r>
  <r>
    <s v="ORD-5560"/>
    <d v="2025-04-24T00:00:00"/>
    <x v="6"/>
    <s v="CUST-617"/>
    <x v="8"/>
    <x v="1"/>
    <x v="1"/>
    <x v="11"/>
    <x v="2"/>
    <n v="2"/>
    <n v="5499"/>
    <n v="0.1"/>
    <n v="549.9"/>
    <n v="10998"/>
    <n v="10448.1"/>
    <x v="0"/>
    <x v="0"/>
    <n v="0"/>
    <n v="0.95000000000000007"/>
    <n v="0"/>
  </r>
  <r>
    <s v="ORD-5561"/>
    <d v="2025-08-05T00:00:00"/>
    <x v="0"/>
    <s v="CUST-524"/>
    <x v="4"/>
    <x v="4"/>
    <x v="2"/>
    <x v="9"/>
    <x v="1"/>
    <n v="1"/>
    <n v="1899"/>
    <n v="0.25"/>
    <n v="474.75"/>
    <n v="1899"/>
    <n v="1424.25"/>
    <x v="0"/>
    <x v="0"/>
    <n v="0"/>
    <n v="0.75"/>
    <n v="0"/>
  </r>
  <r>
    <s v="ORD-5562"/>
    <d v="2025-08-13T00:00:00"/>
    <x v="0"/>
    <s v="CUST-596"/>
    <x v="2"/>
    <x v="2"/>
    <x v="2"/>
    <x v="22"/>
    <x v="2"/>
    <n v="1"/>
    <n v="3299"/>
    <n v="0.05"/>
    <n v="164.95000000000002"/>
    <n v="3299"/>
    <n v="3134.05"/>
    <x v="0"/>
    <x v="0"/>
    <n v="80"/>
    <n v="0.95000000000000007"/>
    <n v="0"/>
  </r>
  <r>
    <s v="ORD-5563"/>
    <d v="2025-03-23T00:00:00"/>
    <x v="1"/>
    <s v="CUST-713"/>
    <x v="9"/>
    <x v="8"/>
    <x v="1"/>
    <x v="19"/>
    <x v="2"/>
    <n v="1"/>
    <n v="1499"/>
    <n v="0.2"/>
    <n v="299.8"/>
    <n v="1499"/>
    <n v="1199.2"/>
    <x v="2"/>
    <x v="0"/>
    <n v="40"/>
    <n v="0.8"/>
    <n v="0"/>
  </r>
  <r>
    <s v="ORD-5564"/>
    <d v="2025-08-08T00:00:00"/>
    <x v="0"/>
    <s v="CUST-776"/>
    <x v="5"/>
    <x v="5"/>
    <x v="3"/>
    <x v="18"/>
    <x v="4"/>
    <n v="2"/>
    <n v="1299"/>
    <n v="0.1"/>
    <n v="129.9"/>
    <n v="2598"/>
    <n v="2468.1"/>
    <x v="0"/>
    <x v="1"/>
    <n v="80"/>
    <n v="0.95"/>
    <n v="0"/>
  </r>
  <r>
    <s v="ORD-5565"/>
    <d v="2025-03-26T00:00:00"/>
    <x v="1"/>
    <s v="CUST-285"/>
    <x v="4"/>
    <x v="4"/>
    <x v="2"/>
    <x v="8"/>
    <x v="1"/>
    <n v="1"/>
    <n v="2499"/>
    <n v="0.1"/>
    <n v="249.9"/>
    <n v="2499"/>
    <n v="2249.1"/>
    <x v="3"/>
    <x v="0"/>
    <n v="80"/>
    <n v="0.89999999999999991"/>
    <n v="0"/>
  </r>
  <r>
    <s v="ORD-5566"/>
    <d v="2025-09-30T00:00:00"/>
    <x v="3"/>
    <s v="CUST-896"/>
    <x v="2"/>
    <x v="2"/>
    <x v="2"/>
    <x v="5"/>
    <x v="0"/>
    <n v="1"/>
    <n v="2299"/>
    <n v="0"/>
    <n v="0"/>
    <n v="2299"/>
    <n v="2299"/>
    <x v="2"/>
    <x v="0"/>
    <n v="80"/>
    <n v="1"/>
    <n v="0"/>
  </r>
  <r>
    <s v="ORD-5567"/>
    <d v="2025-12-14T00:00:00"/>
    <x v="4"/>
    <s v="CUST-707"/>
    <x v="6"/>
    <x v="6"/>
    <x v="2"/>
    <x v="20"/>
    <x v="3"/>
    <n v="2"/>
    <n v="499"/>
    <n v="0.1"/>
    <n v="49.900000000000006"/>
    <n v="998"/>
    <n v="948.1"/>
    <x v="2"/>
    <x v="2"/>
    <n v="40"/>
    <n v="0.95000000000000007"/>
    <n v="0"/>
  </r>
  <r>
    <s v="ORD-5568"/>
    <d v="2025-11-26T00:00:00"/>
    <x v="10"/>
    <s v="CUST-668"/>
    <x v="3"/>
    <x v="3"/>
    <x v="3"/>
    <x v="0"/>
    <x v="0"/>
    <n v="1"/>
    <n v="1799"/>
    <n v="0.15"/>
    <n v="269.84999999999997"/>
    <n v="1799"/>
    <n v="1529.15"/>
    <x v="3"/>
    <x v="1"/>
    <n v="0"/>
    <n v="0.85000000000000009"/>
    <n v="0"/>
  </r>
  <r>
    <s v="ORD-5569"/>
    <d v="2025-10-07T00:00:00"/>
    <x v="2"/>
    <s v="CUST-762"/>
    <x v="6"/>
    <x v="6"/>
    <x v="2"/>
    <x v="9"/>
    <x v="1"/>
    <n v="1"/>
    <n v="1899"/>
    <n v="0"/>
    <n v="0"/>
    <n v="1899"/>
    <n v="1899"/>
    <x v="0"/>
    <x v="0"/>
    <n v="80"/>
    <n v="1"/>
    <n v="0"/>
  </r>
  <r>
    <s v="ORD-5570"/>
    <d v="2025-01-10T00:00:00"/>
    <x v="7"/>
    <s v="CUST-855"/>
    <x v="3"/>
    <x v="3"/>
    <x v="3"/>
    <x v="15"/>
    <x v="3"/>
    <n v="2"/>
    <n v="299"/>
    <n v="0.15"/>
    <n v="44.85"/>
    <n v="598"/>
    <n v="553.15"/>
    <x v="1"/>
    <x v="0"/>
    <n v="40"/>
    <n v="0.92499999999999993"/>
    <n v="0"/>
  </r>
  <r>
    <s v="ORD-5571"/>
    <d v="2025-10-03T00:00:00"/>
    <x v="2"/>
    <s v="CUST-825"/>
    <x v="7"/>
    <x v="7"/>
    <x v="1"/>
    <x v="7"/>
    <x v="1"/>
    <n v="3"/>
    <n v="1299"/>
    <n v="0"/>
    <n v="0"/>
    <n v="3897"/>
    <n v="3897"/>
    <x v="0"/>
    <x v="0"/>
    <n v="40"/>
    <n v="1"/>
    <n v="0"/>
  </r>
  <r>
    <s v="ORD-5572"/>
    <d v="2025-06-10T00:00:00"/>
    <x v="11"/>
    <s v="CUST-756"/>
    <x v="3"/>
    <x v="3"/>
    <x v="3"/>
    <x v="1"/>
    <x v="1"/>
    <n v="5"/>
    <n v="3999"/>
    <n v="0.1"/>
    <n v="399.90000000000003"/>
    <n v="19995"/>
    <n v="19595.099999999999"/>
    <x v="0"/>
    <x v="0"/>
    <n v="60"/>
    <n v="0.98"/>
    <n v="0"/>
  </r>
  <r>
    <s v="ORD-5573"/>
    <d v="2025-12-13T00:00:00"/>
    <x v="4"/>
    <s v="CUST-631"/>
    <x v="4"/>
    <x v="4"/>
    <x v="2"/>
    <x v="18"/>
    <x v="4"/>
    <n v="1"/>
    <n v="1299"/>
    <n v="0.25"/>
    <n v="324.75"/>
    <n v="1299"/>
    <n v="974.25"/>
    <x v="1"/>
    <x v="0"/>
    <n v="80"/>
    <n v="0.75"/>
    <n v="0"/>
  </r>
  <r>
    <s v="ORD-5574"/>
    <d v="2025-09-03T00:00:00"/>
    <x v="3"/>
    <s v="CUST-883"/>
    <x v="1"/>
    <x v="1"/>
    <x v="1"/>
    <x v="15"/>
    <x v="3"/>
    <n v="1"/>
    <n v="299"/>
    <n v="0.25"/>
    <n v="74.75"/>
    <n v="299"/>
    <n v="224.25"/>
    <x v="0"/>
    <x v="0"/>
    <n v="60"/>
    <n v="0.75"/>
    <n v="0"/>
  </r>
  <r>
    <s v="ORD-5575"/>
    <d v="2025-03-27T00:00:00"/>
    <x v="1"/>
    <s v="CUST-664"/>
    <x v="6"/>
    <x v="6"/>
    <x v="2"/>
    <x v="10"/>
    <x v="0"/>
    <n v="2"/>
    <n v="599"/>
    <n v="0.1"/>
    <n v="59.900000000000006"/>
    <n v="1198"/>
    <n v="1138.0999999999999"/>
    <x v="2"/>
    <x v="2"/>
    <n v="0"/>
    <n v="0.95"/>
    <n v="0"/>
  </r>
  <r>
    <s v="ORD-5576"/>
    <d v="2025-07-20T00:00:00"/>
    <x v="5"/>
    <s v="CUST-411"/>
    <x v="1"/>
    <x v="1"/>
    <x v="1"/>
    <x v="22"/>
    <x v="2"/>
    <n v="1"/>
    <n v="3299"/>
    <n v="0.2"/>
    <n v="659.80000000000007"/>
    <n v="3299"/>
    <n v="2639.2"/>
    <x v="0"/>
    <x v="0"/>
    <n v="0"/>
    <n v="0.79999999999999993"/>
    <n v="0"/>
  </r>
  <r>
    <s v="ORD-5577"/>
    <d v="2025-11-28T00:00:00"/>
    <x v="10"/>
    <s v="CUST-649"/>
    <x v="4"/>
    <x v="4"/>
    <x v="2"/>
    <x v="21"/>
    <x v="4"/>
    <n v="2"/>
    <n v="699"/>
    <n v="0.1"/>
    <n v="69.900000000000006"/>
    <n v="1398"/>
    <n v="1328.1"/>
    <x v="3"/>
    <x v="0"/>
    <n v="60"/>
    <n v="0.95"/>
    <n v="0"/>
  </r>
  <r>
    <s v="ORD-5578"/>
    <d v="2025-04-01T00:00:00"/>
    <x v="6"/>
    <s v="CUST-788"/>
    <x v="0"/>
    <x v="0"/>
    <x v="0"/>
    <x v="0"/>
    <x v="0"/>
    <n v="2"/>
    <n v="1799"/>
    <n v="0.25"/>
    <n v="449.75"/>
    <n v="3598"/>
    <n v="3148.25"/>
    <x v="0"/>
    <x v="0"/>
    <n v="60"/>
    <n v="0.875"/>
    <n v="0"/>
  </r>
  <r>
    <s v="ORD-5579"/>
    <d v="2025-02-07T00:00:00"/>
    <x v="9"/>
    <s v="CUST-832"/>
    <x v="3"/>
    <x v="3"/>
    <x v="3"/>
    <x v="12"/>
    <x v="1"/>
    <n v="1"/>
    <n v="799"/>
    <n v="0.25"/>
    <n v="199.75"/>
    <n v="799"/>
    <n v="599.25"/>
    <x v="0"/>
    <x v="1"/>
    <n v="80"/>
    <n v="0.75"/>
    <n v="0"/>
  </r>
  <r>
    <s v="ORD-5580"/>
    <d v="2025-03-20T00:00:00"/>
    <x v="1"/>
    <s v="CUST-570"/>
    <x v="1"/>
    <x v="1"/>
    <x v="1"/>
    <x v="3"/>
    <x v="0"/>
    <n v="1"/>
    <n v="899"/>
    <n v="0.15"/>
    <n v="134.85"/>
    <n v="899"/>
    <n v="764.15"/>
    <x v="0"/>
    <x v="0"/>
    <n v="80"/>
    <n v="0.85"/>
    <n v="0"/>
  </r>
  <r>
    <s v="ORD-5581"/>
    <d v="2025-05-06T00:00:00"/>
    <x v="8"/>
    <s v="CUST-267"/>
    <x v="1"/>
    <x v="1"/>
    <x v="1"/>
    <x v="12"/>
    <x v="1"/>
    <n v="1"/>
    <n v="799"/>
    <n v="0.1"/>
    <n v="79.900000000000006"/>
    <n v="799"/>
    <n v="719.1"/>
    <x v="3"/>
    <x v="0"/>
    <n v="40"/>
    <n v="0.9"/>
    <n v="0"/>
  </r>
  <r>
    <s v="ORD-5582"/>
    <d v="2025-11-22T00:00:00"/>
    <x v="10"/>
    <s v="CUST-598"/>
    <x v="4"/>
    <x v="4"/>
    <x v="2"/>
    <x v="15"/>
    <x v="3"/>
    <n v="3"/>
    <n v="299"/>
    <n v="0"/>
    <n v="0"/>
    <n v="897"/>
    <n v="897"/>
    <x v="3"/>
    <x v="0"/>
    <n v="60"/>
    <n v="1"/>
    <n v="0"/>
  </r>
  <r>
    <s v="ORD-5583"/>
    <d v="2025-09-28T00:00:00"/>
    <x v="3"/>
    <s v="CUST-680"/>
    <x v="1"/>
    <x v="1"/>
    <x v="1"/>
    <x v="17"/>
    <x v="1"/>
    <n v="1"/>
    <n v="2199"/>
    <n v="0.2"/>
    <n v="439.8"/>
    <n v="2199"/>
    <n v="1759.2"/>
    <x v="3"/>
    <x v="1"/>
    <n v="0"/>
    <n v="0.8"/>
    <n v="0"/>
  </r>
  <r>
    <s v="ORD-5584"/>
    <d v="2025-03-15T00:00:00"/>
    <x v="1"/>
    <s v="CUST-320"/>
    <x v="4"/>
    <x v="4"/>
    <x v="2"/>
    <x v="0"/>
    <x v="0"/>
    <n v="1"/>
    <n v="1799"/>
    <n v="0"/>
    <n v="0"/>
    <n v="1799"/>
    <n v="1799"/>
    <x v="2"/>
    <x v="0"/>
    <n v="80"/>
    <n v="1"/>
    <n v="0"/>
  </r>
  <r>
    <s v="ORD-5585"/>
    <d v="2025-10-20T00:00:00"/>
    <x v="2"/>
    <s v="CUST-755"/>
    <x v="2"/>
    <x v="2"/>
    <x v="2"/>
    <x v="17"/>
    <x v="1"/>
    <n v="1"/>
    <n v="2199"/>
    <n v="0.05"/>
    <n v="109.95"/>
    <n v="2199"/>
    <n v="2089.0500000000002"/>
    <x v="0"/>
    <x v="0"/>
    <n v="0"/>
    <n v="0.95000000000000007"/>
    <n v="0"/>
  </r>
  <r>
    <s v="ORD-5586"/>
    <d v="2025-12-08T00:00:00"/>
    <x v="4"/>
    <s v="CUST-706"/>
    <x v="3"/>
    <x v="3"/>
    <x v="3"/>
    <x v="4"/>
    <x v="3"/>
    <n v="1"/>
    <n v="349"/>
    <n v="0.1"/>
    <n v="34.9"/>
    <n v="349"/>
    <n v="314.10000000000002"/>
    <x v="3"/>
    <x v="0"/>
    <n v="80"/>
    <n v="0.9"/>
    <n v="0"/>
  </r>
  <r>
    <s v="ORD-5587"/>
    <d v="2025-01-17T00:00:00"/>
    <x v="7"/>
    <s v="CUST-354"/>
    <x v="4"/>
    <x v="4"/>
    <x v="2"/>
    <x v="18"/>
    <x v="4"/>
    <n v="2"/>
    <n v="1299"/>
    <n v="0.25"/>
    <n v="324.75"/>
    <n v="2598"/>
    <n v="2273.25"/>
    <x v="2"/>
    <x v="0"/>
    <n v="0"/>
    <n v="0.875"/>
    <n v="0"/>
  </r>
  <r>
    <s v="ORD-5588"/>
    <d v="2025-01-07T00:00:00"/>
    <x v="7"/>
    <s v="CUST-475"/>
    <x v="6"/>
    <x v="6"/>
    <x v="2"/>
    <x v="6"/>
    <x v="0"/>
    <n v="1"/>
    <n v="1599"/>
    <n v="0.1"/>
    <n v="159.9"/>
    <n v="1599"/>
    <n v="1439.1"/>
    <x v="3"/>
    <x v="0"/>
    <n v="80"/>
    <n v="0.89999999999999991"/>
    <n v="0"/>
  </r>
  <r>
    <s v="ORD-5590"/>
    <d v="2025-10-01T00:00:00"/>
    <x v="2"/>
    <s v="CUST-207"/>
    <x v="7"/>
    <x v="7"/>
    <x v="1"/>
    <x v="12"/>
    <x v="1"/>
    <n v="1"/>
    <n v="799"/>
    <n v="0.1"/>
    <n v="79.900000000000006"/>
    <n v="799"/>
    <n v="719.1"/>
    <x v="0"/>
    <x v="0"/>
    <n v="80"/>
    <n v="0.9"/>
    <n v="0"/>
  </r>
  <r>
    <s v="ORD-5591"/>
    <d v="2025-03-10T00:00:00"/>
    <x v="1"/>
    <s v="CUST-561"/>
    <x v="1"/>
    <x v="1"/>
    <x v="1"/>
    <x v="0"/>
    <x v="0"/>
    <n v="1"/>
    <n v="1799"/>
    <n v="0.2"/>
    <n v="359.8"/>
    <n v="1799"/>
    <n v="1439.2"/>
    <x v="3"/>
    <x v="2"/>
    <n v="40"/>
    <n v="0.8"/>
    <n v="0"/>
  </r>
  <r>
    <s v="ORD-5592"/>
    <d v="2025-07-01T00:00:00"/>
    <x v="5"/>
    <s v="CUST-784"/>
    <x v="8"/>
    <x v="1"/>
    <x v="1"/>
    <x v="10"/>
    <x v="0"/>
    <n v="1"/>
    <n v="599"/>
    <n v="0.15"/>
    <n v="89.85"/>
    <n v="599"/>
    <n v="509.15"/>
    <x v="3"/>
    <x v="0"/>
    <n v="60"/>
    <n v="0.85"/>
    <n v="0"/>
  </r>
  <r>
    <s v="ORD-5593"/>
    <d v="2025-12-19T00:00:00"/>
    <x v="4"/>
    <s v="CUST-215"/>
    <x v="2"/>
    <x v="2"/>
    <x v="2"/>
    <x v="6"/>
    <x v="0"/>
    <n v="1"/>
    <n v="1599"/>
    <n v="0.1"/>
    <n v="159.9"/>
    <n v="1599"/>
    <n v="1439.1"/>
    <x v="3"/>
    <x v="0"/>
    <n v="60"/>
    <n v="0.89999999999999991"/>
    <n v="0"/>
  </r>
  <r>
    <s v="ORD-5594"/>
    <d v="2025-10-27T00:00:00"/>
    <x v="2"/>
    <s v="CUST-422"/>
    <x v="6"/>
    <x v="6"/>
    <x v="2"/>
    <x v="20"/>
    <x v="3"/>
    <n v="1"/>
    <n v="499"/>
    <n v="0"/>
    <n v="0"/>
    <n v="499"/>
    <n v="499"/>
    <x v="0"/>
    <x v="0"/>
    <n v="80"/>
    <n v="1"/>
    <n v="0"/>
  </r>
  <r>
    <s v="ORD-5595"/>
    <d v="2025-11-02T00:00:00"/>
    <x v="10"/>
    <s v="CUST-720"/>
    <x v="6"/>
    <x v="6"/>
    <x v="2"/>
    <x v="7"/>
    <x v="1"/>
    <n v="3"/>
    <n v="1299"/>
    <n v="0.25"/>
    <n v="324.75"/>
    <n v="3897"/>
    <n v="3572.25"/>
    <x v="3"/>
    <x v="0"/>
    <n v="0"/>
    <n v="0.91666666666666663"/>
    <n v="0"/>
  </r>
  <r>
    <s v="ORD-5596"/>
    <d v="2025-01-03T00:00:00"/>
    <x v="7"/>
    <s v="CUST-694"/>
    <x v="9"/>
    <x v="8"/>
    <x v="1"/>
    <x v="7"/>
    <x v="1"/>
    <n v="1"/>
    <n v="1299"/>
    <n v="0.2"/>
    <n v="259.8"/>
    <n v="1299"/>
    <n v="1039.2"/>
    <x v="3"/>
    <x v="0"/>
    <n v="80"/>
    <n v="0.8"/>
    <n v="0"/>
  </r>
  <r>
    <s v="ORD-5597"/>
    <d v="2025-08-11T00:00:00"/>
    <x v="0"/>
    <s v="CUST-572"/>
    <x v="4"/>
    <x v="4"/>
    <x v="2"/>
    <x v="16"/>
    <x v="4"/>
    <n v="2"/>
    <n v="1599"/>
    <n v="0"/>
    <n v="0"/>
    <n v="3198"/>
    <n v="3198"/>
    <x v="3"/>
    <x v="0"/>
    <n v="80"/>
    <n v="1"/>
    <n v="0"/>
  </r>
  <r>
    <s v="ORD-5598"/>
    <d v="2025-05-15T00:00:00"/>
    <x v="8"/>
    <s v="CUST-593"/>
    <x v="1"/>
    <x v="1"/>
    <x v="1"/>
    <x v="21"/>
    <x v="4"/>
    <n v="2"/>
    <n v="699"/>
    <n v="0.15"/>
    <n v="104.85"/>
    <n v="1398"/>
    <n v="1293.1500000000001"/>
    <x v="2"/>
    <x v="0"/>
    <n v="60"/>
    <n v="0.92500000000000004"/>
    <n v="0"/>
  </r>
  <r>
    <s v="ORD-5599"/>
    <d v="2025-05-28T00:00:00"/>
    <x v="8"/>
    <s v="CUST-242"/>
    <x v="3"/>
    <x v="3"/>
    <x v="3"/>
    <x v="16"/>
    <x v="4"/>
    <n v="1"/>
    <n v="1599"/>
    <n v="0"/>
    <n v="0"/>
    <n v="1599"/>
    <n v="1599"/>
    <x v="2"/>
    <x v="0"/>
    <n v="40"/>
    <n v="1"/>
    <n v="0"/>
  </r>
  <r>
    <s v="ORD-5600"/>
    <d v="2025-11-26T00:00:00"/>
    <x v="10"/>
    <s v="CUST-864"/>
    <x v="3"/>
    <x v="3"/>
    <x v="3"/>
    <x v="19"/>
    <x v="2"/>
    <n v="1"/>
    <n v="1499"/>
    <n v="0"/>
    <n v="0"/>
    <n v="1499"/>
    <n v="1499"/>
    <x v="3"/>
    <x v="0"/>
    <n v="0"/>
    <n v="1"/>
    <n v="0"/>
  </r>
  <r>
    <s v="ORD-5601"/>
    <d v="2025-09-03T00:00:00"/>
    <x v="3"/>
    <s v="CUST-749"/>
    <x v="6"/>
    <x v="6"/>
    <x v="2"/>
    <x v="10"/>
    <x v="0"/>
    <n v="1"/>
    <n v="599"/>
    <n v="0.2"/>
    <n v="119.80000000000001"/>
    <n v="599"/>
    <n v="479.2"/>
    <x v="0"/>
    <x v="0"/>
    <n v="80"/>
    <n v="0.79999999999999993"/>
    <n v="0"/>
  </r>
  <r>
    <s v="ORD-5602"/>
    <d v="2025-05-15T00:00:00"/>
    <x v="8"/>
    <s v="CUST-385"/>
    <x v="0"/>
    <x v="0"/>
    <x v="0"/>
    <x v="10"/>
    <x v="0"/>
    <n v="1"/>
    <n v="599"/>
    <n v="0"/>
    <n v="0"/>
    <n v="599"/>
    <n v="599"/>
    <x v="2"/>
    <x v="1"/>
    <n v="0"/>
    <n v="1"/>
    <n v="0"/>
  </r>
  <r>
    <s v="ORD-5603"/>
    <d v="2025-02-25T00:00:00"/>
    <x v="9"/>
    <s v="CUST-350"/>
    <x v="6"/>
    <x v="6"/>
    <x v="2"/>
    <x v="22"/>
    <x v="2"/>
    <n v="3"/>
    <n v="3299"/>
    <n v="0.2"/>
    <n v="659.80000000000007"/>
    <n v="9897"/>
    <n v="9237.2000000000007"/>
    <x v="2"/>
    <x v="0"/>
    <n v="80"/>
    <n v="0.93333333333333346"/>
    <n v="0"/>
  </r>
  <r>
    <s v="ORD-5604"/>
    <d v="2025-04-20T00:00:00"/>
    <x v="6"/>
    <s v="CUST-697"/>
    <x v="1"/>
    <x v="1"/>
    <x v="1"/>
    <x v="9"/>
    <x v="1"/>
    <n v="3"/>
    <n v="1899"/>
    <n v="0.1"/>
    <n v="189.9"/>
    <n v="5697"/>
    <n v="5507.1"/>
    <x v="3"/>
    <x v="0"/>
    <n v="0"/>
    <n v="0.96666666666666679"/>
    <n v="0"/>
  </r>
  <r>
    <s v="ORD-5605"/>
    <d v="2025-02-01T00:00:00"/>
    <x v="9"/>
    <s v="CUST-470"/>
    <x v="3"/>
    <x v="3"/>
    <x v="3"/>
    <x v="2"/>
    <x v="2"/>
    <n v="1"/>
    <n v="2799"/>
    <n v="0"/>
    <n v="0"/>
    <n v="2799"/>
    <n v="2799"/>
    <x v="3"/>
    <x v="0"/>
    <n v="40"/>
    <n v="1"/>
    <n v="0"/>
  </r>
  <r>
    <s v="ORD-5606"/>
    <d v="2025-05-06T00:00:00"/>
    <x v="8"/>
    <s v="CUST-544"/>
    <x v="4"/>
    <x v="4"/>
    <x v="2"/>
    <x v="10"/>
    <x v="0"/>
    <n v="2"/>
    <n v="599"/>
    <n v="0"/>
    <n v="0"/>
    <n v="1198"/>
    <n v="1198"/>
    <x v="3"/>
    <x v="0"/>
    <n v="60"/>
    <n v="1"/>
    <n v="0"/>
  </r>
  <r>
    <s v="ORD-5607"/>
    <d v="2025-07-06T00:00:00"/>
    <x v="5"/>
    <s v="CUST-382"/>
    <x v="4"/>
    <x v="4"/>
    <x v="2"/>
    <x v="3"/>
    <x v="0"/>
    <n v="3"/>
    <n v="899"/>
    <n v="0.15"/>
    <n v="134.85"/>
    <n v="2697"/>
    <n v="2562.15"/>
    <x v="3"/>
    <x v="0"/>
    <n v="0"/>
    <n v="0.95000000000000007"/>
    <n v="0"/>
  </r>
  <r>
    <s v="ORD-5608"/>
    <d v="2025-06-25T00:00:00"/>
    <x v="11"/>
    <s v="CUST-333"/>
    <x v="3"/>
    <x v="3"/>
    <x v="3"/>
    <x v="12"/>
    <x v="1"/>
    <n v="1"/>
    <n v="799"/>
    <n v="0"/>
    <n v="0"/>
    <n v="799"/>
    <n v="799"/>
    <x v="3"/>
    <x v="1"/>
    <n v="80"/>
    <n v="1"/>
    <n v="0"/>
  </r>
  <r>
    <s v="ORD-5609"/>
    <d v="2025-03-19T00:00:00"/>
    <x v="1"/>
    <s v="CUST-791"/>
    <x v="8"/>
    <x v="1"/>
    <x v="1"/>
    <x v="3"/>
    <x v="0"/>
    <n v="3"/>
    <n v="899"/>
    <n v="0.05"/>
    <n v="44.95"/>
    <n v="2697"/>
    <n v="2652.05"/>
    <x v="3"/>
    <x v="0"/>
    <n v="60"/>
    <n v="0.98333333333333339"/>
    <n v="0"/>
  </r>
  <r>
    <s v="ORD-5610"/>
    <d v="2025-08-09T00:00:00"/>
    <x v="0"/>
    <s v="CUST-239"/>
    <x v="2"/>
    <x v="2"/>
    <x v="2"/>
    <x v="2"/>
    <x v="2"/>
    <n v="1"/>
    <n v="2799"/>
    <n v="0.1"/>
    <n v="279.90000000000003"/>
    <n v="2799"/>
    <n v="2519.1"/>
    <x v="3"/>
    <x v="0"/>
    <n v="80"/>
    <n v="0.9"/>
    <n v="0"/>
  </r>
  <r>
    <s v="ORD-5611"/>
    <d v="2025-11-04T00:00:00"/>
    <x v="10"/>
    <s v="CUST-825"/>
    <x v="4"/>
    <x v="4"/>
    <x v="2"/>
    <x v="4"/>
    <x v="3"/>
    <n v="1"/>
    <n v="349"/>
    <n v="0"/>
    <n v="0"/>
    <n v="349"/>
    <n v="349"/>
    <x v="2"/>
    <x v="0"/>
    <n v="40"/>
    <n v="1"/>
    <n v="0"/>
  </r>
  <r>
    <s v="ORD-5612"/>
    <d v="2025-05-10T00:00:00"/>
    <x v="8"/>
    <s v="CUST-728"/>
    <x v="0"/>
    <x v="0"/>
    <x v="0"/>
    <x v="21"/>
    <x v="4"/>
    <n v="2"/>
    <n v="699"/>
    <n v="0.25"/>
    <n v="174.75"/>
    <n v="1398"/>
    <n v="1223.25"/>
    <x v="1"/>
    <x v="0"/>
    <n v="60"/>
    <n v="0.875"/>
    <n v="0"/>
  </r>
  <r>
    <s v="ORD-5613"/>
    <d v="2025-08-20T00:00:00"/>
    <x v="0"/>
    <s v="CUST-558"/>
    <x v="4"/>
    <x v="4"/>
    <x v="2"/>
    <x v="1"/>
    <x v="1"/>
    <n v="3"/>
    <n v="3999"/>
    <n v="0.1"/>
    <n v="399.90000000000003"/>
    <n v="11997"/>
    <n v="11597.1"/>
    <x v="3"/>
    <x v="0"/>
    <n v="80"/>
    <n v="0.96666666666666667"/>
    <n v="0"/>
  </r>
  <r>
    <s v="ORD-5614"/>
    <d v="2025-02-16T00:00:00"/>
    <x v="9"/>
    <s v="CUST-245"/>
    <x v="0"/>
    <x v="0"/>
    <x v="0"/>
    <x v="7"/>
    <x v="1"/>
    <n v="1"/>
    <n v="1299"/>
    <n v="0.1"/>
    <n v="129.9"/>
    <n v="1299"/>
    <n v="1169.0999999999999"/>
    <x v="3"/>
    <x v="0"/>
    <n v="80"/>
    <n v="0.89999999999999991"/>
    <n v="0"/>
  </r>
  <r>
    <s v="ORD-5615"/>
    <d v="2025-12-23T00:00:00"/>
    <x v="4"/>
    <s v="CUST-695"/>
    <x v="3"/>
    <x v="3"/>
    <x v="3"/>
    <x v="0"/>
    <x v="0"/>
    <n v="1"/>
    <n v="1799"/>
    <n v="0.1"/>
    <n v="179.9"/>
    <n v="1799"/>
    <n v="1619.1"/>
    <x v="3"/>
    <x v="0"/>
    <n v="80"/>
    <n v="0.89999999999999991"/>
    <n v="0"/>
  </r>
  <r>
    <s v="ORD-5616"/>
    <d v="2025-08-25T00:00:00"/>
    <x v="0"/>
    <s v="CUST-794"/>
    <x v="4"/>
    <x v="4"/>
    <x v="2"/>
    <x v="22"/>
    <x v="2"/>
    <n v="3"/>
    <n v="3299"/>
    <n v="0"/>
    <n v="0"/>
    <n v="9897"/>
    <n v="9897"/>
    <x v="3"/>
    <x v="1"/>
    <n v="60"/>
    <n v="1"/>
    <n v="0"/>
  </r>
  <r>
    <s v="ORD-5617"/>
    <d v="2025-01-15T00:00:00"/>
    <x v="7"/>
    <s v="CUST-364"/>
    <x v="1"/>
    <x v="1"/>
    <x v="1"/>
    <x v="13"/>
    <x v="2"/>
    <n v="2"/>
    <n v="449"/>
    <n v="0"/>
    <n v="0"/>
    <n v="898"/>
    <n v="898"/>
    <x v="3"/>
    <x v="0"/>
    <n v="0"/>
    <n v="1"/>
    <n v="0"/>
  </r>
  <r>
    <s v="ORD-5618"/>
    <d v="2025-11-23T00:00:00"/>
    <x v="10"/>
    <s v="CUST-857"/>
    <x v="6"/>
    <x v="6"/>
    <x v="2"/>
    <x v="14"/>
    <x v="4"/>
    <n v="1"/>
    <n v="399"/>
    <n v="0.1"/>
    <n v="39.900000000000006"/>
    <n v="399"/>
    <n v="359.1"/>
    <x v="0"/>
    <x v="0"/>
    <n v="60"/>
    <n v="0.9"/>
    <n v="0"/>
  </r>
  <r>
    <s v="ORD-5619"/>
    <d v="2025-08-18T00:00:00"/>
    <x v="0"/>
    <s v="CUST-573"/>
    <x v="7"/>
    <x v="7"/>
    <x v="1"/>
    <x v="1"/>
    <x v="1"/>
    <n v="1"/>
    <n v="3999"/>
    <n v="0.1"/>
    <n v="399.90000000000003"/>
    <n v="3999"/>
    <n v="3599.1"/>
    <x v="2"/>
    <x v="1"/>
    <n v="80"/>
    <n v="0.9"/>
    <n v="0"/>
  </r>
  <r>
    <s v="ORD-5620"/>
    <d v="2025-01-10T00:00:00"/>
    <x v="7"/>
    <s v="CUST-371"/>
    <x v="9"/>
    <x v="8"/>
    <x v="1"/>
    <x v="19"/>
    <x v="2"/>
    <n v="1"/>
    <n v="1499"/>
    <n v="0.1"/>
    <n v="149.9"/>
    <n v="1499"/>
    <n v="1349.1"/>
    <x v="2"/>
    <x v="0"/>
    <n v="0"/>
    <n v="0.89999999999999991"/>
    <n v="0"/>
  </r>
  <r>
    <s v="ORD-5621"/>
    <d v="2025-03-03T00:00:00"/>
    <x v="1"/>
    <s v="CUST-647"/>
    <x v="1"/>
    <x v="1"/>
    <x v="1"/>
    <x v="16"/>
    <x v="4"/>
    <n v="1"/>
    <n v="1599"/>
    <n v="0.1"/>
    <n v="159.9"/>
    <n v="1599"/>
    <n v="1439.1"/>
    <x v="2"/>
    <x v="0"/>
    <n v="60"/>
    <n v="0.89999999999999991"/>
    <n v="0"/>
  </r>
  <r>
    <s v="ORD-5622"/>
    <d v="2025-02-01T00:00:00"/>
    <x v="9"/>
    <s v="CUST-835"/>
    <x v="3"/>
    <x v="3"/>
    <x v="3"/>
    <x v="1"/>
    <x v="1"/>
    <n v="1"/>
    <n v="3999"/>
    <n v="0.05"/>
    <n v="199.95000000000002"/>
    <n v="3999"/>
    <n v="3799.05"/>
    <x v="3"/>
    <x v="0"/>
    <n v="0"/>
    <n v="0.95000000000000007"/>
    <n v="0"/>
  </r>
  <r>
    <s v="ORD-5623"/>
    <d v="2025-03-10T00:00:00"/>
    <x v="1"/>
    <s v="CUST-319"/>
    <x v="7"/>
    <x v="7"/>
    <x v="1"/>
    <x v="9"/>
    <x v="1"/>
    <n v="2"/>
    <n v="1899"/>
    <n v="0.15"/>
    <n v="284.84999999999997"/>
    <n v="3798"/>
    <n v="3513.15"/>
    <x v="2"/>
    <x v="0"/>
    <n v="80"/>
    <n v="0.92500000000000004"/>
    <n v="0"/>
  </r>
  <r>
    <s v="ORD-5624"/>
    <d v="2025-07-05T00:00:00"/>
    <x v="5"/>
    <s v="CUST-490"/>
    <x v="8"/>
    <x v="1"/>
    <x v="1"/>
    <x v="19"/>
    <x v="2"/>
    <n v="1"/>
    <n v="1499"/>
    <n v="0.1"/>
    <n v="149.9"/>
    <n v="1499"/>
    <n v="1349.1"/>
    <x v="0"/>
    <x v="0"/>
    <n v="60"/>
    <n v="0.89999999999999991"/>
    <n v="0"/>
  </r>
  <r>
    <s v="ORD-5625"/>
    <d v="2025-12-21T00:00:00"/>
    <x v="4"/>
    <s v="CUST-654"/>
    <x v="0"/>
    <x v="0"/>
    <x v="0"/>
    <x v="0"/>
    <x v="0"/>
    <n v="1"/>
    <n v="1799"/>
    <n v="0"/>
    <n v="0"/>
    <n v="1799"/>
    <n v="1799"/>
    <x v="0"/>
    <x v="0"/>
    <n v="60"/>
    <n v="1"/>
    <n v="0"/>
  </r>
  <r>
    <s v="ORD-5626"/>
    <d v="2025-12-28T00:00:00"/>
    <x v="4"/>
    <s v="CUST-318"/>
    <x v="9"/>
    <x v="8"/>
    <x v="1"/>
    <x v="18"/>
    <x v="4"/>
    <n v="1"/>
    <n v="1299"/>
    <n v="0.1"/>
    <n v="129.9"/>
    <n v="1299"/>
    <n v="1169.0999999999999"/>
    <x v="2"/>
    <x v="0"/>
    <n v="0"/>
    <n v="0.89999999999999991"/>
    <n v="0"/>
  </r>
  <r>
    <s v="ORD-5627"/>
    <d v="2025-06-02T00:00:00"/>
    <x v="11"/>
    <s v="CUST-474"/>
    <x v="4"/>
    <x v="4"/>
    <x v="2"/>
    <x v="1"/>
    <x v="1"/>
    <n v="1"/>
    <n v="3999"/>
    <n v="0.15"/>
    <n v="599.85"/>
    <n v="3999"/>
    <n v="3399.15"/>
    <x v="3"/>
    <x v="1"/>
    <n v="0"/>
    <n v="0.85"/>
    <n v="0"/>
  </r>
  <r>
    <s v="ORD-5628"/>
    <d v="2025-12-14T00:00:00"/>
    <x v="4"/>
    <s v="CUST-571"/>
    <x v="3"/>
    <x v="3"/>
    <x v="3"/>
    <x v="12"/>
    <x v="1"/>
    <n v="1"/>
    <n v="799"/>
    <n v="0.15"/>
    <n v="119.85"/>
    <n v="799"/>
    <n v="679.15"/>
    <x v="3"/>
    <x v="0"/>
    <n v="40"/>
    <n v="0.85"/>
    <n v="0"/>
  </r>
  <r>
    <s v="ORD-5629"/>
    <d v="2025-10-09T00:00:00"/>
    <x v="2"/>
    <s v="CUST-206"/>
    <x v="4"/>
    <x v="4"/>
    <x v="2"/>
    <x v="20"/>
    <x v="3"/>
    <n v="1"/>
    <n v="499"/>
    <n v="0.05"/>
    <n v="24.950000000000003"/>
    <n v="499"/>
    <n v="474.05"/>
    <x v="3"/>
    <x v="0"/>
    <n v="80"/>
    <n v="0.95000000000000007"/>
    <n v="0"/>
  </r>
  <r>
    <s v="ORD-5630"/>
    <d v="2025-12-12T00:00:00"/>
    <x v="4"/>
    <s v="CUST-248"/>
    <x v="4"/>
    <x v="4"/>
    <x v="2"/>
    <x v="21"/>
    <x v="4"/>
    <n v="1"/>
    <n v="699"/>
    <n v="0.05"/>
    <n v="34.950000000000003"/>
    <n v="699"/>
    <n v="664.05"/>
    <x v="3"/>
    <x v="0"/>
    <n v="80"/>
    <n v="0.95"/>
    <n v="0"/>
  </r>
  <r>
    <s v="ORD-5631"/>
    <d v="2025-10-09T00:00:00"/>
    <x v="2"/>
    <s v="CUST-287"/>
    <x v="1"/>
    <x v="1"/>
    <x v="1"/>
    <x v="8"/>
    <x v="1"/>
    <n v="1"/>
    <n v="2499"/>
    <n v="0.1"/>
    <n v="249.9"/>
    <n v="2499"/>
    <n v="2249.1"/>
    <x v="3"/>
    <x v="1"/>
    <n v="60"/>
    <n v="0.89999999999999991"/>
    <n v="0"/>
  </r>
  <r>
    <s v="ORD-5632"/>
    <d v="2025-04-07T00:00:00"/>
    <x v="6"/>
    <s v="CUST-358"/>
    <x v="3"/>
    <x v="3"/>
    <x v="3"/>
    <x v="8"/>
    <x v="1"/>
    <n v="1"/>
    <n v="2499"/>
    <n v="0.25"/>
    <n v="624.75"/>
    <n v="2499"/>
    <n v="1874.25"/>
    <x v="0"/>
    <x v="0"/>
    <n v="0"/>
    <n v="0.75"/>
    <n v="0"/>
  </r>
  <r>
    <s v="ORD-5633"/>
    <d v="2025-07-16T00:00:00"/>
    <x v="5"/>
    <s v="CUST-709"/>
    <x v="9"/>
    <x v="8"/>
    <x v="1"/>
    <x v="2"/>
    <x v="2"/>
    <n v="1"/>
    <n v="2799"/>
    <n v="0.1"/>
    <n v="279.90000000000003"/>
    <n v="2799"/>
    <n v="2519.1"/>
    <x v="3"/>
    <x v="0"/>
    <n v="80"/>
    <n v="0.9"/>
    <n v="0"/>
  </r>
  <r>
    <s v="ORD-5634"/>
    <d v="2025-10-08T00:00:00"/>
    <x v="2"/>
    <s v="CUST-291"/>
    <x v="4"/>
    <x v="4"/>
    <x v="2"/>
    <x v="20"/>
    <x v="3"/>
    <n v="1"/>
    <n v="499"/>
    <n v="0.1"/>
    <n v="49.900000000000006"/>
    <n v="499"/>
    <n v="449.1"/>
    <x v="3"/>
    <x v="0"/>
    <n v="60"/>
    <n v="0.9"/>
    <n v="0"/>
  </r>
  <r>
    <s v="ORD-5635"/>
    <d v="2025-11-20T00:00:00"/>
    <x v="10"/>
    <s v="CUST-787"/>
    <x v="0"/>
    <x v="0"/>
    <x v="0"/>
    <x v="1"/>
    <x v="1"/>
    <n v="1"/>
    <n v="3999"/>
    <n v="0.1"/>
    <n v="399.90000000000003"/>
    <n v="3999"/>
    <n v="3599.1"/>
    <x v="3"/>
    <x v="0"/>
    <n v="60"/>
    <n v="0.9"/>
    <n v="0"/>
  </r>
  <r>
    <s v="ORD-5636"/>
    <d v="2025-04-17T00:00:00"/>
    <x v="6"/>
    <s v="CUST-450"/>
    <x v="8"/>
    <x v="1"/>
    <x v="1"/>
    <x v="2"/>
    <x v="2"/>
    <n v="2"/>
    <n v="2799"/>
    <n v="0.1"/>
    <n v="279.90000000000003"/>
    <n v="5598"/>
    <n v="5318.1"/>
    <x v="0"/>
    <x v="0"/>
    <n v="80"/>
    <n v="0.95000000000000007"/>
    <n v="0"/>
  </r>
  <r>
    <s v="ORD-5637"/>
    <d v="2025-10-26T00:00:00"/>
    <x v="2"/>
    <s v="CUST-696"/>
    <x v="6"/>
    <x v="6"/>
    <x v="2"/>
    <x v="15"/>
    <x v="3"/>
    <n v="1"/>
    <n v="299"/>
    <n v="0.15"/>
    <n v="44.85"/>
    <n v="299"/>
    <n v="254.15"/>
    <x v="3"/>
    <x v="0"/>
    <n v="60"/>
    <n v="0.85"/>
    <n v="0"/>
  </r>
  <r>
    <s v="ORD-5638"/>
    <d v="2025-11-14T00:00:00"/>
    <x v="10"/>
    <s v="CUST-867"/>
    <x v="0"/>
    <x v="0"/>
    <x v="0"/>
    <x v="6"/>
    <x v="0"/>
    <n v="1"/>
    <n v="1599"/>
    <n v="0"/>
    <n v="0"/>
    <n v="1599"/>
    <n v="1599"/>
    <x v="0"/>
    <x v="2"/>
    <n v="60"/>
    <n v="1"/>
    <n v="0"/>
  </r>
  <r>
    <s v="ORD-5639"/>
    <d v="2025-10-19T00:00:00"/>
    <x v="2"/>
    <s v="CUST-461"/>
    <x v="2"/>
    <x v="2"/>
    <x v="2"/>
    <x v="0"/>
    <x v="0"/>
    <n v="2"/>
    <n v="1799"/>
    <n v="0.05"/>
    <n v="89.95"/>
    <n v="3598"/>
    <n v="3508.05"/>
    <x v="3"/>
    <x v="0"/>
    <n v="0"/>
    <n v="0.97500000000000009"/>
    <n v="0"/>
  </r>
  <r>
    <s v="ORD-5640"/>
    <d v="2025-07-29T00:00:00"/>
    <x v="5"/>
    <s v="CUST-846"/>
    <x v="5"/>
    <x v="5"/>
    <x v="3"/>
    <x v="6"/>
    <x v="0"/>
    <n v="1"/>
    <n v="1599"/>
    <n v="0.1"/>
    <n v="159.9"/>
    <n v="1599"/>
    <n v="1439.1"/>
    <x v="3"/>
    <x v="0"/>
    <n v="40"/>
    <n v="0.89999999999999991"/>
    <n v="0"/>
  </r>
  <r>
    <s v="ORD-5641"/>
    <d v="2025-10-04T00:00:00"/>
    <x v="2"/>
    <s v="CUST-643"/>
    <x v="2"/>
    <x v="2"/>
    <x v="2"/>
    <x v="9"/>
    <x v="1"/>
    <n v="1"/>
    <n v="1899"/>
    <n v="0"/>
    <n v="0"/>
    <n v="1899"/>
    <n v="1899"/>
    <x v="3"/>
    <x v="0"/>
    <n v="0"/>
    <n v="1"/>
    <n v="0"/>
  </r>
  <r>
    <s v="ORD-5642"/>
    <d v="2025-05-09T00:00:00"/>
    <x v="8"/>
    <s v="CUST-404"/>
    <x v="1"/>
    <x v="1"/>
    <x v="1"/>
    <x v="0"/>
    <x v="0"/>
    <n v="2"/>
    <n v="1799"/>
    <n v="0.1"/>
    <n v="179.9"/>
    <n v="3598"/>
    <n v="3418.1"/>
    <x v="2"/>
    <x v="0"/>
    <n v="0"/>
    <n v="0.95"/>
    <n v="0"/>
  </r>
  <r>
    <s v="ORD-5643"/>
    <d v="2025-04-18T00:00:00"/>
    <x v="6"/>
    <s v="CUST-615"/>
    <x v="5"/>
    <x v="5"/>
    <x v="3"/>
    <x v="19"/>
    <x v="2"/>
    <n v="3"/>
    <n v="1499"/>
    <n v="0.1"/>
    <n v="149.9"/>
    <n v="4497"/>
    <n v="4347.1000000000004"/>
    <x v="3"/>
    <x v="0"/>
    <n v="60"/>
    <n v="0.96666666666666679"/>
    <n v="0"/>
  </r>
  <r>
    <s v="ORD-5644"/>
    <d v="2025-10-18T00:00:00"/>
    <x v="2"/>
    <s v="CUST-843"/>
    <x v="8"/>
    <x v="1"/>
    <x v="1"/>
    <x v="11"/>
    <x v="2"/>
    <n v="2"/>
    <n v="5499"/>
    <n v="0.25"/>
    <n v="1374.75"/>
    <n v="10998"/>
    <n v="9623.25"/>
    <x v="3"/>
    <x v="0"/>
    <n v="80"/>
    <n v="0.875"/>
    <n v="0"/>
  </r>
  <r>
    <s v="ORD-5645"/>
    <d v="2025-07-04T00:00:00"/>
    <x v="5"/>
    <s v="CUST-207"/>
    <x v="2"/>
    <x v="2"/>
    <x v="2"/>
    <x v="22"/>
    <x v="2"/>
    <n v="1"/>
    <n v="3299"/>
    <n v="0.1"/>
    <n v="329.90000000000003"/>
    <n v="3299"/>
    <n v="2969.1"/>
    <x v="2"/>
    <x v="0"/>
    <n v="60"/>
    <n v="0.9"/>
    <n v="0"/>
  </r>
  <r>
    <s v="ORD-5646"/>
    <d v="2025-12-08T00:00:00"/>
    <x v="4"/>
    <s v="CUST-246"/>
    <x v="3"/>
    <x v="3"/>
    <x v="3"/>
    <x v="6"/>
    <x v="0"/>
    <n v="2"/>
    <n v="1599"/>
    <n v="0"/>
    <n v="0"/>
    <n v="3198"/>
    <n v="3198"/>
    <x v="2"/>
    <x v="0"/>
    <n v="0"/>
    <n v="1"/>
    <n v="0"/>
  </r>
  <r>
    <s v="ORD-5647"/>
    <d v="2025-03-27T00:00:00"/>
    <x v="1"/>
    <s v="CUST-465"/>
    <x v="2"/>
    <x v="2"/>
    <x v="2"/>
    <x v="19"/>
    <x v="2"/>
    <n v="1"/>
    <n v="1499"/>
    <n v="0.15"/>
    <n v="224.85"/>
    <n v="1499"/>
    <n v="1274.1500000000001"/>
    <x v="3"/>
    <x v="0"/>
    <n v="40"/>
    <n v="0.85000000000000009"/>
    <n v="0"/>
  </r>
  <r>
    <s v="ORD-5648"/>
    <d v="2025-01-16T00:00:00"/>
    <x v="7"/>
    <s v="CUST-278"/>
    <x v="2"/>
    <x v="2"/>
    <x v="2"/>
    <x v="8"/>
    <x v="1"/>
    <n v="1"/>
    <n v="2499"/>
    <n v="0.25"/>
    <n v="624.75"/>
    <n v="2499"/>
    <n v="1874.25"/>
    <x v="0"/>
    <x v="0"/>
    <n v="0"/>
    <n v="0.75"/>
    <n v="0"/>
  </r>
  <r>
    <s v="ORD-5649"/>
    <d v="2025-05-23T00:00:00"/>
    <x v="8"/>
    <s v="CUST-381"/>
    <x v="3"/>
    <x v="3"/>
    <x v="3"/>
    <x v="19"/>
    <x v="2"/>
    <n v="4"/>
    <n v="1499"/>
    <n v="0"/>
    <n v="0"/>
    <n v="5996"/>
    <n v="5996"/>
    <x v="3"/>
    <x v="0"/>
    <n v="40"/>
    <n v="1"/>
    <n v="0"/>
  </r>
  <r>
    <s v="ORD-5650"/>
    <d v="2025-01-28T00:00:00"/>
    <x v="7"/>
    <s v="CUST-225"/>
    <x v="2"/>
    <x v="2"/>
    <x v="2"/>
    <x v="1"/>
    <x v="1"/>
    <n v="1"/>
    <n v="3999"/>
    <n v="0.05"/>
    <n v="199.95000000000002"/>
    <n v="3999"/>
    <n v="3799.05"/>
    <x v="1"/>
    <x v="0"/>
    <n v="40"/>
    <n v="0.95000000000000007"/>
    <n v="0"/>
  </r>
  <r>
    <s v="ORD-5651"/>
    <d v="2025-02-17T00:00:00"/>
    <x v="9"/>
    <s v="CUST-626"/>
    <x v="3"/>
    <x v="3"/>
    <x v="3"/>
    <x v="8"/>
    <x v="1"/>
    <n v="4"/>
    <n v="2499"/>
    <n v="0.15"/>
    <n v="374.84999999999997"/>
    <n v="9996"/>
    <n v="9621.15"/>
    <x v="2"/>
    <x v="0"/>
    <n v="0"/>
    <n v="0.96249999999999991"/>
    <n v="0"/>
  </r>
  <r>
    <s v="ORD-5652"/>
    <d v="2025-06-15T00:00:00"/>
    <x v="11"/>
    <s v="CUST-537"/>
    <x v="1"/>
    <x v="1"/>
    <x v="1"/>
    <x v="3"/>
    <x v="0"/>
    <n v="1"/>
    <n v="899"/>
    <n v="0"/>
    <n v="0"/>
    <n v="899"/>
    <n v="899"/>
    <x v="3"/>
    <x v="0"/>
    <n v="80"/>
    <n v="1"/>
    <n v="0"/>
  </r>
  <r>
    <s v="ORD-5653"/>
    <d v="2025-08-31T00:00:00"/>
    <x v="0"/>
    <s v="CUST-436"/>
    <x v="0"/>
    <x v="0"/>
    <x v="0"/>
    <x v="17"/>
    <x v="1"/>
    <n v="1"/>
    <n v="2199"/>
    <n v="0.15"/>
    <n v="329.84999999999997"/>
    <n v="2199"/>
    <n v="1869.15"/>
    <x v="3"/>
    <x v="0"/>
    <n v="60"/>
    <n v="0.85000000000000009"/>
    <n v="0"/>
  </r>
  <r>
    <s v="ORD-5654"/>
    <d v="2025-10-01T00:00:00"/>
    <x v="2"/>
    <s v="CUST-687"/>
    <x v="5"/>
    <x v="5"/>
    <x v="3"/>
    <x v="12"/>
    <x v="1"/>
    <n v="1"/>
    <n v="799"/>
    <n v="0.05"/>
    <n v="39.950000000000003"/>
    <n v="799"/>
    <n v="759.05"/>
    <x v="3"/>
    <x v="0"/>
    <n v="40"/>
    <n v="0.95"/>
    <n v="0"/>
  </r>
  <r>
    <s v="ORD-5655"/>
    <d v="2025-12-22T00:00:00"/>
    <x v="4"/>
    <s v="CUST-220"/>
    <x v="3"/>
    <x v="3"/>
    <x v="3"/>
    <x v="13"/>
    <x v="2"/>
    <n v="5"/>
    <n v="449"/>
    <n v="0.1"/>
    <n v="44.900000000000006"/>
    <n v="2245"/>
    <n v="2200.1"/>
    <x v="3"/>
    <x v="0"/>
    <n v="0"/>
    <n v="0.98"/>
    <n v="0"/>
  </r>
  <r>
    <s v="ORD-5656"/>
    <d v="2025-12-09T00:00:00"/>
    <x v="4"/>
    <s v="CUST-521"/>
    <x v="2"/>
    <x v="2"/>
    <x v="2"/>
    <x v="4"/>
    <x v="3"/>
    <n v="1"/>
    <n v="349"/>
    <n v="0.1"/>
    <n v="34.9"/>
    <n v="349"/>
    <n v="314.10000000000002"/>
    <x v="0"/>
    <x v="0"/>
    <n v="0"/>
    <n v="0.9"/>
    <n v="0"/>
  </r>
  <r>
    <s v="ORD-5657"/>
    <d v="2025-03-18T00:00:00"/>
    <x v="1"/>
    <s v="CUST-864"/>
    <x v="1"/>
    <x v="1"/>
    <x v="1"/>
    <x v="20"/>
    <x v="3"/>
    <n v="3"/>
    <n v="499"/>
    <n v="0.15"/>
    <n v="74.849999999999994"/>
    <n v="1497"/>
    <n v="1422.15"/>
    <x v="2"/>
    <x v="0"/>
    <n v="0"/>
    <n v="0.95000000000000007"/>
    <n v="0"/>
  </r>
  <r>
    <s v="ORD-5658"/>
    <d v="2025-12-27T00:00:00"/>
    <x v="4"/>
    <s v="CUST-244"/>
    <x v="9"/>
    <x v="8"/>
    <x v="1"/>
    <x v="16"/>
    <x v="4"/>
    <n v="1"/>
    <n v="1599"/>
    <n v="0"/>
    <n v="0"/>
    <n v="1599"/>
    <n v="1599"/>
    <x v="3"/>
    <x v="0"/>
    <n v="40"/>
    <n v="1"/>
    <n v="0"/>
  </r>
  <r>
    <s v="ORD-5659"/>
    <d v="2025-01-10T00:00:00"/>
    <x v="7"/>
    <s v="CUST-280"/>
    <x v="3"/>
    <x v="3"/>
    <x v="3"/>
    <x v="3"/>
    <x v="0"/>
    <n v="1"/>
    <n v="899"/>
    <n v="0.05"/>
    <n v="44.95"/>
    <n v="899"/>
    <n v="854.05"/>
    <x v="2"/>
    <x v="0"/>
    <n v="40"/>
    <n v="0.95"/>
    <n v="0"/>
  </r>
  <r>
    <s v="ORD-5660"/>
    <d v="2025-03-25T00:00:00"/>
    <x v="1"/>
    <s v="CUST-522"/>
    <x v="1"/>
    <x v="1"/>
    <x v="1"/>
    <x v="22"/>
    <x v="2"/>
    <n v="1"/>
    <n v="3299"/>
    <n v="0"/>
    <n v="0"/>
    <n v="3299"/>
    <n v="3299"/>
    <x v="3"/>
    <x v="0"/>
    <n v="80"/>
    <n v="1"/>
    <n v="0"/>
  </r>
  <r>
    <s v="ORD-5661"/>
    <d v="2025-02-08T00:00:00"/>
    <x v="9"/>
    <s v="CUST-445"/>
    <x v="4"/>
    <x v="4"/>
    <x v="2"/>
    <x v="14"/>
    <x v="4"/>
    <n v="1"/>
    <n v="399"/>
    <n v="0"/>
    <n v="0"/>
    <n v="399"/>
    <n v="399"/>
    <x v="3"/>
    <x v="0"/>
    <n v="60"/>
    <n v="1"/>
    <n v="0"/>
  </r>
  <r>
    <s v="ORD-5662"/>
    <d v="2025-09-15T00:00:00"/>
    <x v="3"/>
    <s v="CUST-566"/>
    <x v="4"/>
    <x v="4"/>
    <x v="2"/>
    <x v="18"/>
    <x v="4"/>
    <n v="1"/>
    <n v="1299"/>
    <n v="0.1"/>
    <n v="129.9"/>
    <n v="1299"/>
    <n v="1169.0999999999999"/>
    <x v="3"/>
    <x v="0"/>
    <n v="80"/>
    <n v="0.89999999999999991"/>
    <n v="0"/>
  </r>
  <r>
    <s v="ORD-6910"/>
    <d v="2025-03-16T00:00:00"/>
    <x v="1"/>
    <s v="CUST-460"/>
    <x v="4"/>
    <x v="4"/>
    <x v="2"/>
    <x v="6"/>
    <x v="0"/>
    <n v="1"/>
    <n v="1599"/>
    <n v="0"/>
    <n v="0"/>
    <n v="1599"/>
    <n v="1599"/>
    <x v="2"/>
    <x v="0"/>
    <n v="80"/>
    <n v="1"/>
    <n v="0"/>
  </r>
  <r>
    <s v="ORD-5663"/>
    <d v="2025-08-13T00:00:00"/>
    <x v="0"/>
    <s v="CUST-251"/>
    <x v="2"/>
    <x v="2"/>
    <x v="2"/>
    <x v="19"/>
    <x v="2"/>
    <n v="1"/>
    <n v="1499"/>
    <n v="0.05"/>
    <n v="74.95"/>
    <n v="1499"/>
    <n v="1424.05"/>
    <x v="0"/>
    <x v="0"/>
    <n v="40"/>
    <n v="0.95"/>
    <n v="0"/>
  </r>
  <r>
    <s v="ORD-5664"/>
    <d v="2025-05-18T00:00:00"/>
    <x v="8"/>
    <s v="CUST-795"/>
    <x v="5"/>
    <x v="5"/>
    <x v="3"/>
    <x v="7"/>
    <x v="1"/>
    <n v="1"/>
    <n v="1299"/>
    <n v="0.1"/>
    <n v="129.9"/>
    <n v="1299"/>
    <n v="1169.0999999999999"/>
    <x v="0"/>
    <x v="0"/>
    <n v="60"/>
    <n v="0.89999999999999991"/>
    <n v="0"/>
  </r>
  <r>
    <s v="ORD-5665"/>
    <d v="2025-05-17T00:00:00"/>
    <x v="8"/>
    <s v="CUST-617"/>
    <x v="8"/>
    <x v="1"/>
    <x v="1"/>
    <x v="9"/>
    <x v="1"/>
    <n v="3"/>
    <n v="1899"/>
    <n v="0"/>
    <n v="0"/>
    <n v="5697"/>
    <n v="5697"/>
    <x v="1"/>
    <x v="0"/>
    <n v="40"/>
    <n v="1"/>
    <n v="0"/>
  </r>
  <r>
    <s v="ORD-5666"/>
    <d v="2025-06-21T00:00:00"/>
    <x v="11"/>
    <s v="CUST-871"/>
    <x v="4"/>
    <x v="4"/>
    <x v="2"/>
    <x v="17"/>
    <x v="1"/>
    <n v="1"/>
    <n v="2199"/>
    <n v="0"/>
    <n v="0"/>
    <n v="2199"/>
    <n v="2199"/>
    <x v="2"/>
    <x v="0"/>
    <n v="80"/>
    <n v="1"/>
    <n v="0"/>
  </r>
  <r>
    <s v="ORD-5667"/>
    <d v="2025-11-26T00:00:00"/>
    <x v="10"/>
    <s v="CUST-364"/>
    <x v="4"/>
    <x v="4"/>
    <x v="2"/>
    <x v="11"/>
    <x v="2"/>
    <n v="1"/>
    <n v="5499"/>
    <n v="0.1"/>
    <n v="549.9"/>
    <n v="5499"/>
    <n v="4949.1000000000004"/>
    <x v="2"/>
    <x v="0"/>
    <n v="60"/>
    <n v="0.9"/>
    <n v="0"/>
  </r>
  <r>
    <s v="ORD-5668"/>
    <d v="2025-04-18T00:00:00"/>
    <x v="6"/>
    <s v="CUST-704"/>
    <x v="1"/>
    <x v="1"/>
    <x v="1"/>
    <x v="3"/>
    <x v="0"/>
    <n v="1"/>
    <n v="899"/>
    <n v="0.1"/>
    <n v="89.9"/>
    <n v="899"/>
    <n v="809.1"/>
    <x v="3"/>
    <x v="1"/>
    <n v="80"/>
    <n v="0.9"/>
    <n v="0"/>
  </r>
  <r>
    <s v="ORD-5669"/>
    <d v="2025-03-11T00:00:00"/>
    <x v="1"/>
    <s v="CUST-681"/>
    <x v="9"/>
    <x v="8"/>
    <x v="1"/>
    <x v="3"/>
    <x v="0"/>
    <n v="4"/>
    <n v="899"/>
    <n v="0.1"/>
    <n v="89.9"/>
    <n v="3596"/>
    <n v="3506.1"/>
    <x v="2"/>
    <x v="0"/>
    <n v="40"/>
    <n v="0.97499999999999998"/>
    <n v="0"/>
  </r>
  <r>
    <s v="ORD-5670"/>
    <d v="2025-10-06T00:00:00"/>
    <x v="2"/>
    <s v="CUST-290"/>
    <x v="4"/>
    <x v="4"/>
    <x v="2"/>
    <x v="10"/>
    <x v="0"/>
    <n v="1"/>
    <n v="599"/>
    <n v="0.1"/>
    <n v="59.900000000000006"/>
    <n v="599"/>
    <n v="539.1"/>
    <x v="0"/>
    <x v="2"/>
    <n v="40"/>
    <n v="0.9"/>
    <n v="0"/>
  </r>
  <r>
    <s v="ORD-5671"/>
    <d v="2025-07-19T00:00:00"/>
    <x v="5"/>
    <s v="CUST-697"/>
    <x v="4"/>
    <x v="4"/>
    <x v="2"/>
    <x v="10"/>
    <x v="0"/>
    <n v="1"/>
    <n v="599"/>
    <n v="0.1"/>
    <n v="59.900000000000006"/>
    <n v="599"/>
    <n v="539.1"/>
    <x v="3"/>
    <x v="0"/>
    <n v="60"/>
    <n v="0.9"/>
    <n v="0"/>
  </r>
  <r>
    <s v="ORD-5672"/>
    <d v="2025-05-31T00:00:00"/>
    <x v="8"/>
    <s v="CUST-628"/>
    <x v="9"/>
    <x v="8"/>
    <x v="1"/>
    <x v="11"/>
    <x v="2"/>
    <n v="1"/>
    <n v="5499"/>
    <n v="0.05"/>
    <n v="274.95"/>
    <n v="5499"/>
    <n v="5224.05"/>
    <x v="0"/>
    <x v="0"/>
    <n v="0"/>
    <n v="0.95000000000000007"/>
    <n v="0"/>
  </r>
  <r>
    <s v="ORD-5673"/>
    <d v="2025-12-26T00:00:00"/>
    <x v="4"/>
    <s v="CUST-706"/>
    <x v="3"/>
    <x v="3"/>
    <x v="3"/>
    <x v="6"/>
    <x v="0"/>
    <n v="1"/>
    <n v="1599"/>
    <n v="0.15"/>
    <n v="239.85"/>
    <n v="1599"/>
    <n v="1359.15"/>
    <x v="0"/>
    <x v="0"/>
    <n v="80"/>
    <n v="0.85000000000000009"/>
    <n v="0"/>
  </r>
  <r>
    <s v="ORD-5674"/>
    <d v="2025-08-19T00:00:00"/>
    <x v="0"/>
    <s v="CUST-777"/>
    <x v="4"/>
    <x v="4"/>
    <x v="2"/>
    <x v="1"/>
    <x v="1"/>
    <n v="2"/>
    <n v="3999"/>
    <n v="0"/>
    <n v="0"/>
    <n v="7998"/>
    <n v="7998"/>
    <x v="2"/>
    <x v="0"/>
    <n v="80"/>
    <n v="1"/>
    <n v="0"/>
  </r>
  <r>
    <s v="ORD-5675"/>
    <d v="2025-07-01T00:00:00"/>
    <x v="5"/>
    <s v="CUST-727"/>
    <x v="9"/>
    <x v="8"/>
    <x v="1"/>
    <x v="8"/>
    <x v="1"/>
    <n v="1"/>
    <n v="2499"/>
    <n v="0"/>
    <n v="0"/>
    <n v="2499"/>
    <n v="2499"/>
    <x v="2"/>
    <x v="0"/>
    <n v="0"/>
    <n v="1"/>
    <n v="0"/>
  </r>
  <r>
    <s v="ORD-5676"/>
    <d v="2025-07-09T00:00:00"/>
    <x v="5"/>
    <s v="CUST-655"/>
    <x v="3"/>
    <x v="3"/>
    <x v="3"/>
    <x v="7"/>
    <x v="1"/>
    <n v="3"/>
    <n v="1299"/>
    <n v="0"/>
    <n v="0"/>
    <n v="3897"/>
    <n v="3897"/>
    <x v="2"/>
    <x v="0"/>
    <n v="0"/>
    <n v="1"/>
    <n v="0"/>
  </r>
  <r>
    <s v="ORD-5677"/>
    <d v="2025-02-01T00:00:00"/>
    <x v="9"/>
    <s v="CUST-377"/>
    <x v="8"/>
    <x v="1"/>
    <x v="1"/>
    <x v="8"/>
    <x v="1"/>
    <n v="4"/>
    <n v="2499"/>
    <n v="0"/>
    <n v="0"/>
    <n v="9996"/>
    <n v="9996"/>
    <x v="0"/>
    <x v="2"/>
    <n v="80"/>
    <n v="1"/>
    <n v="0"/>
  </r>
  <r>
    <s v="ORD-5678"/>
    <d v="2025-03-06T00:00:00"/>
    <x v="1"/>
    <s v="CUST-375"/>
    <x v="9"/>
    <x v="8"/>
    <x v="1"/>
    <x v="7"/>
    <x v="1"/>
    <n v="1"/>
    <n v="1299"/>
    <n v="0.15"/>
    <n v="194.85"/>
    <n v="1299"/>
    <n v="1104.1500000000001"/>
    <x v="2"/>
    <x v="0"/>
    <n v="80"/>
    <n v="0.85000000000000009"/>
    <n v="0"/>
  </r>
  <r>
    <s v="ORD-5679"/>
    <d v="2025-06-12T00:00:00"/>
    <x v="11"/>
    <s v="CUST-835"/>
    <x v="2"/>
    <x v="2"/>
    <x v="2"/>
    <x v="7"/>
    <x v="1"/>
    <n v="2"/>
    <n v="1299"/>
    <n v="0.1"/>
    <n v="129.9"/>
    <n v="2598"/>
    <n v="2468.1"/>
    <x v="0"/>
    <x v="0"/>
    <n v="0"/>
    <n v="0.95"/>
    <n v="0"/>
  </r>
  <r>
    <s v="ORD-5680"/>
    <d v="2025-06-25T00:00:00"/>
    <x v="11"/>
    <s v="CUST-713"/>
    <x v="2"/>
    <x v="2"/>
    <x v="2"/>
    <x v="6"/>
    <x v="0"/>
    <n v="1"/>
    <n v="1599"/>
    <n v="0.1"/>
    <n v="159.9"/>
    <n v="1599"/>
    <n v="1439.1"/>
    <x v="2"/>
    <x v="0"/>
    <n v="40"/>
    <n v="0.89999999999999991"/>
    <n v="0"/>
  </r>
  <r>
    <s v="ORD-5681"/>
    <d v="2025-04-22T00:00:00"/>
    <x v="6"/>
    <s v="CUST-558"/>
    <x v="3"/>
    <x v="3"/>
    <x v="3"/>
    <x v="1"/>
    <x v="1"/>
    <n v="1"/>
    <n v="3999"/>
    <n v="0.15"/>
    <n v="599.85"/>
    <n v="3999"/>
    <n v="3399.15"/>
    <x v="3"/>
    <x v="0"/>
    <n v="0"/>
    <n v="0.85"/>
    <n v="0"/>
  </r>
  <r>
    <s v="ORD-5682"/>
    <d v="2025-12-28T00:00:00"/>
    <x v="4"/>
    <s v="CUST-629"/>
    <x v="3"/>
    <x v="3"/>
    <x v="3"/>
    <x v="5"/>
    <x v="0"/>
    <n v="2"/>
    <n v="2299"/>
    <n v="0.25"/>
    <n v="574.75"/>
    <n v="4598"/>
    <n v="4023.25"/>
    <x v="3"/>
    <x v="0"/>
    <n v="80"/>
    <n v="0.875"/>
    <n v="0"/>
  </r>
  <r>
    <s v="ORD-5683"/>
    <d v="2025-01-06T00:00:00"/>
    <x v="7"/>
    <s v="CUST-568"/>
    <x v="1"/>
    <x v="1"/>
    <x v="1"/>
    <x v="12"/>
    <x v="1"/>
    <n v="5"/>
    <n v="799"/>
    <n v="0"/>
    <n v="0"/>
    <n v="3995"/>
    <n v="3995"/>
    <x v="3"/>
    <x v="0"/>
    <n v="60"/>
    <n v="1"/>
    <n v="0"/>
  </r>
  <r>
    <s v="ORD-5684"/>
    <d v="2025-10-12T00:00:00"/>
    <x v="2"/>
    <s v="CUST-796"/>
    <x v="7"/>
    <x v="7"/>
    <x v="1"/>
    <x v="18"/>
    <x v="4"/>
    <n v="1"/>
    <n v="1299"/>
    <n v="0.1"/>
    <n v="129.9"/>
    <n v="1299"/>
    <n v="1169.0999999999999"/>
    <x v="3"/>
    <x v="0"/>
    <n v="40"/>
    <n v="0.89999999999999991"/>
    <n v="0"/>
  </r>
  <r>
    <s v="ORD-5685"/>
    <d v="2025-11-07T00:00:00"/>
    <x v="10"/>
    <s v="CUST-334"/>
    <x v="6"/>
    <x v="6"/>
    <x v="2"/>
    <x v="1"/>
    <x v="1"/>
    <n v="3"/>
    <n v="3999"/>
    <n v="0.2"/>
    <n v="799.80000000000007"/>
    <n v="11997"/>
    <n v="11197.2"/>
    <x v="3"/>
    <x v="0"/>
    <n v="40"/>
    <n v="0.93333333333333335"/>
    <n v="0"/>
  </r>
  <r>
    <s v="ORD-5686"/>
    <d v="2025-09-04T00:00:00"/>
    <x v="3"/>
    <s v="CUST-484"/>
    <x v="5"/>
    <x v="5"/>
    <x v="3"/>
    <x v="3"/>
    <x v="0"/>
    <n v="2"/>
    <n v="899"/>
    <n v="0"/>
    <n v="0"/>
    <n v="1798"/>
    <n v="1798"/>
    <x v="3"/>
    <x v="0"/>
    <n v="0"/>
    <n v="1"/>
    <n v="0"/>
  </r>
  <r>
    <s v="ORD-5687"/>
    <d v="2025-10-01T00:00:00"/>
    <x v="2"/>
    <s v="CUST-277"/>
    <x v="6"/>
    <x v="6"/>
    <x v="2"/>
    <x v="19"/>
    <x v="2"/>
    <n v="1"/>
    <n v="1499"/>
    <n v="0.1"/>
    <n v="149.9"/>
    <n v="1499"/>
    <n v="1349.1"/>
    <x v="0"/>
    <x v="0"/>
    <n v="0"/>
    <n v="0.89999999999999991"/>
    <n v="0"/>
  </r>
  <r>
    <s v="ORD-5688"/>
    <d v="2025-08-24T00:00:00"/>
    <x v="0"/>
    <s v="CUST-401"/>
    <x v="3"/>
    <x v="3"/>
    <x v="3"/>
    <x v="10"/>
    <x v="0"/>
    <n v="1"/>
    <n v="599"/>
    <n v="0.15"/>
    <n v="89.85"/>
    <n v="599"/>
    <n v="509.15"/>
    <x v="2"/>
    <x v="0"/>
    <n v="80"/>
    <n v="0.85"/>
    <n v="0"/>
  </r>
  <r>
    <s v="ORD-5689"/>
    <d v="2025-09-13T00:00:00"/>
    <x v="3"/>
    <s v="CUST-887"/>
    <x v="6"/>
    <x v="6"/>
    <x v="2"/>
    <x v="7"/>
    <x v="1"/>
    <n v="4"/>
    <n v="1299"/>
    <n v="0.25"/>
    <n v="324.75"/>
    <n v="5196"/>
    <n v="4871.25"/>
    <x v="2"/>
    <x v="1"/>
    <n v="80"/>
    <n v="0.9375"/>
    <n v="0"/>
  </r>
  <r>
    <s v="ORD-5690"/>
    <d v="2025-01-12T00:00:00"/>
    <x v="7"/>
    <s v="CUST-537"/>
    <x v="1"/>
    <x v="1"/>
    <x v="1"/>
    <x v="12"/>
    <x v="1"/>
    <n v="1"/>
    <n v="799"/>
    <n v="0.25"/>
    <n v="199.75"/>
    <n v="799"/>
    <n v="599.25"/>
    <x v="3"/>
    <x v="0"/>
    <n v="80"/>
    <n v="0.75"/>
    <n v="0"/>
  </r>
  <r>
    <s v="ORD-5691"/>
    <d v="2025-10-16T00:00:00"/>
    <x v="2"/>
    <s v="CUST-635"/>
    <x v="5"/>
    <x v="5"/>
    <x v="3"/>
    <x v="5"/>
    <x v="0"/>
    <n v="1"/>
    <n v="2299"/>
    <n v="0.1"/>
    <n v="229.9"/>
    <n v="2299"/>
    <n v="2069.1"/>
    <x v="3"/>
    <x v="1"/>
    <n v="80"/>
    <n v="0.89999999999999991"/>
    <n v="0"/>
  </r>
  <r>
    <s v="ORD-5692"/>
    <d v="2025-09-05T00:00:00"/>
    <x v="3"/>
    <s v="CUST-598"/>
    <x v="4"/>
    <x v="4"/>
    <x v="2"/>
    <x v="10"/>
    <x v="0"/>
    <n v="2"/>
    <n v="599"/>
    <n v="0.1"/>
    <n v="59.900000000000006"/>
    <n v="1198"/>
    <n v="1138.0999999999999"/>
    <x v="1"/>
    <x v="1"/>
    <n v="0"/>
    <n v="0.95"/>
    <n v="0"/>
  </r>
  <r>
    <s v="ORD-5693"/>
    <d v="2025-03-25T00:00:00"/>
    <x v="1"/>
    <s v="CUST-887"/>
    <x v="2"/>
    <x v="2"/>
    <x v="2"/>
    <x v="2"/>
    <x v="2"/>
    <n v="1"/>
    <n v="2799"/>
    <n v="0"/>
    <n v="0"/>
    <n v="2799"/>
    <n v="2799"/>
    <x v="2"/>
    <x v="0"/>
    <n v="80"/>
    <n v="1"/>
    <n v="0"/>
  </r>
  <r>
    <s v="ORD-5694"/>
    <d v="2025-10-07T00:00:00"/>
    <x v="2"/>
    <s v="CUST-469"/>
    <x v="1"/>
    <x v="1"/>
    <x v="1"/>
    <x v="3"/>
    <x v="0"/>
    <n v="1"/>
    <n v="899"/>
    <n v="0.05"/>
    <n v="44.95"/>
    <n v="899"/>
    <n v="854.05"/>
    <x v="0"/>
    <x v="0"/>
    <n v="0"/>
    <n v="0.95"/>
    <n v="0"/>
  </r>
  <r>
    <s v="ORD-5695"/>
    <d v="2025-11-23T00:00:00"/>
    <x v="10"/>
    <s v="CUST-816"/>
    <x v="1"/>
    <x v="1"/>
    <x v="1"/>
    <x v="14"/>
    <x v="4"/>
    <n v="1"/>
    <n v="399"/>
    <n v="0.15"/>
    <n v="59.849999999999994"/>
    <n v="399"/>
    <n v="339.15"/>
    <x v="3"/>
    <x v="0"/>
    <n v="80"/>
    <n v="0.85"/>
    <n v="0"/>
  </r>
  <r>
    <s v="ORD-5696"/>
    <d v="2025-06-09T00:00:00"/>
    <x v="11"/>
    <s v="CUST-727"/>
    <x v="8"/>
    <x v="1"/>
    <x v="1"/>
    <x v="6"/>
    <x v="0"/>
    <n v="2"/>
    <n v="1599"/>
    <n v="0.15"/>
    <n v="239.85"/>
    <n v="3198"/>
    <n v="2958.15"/>
    <x v="3"/>
    <x v="0"/>
    <n v="0"/>
    <n v="0.92500000000000004"/>
    <n v="0"/>
  </r>
  <r>
    <s v="ORD-5697"/>
    <d v="2025-03-29T00:00:00"/>
    <x v="1"/>
    <s v="CUST-443"/>
    <x v="4"/>
    <x v="4"/>
    <x v="2"/>
    <x v="12"/>
    <x v="1"/>
    <n v="1"/>
    <n v="799"/>
    <n v="0.1"/>
    <n v="79.900000000000006"/>
    <n v="799"/>
    <n v="719.1"/>
    <x v="2"/>
    <x v="0"/>
    <n v="60"/>
    <n v="0.9"/>
    <n v="0"/>
  </r>
  <r>
    <s v="ORD-5698"/>
    <d v="2025-05-16T00:00:00"/>
    <x v="8"/>
    <s v="CUST-326"/>
    <x v="7"/>
    <x v="7"/>
    <x v="1"/>
    <x v="14"/>
    <x v="4"/>
    <n v="1"/>
    <n v="399"/>
    <n v="0.2"/>
    <n v="79.800000000000011"/>
    <n v="399"/>
    <n v="319.2"/>
    <x v="3"/>
    <x v="0"/>
    <n v="0"/>
    <n v="0.79999999999999993"/>
    <n v="0"/>
  </r>
  <r>
    <s v="ORD-5699"/>
    <d v="2025-05-09T00:00:00"/>
    <x v="8"/>
    <s v="CUST-214"/>
    <x v="5"/>
    <x v="5"/>
    <x v="3"/>
    <x v="4"/>
    <x v="3"/>
    <n v="1"/>
    <n v="349"/>
    <n v="0.1"/>
    <n v="34.9"/>
    <n v="349"/>
    <n v="314.10000000000002"/>
    <x v="0"/>
    <x v="0"/>
    <n v="40"/>
    <n v="0.9"/>
    <n v="0"/>
  </r>
  <r>
    <s v="ORD-5700"/>
    <d v="2025-01-02T00:00:00"/>
    <x v="7"/>
    <s v="CUST-437"/>
    <x v="1"/>
    <x v="1"/>
    <x v="1"/>
    <x v="22"/>
    <x v="2"/>
    <n v="4"/>
    <n v="3299"/>
    <n v="0"/>
    <n v="0"/>
    <n v="13196"/>
    <n v="13196"/>
    <x v="3"/>
    <x v="0"/>
    <n v="80"/>
    <n v="1"/>
    <n v="0"/>
  </r>
  <r>
    <s v="ORD-5701"/>
    <d v="2025-10-04T00:00:00"/>
    <x v="2"/>
    <s v="CUST-255"/>
    <x v="1"/>
    <x v="1"/>
    <x v="1"/>
    <x v="7"/>
    <x v="1"/>
    <n v="2"/>
    <n v="1299"/>
    <n v="0.05"/>
    <n v="64.95"/>
    <n v="2598"/>
    <n v="2533.0500000000002"/>
    <x v="1"/>
    <x v="0"/>
    <n v="0"/>
    <n v="0.97500000000000009"/>
    <n v="0"/>
  </r>
  <r>
    <s v="ORD-5702"/>
    <d v="2025-11-27T00:00:00"/>
    <x v="10"/>
    <s v="CUST-521"/>
    <x v="1"/>
    <x v="1"/>
    <x v="1"/>
    <x v="9"/>
    <x v="1"/>
    <n v="2"/>
    <n v="1899"/>
    <n v="0.1"/>
    <n v="189.9"/>
    <n v="3798"/>
    <n v="3608.1"/>
    <x v="0"/>
    <x v="2"/>
    <n v="80"/>
    <n v="0.95"/>
    <n v="0"/>
  </r>
  <r>
    <s v="ORD-5703"/>
    <d v="2025-09-08T00:00:00"/>
    <x v="3"/>
    <s v="CUST-325"/>
    <x v="1"/>
    <x v="1"/>
    <x v="1"/>
    <x v="0"/>
    <x v="0"/>
    <n v="1"/>
    <n v="1799"/>
    <n v="0.1"/>
    <n v="179.9"/>
    <n v="1799"/>
    <n v="1619.1"/>
    <x v="3"/>
    <x v="0"/>
    <n v="0"/>
    <n v="0.89999999999999991"/>
    <n v="0"/>
  </r>
  <r>
    <s v="ORD-5704"/>
    <d v="2025-09-28T00:00:00"/>
    <x v="3"/>
    <s v="CUST-760"/>
    <x v="2"/>
    <x v="2"/>
    <x v="2"/>
    <x v="17"/>
    <x v="1"/>
    <n v="4"/>
    <n v="2199"/>
    <n v="0.1"/>
    <n v="219.9"/>
    <n v="8796"/>
    <n v="8576.1"/>
    <x v="3"/>
    <x v="0"/>
    <n v="60"/>
    <n v="0.97500000000000009"/>
    <n v="0"/>
  </r>
  <r>
    <s v="ORD-5705"/>
    <d v="2025-01-07T00:00:00"/>
    <x v="7"/>
    <s v="CUST-458"/>
    <x v="6"/>
    <x v="6"/>
    <x v="2"/>
    <x v="17"/>
    <x v="1"/>
    <n v="1"/>
    <n v="2199"/>
    <n v="0.1"/>
    <n v="219.9"/>
    <n v="2199"/>
    <n v="1979.1"/>
    <x v="3"/>
    <x v="0"/>
    <n v="40"/>
    <n v="0.89999999999999991"/>
    <n v="0"/>
  </r>
  <r>
    <s v="ORD-5706"/>
    <d v="2025-02-04T00:00:00"/>
    <x v="9"/>
    <s v="CUST-696"/>
    <x v="2"/>
    <x v="2"/>
    <x v="2"/>
    <x v="1"/>
    <x v="1"/>
    <n v="1"/>
    <n v="3999"/>
    <n v="0.1"/>
    <n v="399.90000000000003"/>
    <n v="3999"/>
    <n v="3599.1"/>
    <x v="3"/>
    <x v="0"/>
    <n v="40"/>
    <n v="0.9"/>
    <n v="0"/>
  </r>
  <r>
    <s v="ORD-5707"/>
    <d v="2025-01-05T00:00:00"/>
    <x v="7"/>
    <s v="CUST-464"/>
    <x v="2"/>
    <x v="2"/>
    <x v="2"/>
    <x v="10"/>
    <x v="0"/>
    <n v="1"/>
    <n v="599"/>
    <n v="0"/>
    <n v="0"/>
    <n v="599"/>
    <n v="599"/>
    <x v="0"/>
    <x v="0"/>
    <n v="60"/>
    <n v="1"/>
    <n v="0"/>
  </r>
  <r>
    <s v="ORD-5708"/>
    <d v="2025-04-15T00:00:00"/>
    <x v="6"/>
    <s v="CUST-741"/>
    <x v="0"/>
    <x v="0"/>
    <x v="0"/>
    <x v="2"/>
    <x v="2"/>
    <n v="2"/>
    <n v="2799"/>
    <n v="0.1"/>
    <n v="279.90000000000003"/>
    <n v="5598"/>
    <n v="5318.1"/>
    <x v="3"/>
    <x v="2"/>
    <n v="0"/>
    <n v="0.95000000000000007"/>
    <n v="0"/>
  </r>
  <r>
    <s v="ORD-5709"/>
    <d v="2025-08-02T00:00:00"/>
    <x v="0"/>
    <s v="CUST-655"/>
    <x v="5"/>
    <x v="5"/>
    <x v="3"/>
    <x v="6"/>
    <x v="0"/>
    <n v="2"/>
    <n v="1599"/>
    <n v="0.25"/>
    <n v="399.75"/>
    <n v="3198"/>
    <n v="2798.25"/>
    <x v="3"/>
    <x v="0"/>
    <n v="80"/>
    <n v="0.875"/>
    <n v="0"/>
  </r>
  <r>
    <s v="ORD-5710"/>
    <d v="2025-10-15T00:00:00"/>
    <x v="2"/>
    <s v="CUST-461"/>
    <x v="1"/>
    <x v="1"/>
    <x v="1"/>
    <x v="12"/>
    <x v="1"/>
    <n v="1"/>
    <n v="799"/>
    <n v="0"/>
    <n v="0"/>
    <n v="799"/>
    <n v="799"/>
    <x v="0"/>
    <x v="0"/>
    <n v="40"/>
    <n v="1"/>
    <n v="0"/>
  </r>
  <r>
    <s v="ORD-5711"/>
    <d v="2025-12-04T00:00:00"/>
    <x v="4"/>
    <s v="CUST-889"/>
    <x v="6"/>
    <x v="6"/>
    <x v="2"/>
    <x v="16"/>
    <x v="4"/>
    <n v="1"/>
    <n v="1599"/>
    <n v="0.15"/>
    <n v="239.85"/>
    <n v="1599"/>
    <n v="1359.15"/>
    <x v="0"/>
    <x v="0"/>
    <n v="0"/>
    <n v="0.85000000000000009"/>
    <n v="0"/>
  </r>
  <r>
    <s v="ORD-5712"/>
    <d v="2025-06-29T00:00:00"/>
    <x v="11"/>
    <s v="CUST-772"/>
    <x v="5"/>
    <x v="5"/>
    <x v="3"/>
    <x v="9"/>
    <x v="1"/>
    <n v="2"/>
    <n v="1899"/>
    <n v="0.05"/>
    <n v="94.95"/>
    <n v="3798"/>
    <n v="3703.05"/>
    <x v="2"/>
    <x v="0"/>
    <n v="0"/>
    <n v="0.97500000000000009"/>
    <n v="0"/>
  </r>
  <r>
    <s v="ORD-5713"/>
    <d v="2025-01-25T00:00:00"/>
    <x v="7"/>
    <s v="CUST-269"/>
    <x v="9"/>
    <x v="8"/>
    <x v="1"/>
    <x v="12"/>
    <x v="1"/>
    <n v="3"/>
    <n v="799"/>
    <n v="0.1"/>
    <n v="79.900000000000006"/>
    <n v="2397"/>
    <n v="2317.1"/>
    <x v="3"/>
    <x v="2"/>
    <n v="40"/>
    <n v="0.96666666666666667"/>
    <n v="0"/>
  </r>
  <r>
    <s v="ORD-5714"/>
    <d v="2025-06-28T00:00:00"/>
    <x v="11"/>
    <s v="CUST-609"/>
    <x v="4"/>
    <x v="4"/>
    <x v="2"/>
    <x v="18"/>
    <x v="4"/>
    <n v="2"/>
    <n v="1299"/>
    <n v="0.25"/>
    <n v="324.75"/>
    <n v="2598"/>
    <n v="2273.25"/>
    <x v="2"/>
    <x v="0"/>
    <n v="0"/>
    <n v="0.875"/>
    <n v="0"/>
  </r>
  <r>
    <s v="ORD-5715"/>
    <d v="2025-08-07T00:00:00"/>
    <x v="0"/>
    <s v="CUST-427"/>
    <x v="6"/>
    <x v="6"/>
    <x v="2"/>
    <x v="8"/>
    <x v="1"/>
    <n v="1"/>
    <n v="2499"/>
    <n v="0.05"/>
    <n v="124.95"/>
    <n v="2499"/>
    <n v="2374.0500000000002"/>
    <x v="1"/>
    <x v="1"/>
    <n v="60"/>
    <n v="0.95000000000000007"/>
    <n v="0"/>
  </r>
  <r>
    <s v="ORD-5716"/>
    <d v="2025-11-09T00:00:00"/>
    <x v="10"/>
    <s v="CUST-863"/>
    <x v="6"/>
    <x v="6"/>
    <x v="2"/>
    <x v="10"/>
    <x v="0"/>
    <n v="3"/>
    <n v="599"/>
    <n v="0.25"/>
    <n v="149.75"/>
    <n v="1797"/>
    <n v="1647.25"/>
    <x v="3"/>
    <x v="0"/>
    <n v="80"/>
    <n v="0.91666666666666663"/>
    <n v="0"/>
  </r>
  <r>
    <s v="ORD-5717"/>
    <d v="2025-10-19T00:00:00"/>
    <x v="2"/>
    <s v="CUST-838"/>
    <x v="0"/>
    <x v="0"/>
    <x v="0"/>
    <x v="2"/>
    <x v="2"/>
    <n v="1"/>
    <n v="2799"/>
    <n v="0"/>
    <n v="0"/>
    <n v="2799"/>
    <n v="2799"/>
    <x v="3"/>
    <x v="0"/>
    <n v="60"/>
    <n v="1"/>
    <n v="0"/>
  </r>
  <r>
    <s v="ORD-5718"/>
    <d v="2025-10-13T00:00:00"/>
    <x v="2"/>
    <s v="CUST-391"/>
    <x v="1"/>
    <x v="1"/>
    <x v="1"/>
    <x v="8"/>
    <x v="1"/>
    <n v="4"/>
    <n v="2499"/>
    <n v="0.1"/>
    <n v="249.9"/>
    <n v="9996"/>
    <n v="9746.1"/>
    <x v="3"/>
    <x v="0"/>
    <n v="40"/>
    <n v="0.97500000000000009"/>
    <n v="0"/>
  </r>
  <r>
    <s v="ORD-5719"/>
    <d v="2025-12-20T00:00:00"/>
    <x v="4"/>
    <s v="CUST-262"/>
    <x v="4"/>
    <x v="4"/>
    <x v="2"/>
    <x v="10"/>
    <x v="0"/>
    <n v="1"/>
    <n v="599"/>
    <n v="0"/>
    <n v="0"/>
    <n v="599"/>
    <n v="599"/>
    <x v="2"/>
    <x v="0"/>
    <n v="60"/>
    <n v="1"/>
    <n v="0"/>
  </r>
  <r>
    <s v="ORD-5720"/>
    <d v="2025-10-05T00:00:00"/>
    <x v="2"/>
    <s v="CUST-311"/>
    <x v="2"/>
    <x v="2"/>
    <x v="2"/>
    <x v="2"/>
    <x v="2"/>
    <n v="2"/>
    <n v="2799"/>
    <n v="0.25"/>
    <n v="699.75"/>
    <n v="5598"/>
    <n v="4898.25"/>
    <x v="1"/>
    <x v="0"/>
    <n v="0"/>
    <n v="0.875"/>
    <n v="0"/>
  </r>
  <r>
    <s v="ORD-5721"/>
    <d v="2025-09-15T00:00:00"/>
    <x v="3"/>
    <s v="CUST-343"/>
    <x v="3"/>
    <x v="3"/>
    <x v="3"/>
    <x v="21"/>
    <x v="4"/>
    <n v="2"/>
    <n v="699"/>
    <n v="0.25"/>
    <n v="174.75"/>
    <n v="1398"/>
    <n v="1223.25"/>
    <x v="3"/>
    <x v="0"/>
    <n v="40"/>
    <n v="0.875"/>
    <n v="0"/>
  </r>
  <r>
    <s v="ORD-5722"/>
    <d v="2025-10-13T00:00:00"/>
    <x v="2"/>
    <s v="CUST-573"/>
    <x v="2"/>
    <x v="2"/>
    <x v="2"/>
    <x v="15"/>
    <x v="3"/>
    <n v="2"/>
    <n v="299"/>
    <n v="0.15"/>
    <n v="44.85"/>
    <n v="598"/>
    <n v="553.15"/>
    <x v="0"/>
    <x v="0"/>
    <n v="80"/>
    <n v="0.92499999999999993"/>
    <n v="0"/>
  </r>
  <r>
    <s v="ORD-5723"/>
    <d v="2025-06-29T00:00:00"/>
    <x v="11"/>
    <s v="CUST-594"/>
    <x v="6"/>
    <x v="6"/>
    <x v="2"/>
    <x v="10"/>
    <x v="0"/>
    <n v="2"/>
    <n v="599"/>
    <n v="0"/>
    <n v="0"/>
    <n v="1198"/>
    <n v="1198"/>
    <x v="0"/>
    <x v="0"/>
    <n v="0"/>
    <n v="1"/>
    <n v="0"/>
  </r>
  <r>
    <s v="ORD-5724"/>
    <d v="2025-04-01T00:00:00"/>
    <x v="6"/>
    <s v="CUST-461"/>
    <x v="2"/>
    <x v="2"/>
    <x v="2"/>
    <x v="5"/>
    <x v="0"/>
    <n v="1"/>
    <n v="2299"/>
    <n v="0.25"/>
    <n v="574.75"/>
    <n v="2299"/>
    <n v="1724.25"/>
    <x v="1"/>
    <x v="2"/>
    <n v="80"/>
    <n v="0.75"/>
    <n v="0"/>
  </r>
  <r>
    <s v="ORD-5725"/>
    <d v="2025-07-25T00:00:00"/>
    <x v="5"/>
    <s v="CUST-282"/>
    <x v="2"/>
    <x v="2"/>
    <x v="2"/>
    <x v="0"/>
    <x v="0"/>
    <n v="1"/>
    <n v="1799"/>
    <n v="0.15"/>
    <n v="269.84999999999997"/>
    <n v="1799"/>
    <n v="1529.15"/>
    <x v="0"/>
    <x v="0"/>
    <n v="80"/>
    <n v="0.85000000000000009"/>
    <n v="0"/>
  </r>
  <r>
    <s v="ORD-5726"/>
    <d v="2025-05-27T00:00:00"/>
    <x v="8"/>
    <s v="CUST-673"/>
    <x v="0"/>
    <x v="0"/>
    <x v="0"/>
    <x v="12"/>
    <x v="1"/>
    <n v="5"/>
    <n v="799"/>
    <n v="0.05"/>
    <n v="39.950000000000003"/>
    <n v="3995"/>
    <n v="3955.05"/>
    <x v="2"/>
    <x v="1"/>
    <n v="40"/>
    <n v="0.99"/>
    <n v="0"/>
  </r>
  <r>
    <s v="ORD-5727"/>
    <d v="2025-01-24T00:00:00"/>
    <x v="7"/>
    <s v="CUST-224"/>
    <x v="1"/>
    <x v="1"/>
    <x v="1"/>
    <x v="0"/>
    <x v="0"/>
    <n v="1"/>
    <n v="1799"/>
    <n v="0.1"/>
    <n v="179.9"/>
    <n v="1799"/>
    <n v="1619.1"/>
    <x v="0"/>
    <x v="0"/>
    <n v="80"/>
    <n v="0.89999999999999991"/>
    <n v="0"/>
  </r>
  <r>
    <s v="ORD-5728"/>
    <d v="2025-01-17T00:00:00"/>
    <x v="7"/>
    <s v="CUST-484"/>
    <x v="9"/>
    <x v="8"/>
    <x v="1"/>
    <x v="1"/>
    <x v="1"/>
    <n v="2"/>
    <n v="3999"/>
    <n v="0.2"/>
    <n v="799.80000000000007"/>
    <n v="7998"/>
    <n v="7198.2"/>
    <x v="3"/>
    <x v="0"/>
    <n v="40"/>
    <n v="0.9"/>
    <n v="0"/>
  </r>
  <r>
    <s v="ORD-5729"/>
    <d v="2025-06-14T00:00:00"/>
    <x v="11"/>
    <s v="CUST-616"/>
    <x v="3"/>
    <x v="3"/>
    <x v="3"/>
    <x v="10"/>
    <x v="0"/>
    <n v="1"/>
    <n v="599"/>
    <n v="0.1"/>
    <n v="59.900000000000006"/>
    <n v="599"/>
    <n v="539.1"/>
    <x v="2"/>
    <x v="0"/>
    <n v="40"/>
    <n v="0.9"/>
    <n v="0"/>
  </r>
  <r>
    <s v="ORD-5730"/>
    <d v="2025-02-02T00:00:00"/>
    <x v="9"/>
    <s v="CUST-278"/>
    <x v="0"/>
    <x v="0"/>
    <x v="0"/>
    <x v="1"/>
    <x v="1"/>
    <n v="3"/>
    <n v="3999"/>
    <n v="0.2"/>
    <n v="799.80000000000007"/>
    <n v="11997"/>
    <n v="11197.2"/>
    <x v="1"/>
    <x v="2"/>
    <n v="60"/>
    <n v="0.93333333333333335"/>
    <n v="0"/>
  </r>
  <r>
    <s v="ORD-5731"/>
    <d v="2025-11-25T00:00:00"/>
    <x v="10"/>
    <s v="CUST-363"/>
    <x v="8"/>
    <x v="1"/>
    <x v="1"/>
    <x v="14"/>
    <x v="4"/>
    <n v="1"/>
    <n v="399"/>
    <n v="0"/>
    <n v="0"/>
    <n v="399"/>
    <n v="399"/>
    <x v="2"/>
    <x v="0"/>
    <n v="60"/>
    <n v="1"/>
    <n v="0"/>
  </r>
  <r>
    <s v="ORD-5732"/>
    <d v="2025-05-11T00:00:00"/>
    <x v="8"/>
    <s v="CUST-627"/>
    <x v="4"/>
    <x v="4"/>
    <x v="2"/>
    <x v="17"/>
    <x v="1"/>
    <n v="1"/>
    <n v="2199"/>
    <n v="0.25"/>
    <n v="549.75"/>
    <n v="2199"/>
    <n v="1649.25"/>
    <x v="0"/>
    <x v="1"/>
    <n v="60"/>
    <n v="0.75"/>
    <n v="0"/>
  </r>
  <r>
    <s v="ORD-5733"/>
    <d v="2025-07-28T00:00:00"/>
    <x v="5"/>
    <s v="CUST-670"/>
    <x v="1"/>
    <x v="1"/>
    <x v="1"/>
    <x v="3"/>
    <x v="0"/>
    <n v="2"/>
    <n v="899"/>
    <n v="0.15"/>
    <n v="134.85"/>
    <n v="1798"/>
    <n v="1663.15"/>
    <x v="1"/>
    <x v="0"/>
    <n v="60"/>
    <n v="0.92500000000000004"/>
    <n v="0"/>
  </r>
  <r>
    <s v="ORD-5734"/>
    <d v="2025-07-09T00:00:00"/>
    <x v="5"/>
    <s v="CUST-525"/>
    <x v="8"/>
    <x v="1"/>
    <x v="1"/>
    <x v="11"/>
    <x v="2"/>
    <n v="1"/>
    <n v="5499"/>
    <n v="0.1"/>
    <n v="549.9"/>
    <n v="5499"/>
    <n v="4949.1000000000004"/>
    <x v="3"/>
    <x v="0"/>
    <n v="80"/>
    <n v="0.9"/>
    <n v="0"/>
  </r>
  <r>
    <s v="ORD-5735"/>
    <d v="2025-01-16T00:00:00"/>
    <x v="7"/>
    <s v="CUST-873"/>
    <x v="3"/>
    <x v="3"/>
    <x v="3"/>
    <x v="3"/>
    <x v="0"/>
    <n v="1"/>
    <n v="899"/>
    <n v="0"/>
    <n v="0"/>
    <n v="899"/>
    <n v="899"/>
    <x v="2"/>
    <x v="0"/>
    <n v="40"/>
    <n v="1"/>
    <n v="0"/>
  </r>
  <r>
    <s v="ORD-5736"/>
    <d v="2025-05-24T00:00:00"/>
    <x v="8"/>
    <s v="CUST-677"/>
    <x v="3"/>
    <x v="3"/>
    <x v="3"/>
    <x v="11"/>
    <x v="2"/>
    <n v="2"/>
    <n v="5499"/>
    <n v="0"/>
    <n v="0"/>
    <n v="10998"/>
    <n v="10998"/>
    <x v="3"/>
    <x v="0"/>
    <n v="0"/>
    <n v="1"/>
    <n v="0"/>
  </r>
  <r>
    <s v="ORD-5737"/>
    <d v="2025-12-01T00:00:00"/>
    <x v="4"/>
    <s v="CUST-400"/>
    <x v="7"/>
    <x v="7"/>
    <x v="1"/>
    <x v="9"/>
    <x v="1"/>
    <n v="2"/>
    <n v="1899"/>
    <n v="0.1"/>
    <n v="189.9"/>
    <n v="3798"/>
    <n v="3608.1"/>
    <x v="2"/>
    <x v="0"/>
    <n v="80"/>
    <n v="0.95"/>
    <n v="0"/>
  </r>
  <r>
    <s v="ORD-5738"/>
    <d v="2025-05-02T00:00:00"/>
    <x v="8"/>
    <s v="CUST-639"/>
    <x v="4"/>
    <x v="4"/>
    <x v="2"/>
    <x v="15"/>
    <x v="3"/>
    <n v="3"/>
    <n v="299"/>
    <n v="0.05"/>
    <n v="14.950000000000001"/>
    <n v="897"/>
    <n v="882.05"/>
    <x v="0"/>
    <x v="0"/>
    <n v="60"/>
    <n v="0.98333333333333328"/>
    <n v="0"/>
  </r>
  <r>
    <s v="ORD-5739"/>
    <d v="2025-01-29T00:00:00"/>
    <x v="7"/>
    <s v="CUST-473"/>
    <x v="9"/>
    <x v="8"/>
    <x v="1"/>
    <x v="3"/>
    <x v="0"/>
    <n v="3"/>
    <n v="899"/>
    <n v="0.1"/>
    <n v="89.9"/>
    <n v="2697"/>
    <n v="2607.1"/>
    <x v="2"/>
    <x v="1"/>
    <n v="40"/>
    <n v="0.96666666666666667"/>
    <n v="0"/>
  </r>
  <r>
    <s v="ORD-5740"/>
    <d v="2025-02-01T00:00:00"/>
    <x v="9"/>
    <s v="CUST-292"/>
    <x v="8"/>
    <x v="1"/>
    <x v="1"/>
    <x v="9"/>
    <x v="1"/>
    <n v="1"/>
    <n v="1899"/>
    <n v="0"/>
    <n v="0"/>
    <n v="1899"/>
    <n v="1899"/>
    <x v="2"/>
    <x v="0"/>
    <n v="0"/>
    <n v="1"/>
    <n v="0"/>
  </r>
  <r>
    <s v="ORD-5741"/>
    <d v="2025-11-07T00:00:00"/>
    <x v="10"/>
    <s v="CUST-587"/>
    <x v="8"/>
    <x v="1"/>
    <x v="1"/>
    <x v="18"/>
    <x v="4"/>
    <n v="3"/>
    <n v="1299"/>
    <n v="0.1"/>
    <n v="129.9"/>
    <n v="3897"/>
    <n v="3767.1"/>
    <x v="3"/>
    <x v="0"/>
    <n v="80"/>
    <n v="0.96666666666666667"/>
    <n v="0"/>
  </r>
  <r>
    <s v="ORD-5742"/>
    <d v="2025-10-04T00:00:00"/>
    <x v="2"/>
    <s v="CUST-549"/>
    <x v="3"/>
    <x v="3"/>
    <x v="3"/>
    <x v="10"/>
    <x v="0"/>
    <n v="2"/>
    <n v="599"/>
    <n v="0.15"/>
    <n v="89.85"/>
    <n v="1198"/>
    <n v="1108.1500000000001"/>
    <x v="0"/>
    <x v="0"/>
    <n v="80"/>
    <n v="0.92500000000000004"/>
    <n v="0"/>
  </r>
  <r>
    <s v="ORD-5743"/>
    <d v="2025-10-14T00:00:00"/>
    <x v="2"/>
    <s v="CUST-808"/>
    <x v="6"/>
    <x v="6"/>
    <x v="2"/>
    <x v="11"/>
    <x v="2"/>
    <n v="2"/>
    <n v="5499"/>
    <n v="0.25"/>
    <n v="1374.75"/>
    <n v="10998"/>
    <n v="9623.25"/>
    <x v="3"/>
    <x v="0"/>
    <n v="40"/>
    <n v="0.875"/>
    <n v="0"/>
  </r>
  <r>
    <s v="ORD-5744"/>
    <d v="2025-08-26T00:00:00"/>
    <x v="0"/>
    <s v="CUST-567"/>
    <x v="8"/>
    <x v="1"/>
    <x v="1"/>
    <x v="12"/>
    <x v="1"/>
    <n v="1"/>
    <n v="799"/>
    <n v="0.1"/>
    <n v="79.900000000000006"/>
    <n v="799"/>
    <n v="719.1"/>
    <x v="3"/>
    <x v="0"/>
    <n v="80"/>
    <n v="0.9"/>
    <n v="0"/>
  </r>
  <r>
    <s v="ORD-5745"/>
    <d v="2025-11-04T00:00:00"/>
    <x v="10"/>
    <s v="CUST-276"/>
    <x v="3"/>
    <x v="3"/>
    <x v="3"/>
    <x v="21"/>
    <x v="4"/>
    <n v="1"/>
    <n v="699"/>
    <n v="0"/>
    <n v="0"/>
    <n v="699"/>
    <n v="699"/>
    <x v="3"/>
    <x v="0"/>
    <n v="60"/>
    <n v="1"/>
    <n v="0"/>
  </r>
  <r>
    <s v="ORD-5746"/>
    <d v="2025-07-05T00:00:00"/>
    <x v="5"/>
    <s v="CUST-296"/>
    <x v="8"/>
    <x v="1"/>
    <x v="1"/>
    <x v="1"/>
    <x v="1"/>
    <n v="2"/>
    <n v="3999"/>
    <n v="0.15"/>
    <n v="599.85"/>
    <n v="7998"/>
    <n v="7398.15"/>
    <x v="1"/>
    <x v="0"/>
    <n v="60"/>
    <n v="0.92499999999999993"/>
    <n v="0"/>
  </r>
  <r>
    <s v="ORD-5747"/>
    <d v="2025-10-24T00:00:00"/>
    <x v="2"/>
    <s v="CUST-560"/>
    <x v="3"/>
    <x v="3"/>
    <x v="3"/>
    <x v="7"/>
    <x v="1"/>
    <n v="2"/>
    <n v="1299"/>
    <n v="0.15"/>
    <n v="194.85"/>
    <n v="2598"/>
    <n v="2403.15"/>
    <x v="3"/>
    <x v="0"/>
    <n v="40"/>
    <n v="0.92500000000000004"/>
    <n v="0"/>
  </r>
  <r>
    <s v="ORD-5748"/>
    <d v="2025-03-20T00:00:00"/>
    <x v="1"/>
    <s v="CUST-491"/>
    <x v="4"/>
    <x v="4"/>
    <x v="2"/>
    <x v="21"/>
    <x v="4"/>
    <n v="1"/>
    <n v="699"/>
    <n v="0.1"/>
    <n v="69.900000000000006"/>
    <n v="699"/>
    <n v="629.1"/>
    <x v="3"/>
    <x v="0"/>
    <n v="60"/>
    <n v="0.9"/>
    <n v="0"/>
  </r>
  <r>
    <s v="ORD-5749"/>
    <d v="2025-07-12T00:00:00"/>
    <x v="5"/>
    <s v="CUST-726"/>
    <x v="2"/>
    <x v="2"/>
    <x v="2"/>
    <x v="8"/>
    <x v="1"/>
    <n v="3"/>
    <n v="2499"/>
    <n v="0.25"/>
    <n v="624.75"/>
    <n v="7497"/>
    <n v="6872.25"/>
    <x v="3"/>
    <x v="0"/>
    <n v="0"/>
    <n v="0.91666666666666663"/>
    <n v="0"/>
  </r>
  <r>
    <s v="ORD-5750"/>
    <d v="2025-06-08T00:00:00"/>
    <x v="11"/>
    <s v="CUST-776"/>
    <x v="2"/>
    <x v="2"/>
    <x v="2"/>
    <x v="9"/>
    <x v="1"/>
    <n v="1"/>
    <n v="1899"/>
    <n v="0.1"/>
    <n v="189.9"/>
    <n v="1899"/>
    <n v="1709.1"/>
    <x v="3"/>
    <x v="2"/>
    <n v="40"/>
    <n v="0.89999999999999991"/>
    <n v="0"/>
  </r>
  <r>
    <s v="ORD-5751"/>
    <d v="2025-01-15T00:00:00"/>
    <x v="7"/>
    <s v="CUST-608"/>
    <x v="6"/>
    <x v="6"/>
    <x v="2"/>
    <x v="6"/>
    <x v="0"/>
    <n v="1"/>
    <n v="1599"/>
    <n v="0.15"/>
    <n v="239.85"/>
    <n v="1599"/>
    <n v="1359.15"/>
    <x v="3"/>
    <x v="0"/>
    <n v="0"/>
    <n v="0.85000000000000009"/>
    <n v="0"/>
  </r>
  <r>
    <s v="ORD-5752"/>
    <d v="2025-04-19T00:00:00"/>
    <x v="6"/>
    <s v="CUST-429"/>
    <x v="6"/>
    <x v="6"/>
    <x v="2"/>
    <x v="3"/>
    <x v="0"/>
    <n v="1"/>
    <n v="899"/>
    <n v="0.1"/>
    <n v="89.9"/>
    <n v="899"/>
    <n v="809.1"/>
    <x v="0"/>
    <x v="0"/>
    <n v="60"/>
    <n v="0.9"/>
    <n v="0"/>
  </r>
  <r>
    <s v="ORD-5753"/>
    <d v="2025-05-20T00:00:00"/>
    <x v="8"/>
    <s v="CUST-836"/>
    <x v="3"/>
    <x v="3"/>
    <x v="3"/>
    <x v="17"/>
    <x v="1"/>
    <n v="1"/>
    <n v="2199"/>
    <n v="0"/>
    <n v="0"/>
    <n v="2199"/>
    <n v="2199"/>
    <x v="2"/>
    <x v="0"/>
    <n v="80"/>
    <n v="1"/>
    <n v="0"/>
  </r>
  <r>
    <s v="ORD-5754"/>
    <d v="2025-06-05T00:00:00"/>
    <x v="11"/>
    <s v="CUST-339"/>
    <x v="4"/>
    <x v="4"/>
    <x v="2"/>
    <x v="21"/>
    <x v="4"/>
    <n v="2"/>
    <n v="699"/>
    <n v="0.05"/>
    <n v="34.950000000000003"/>
    <n v="1398"/>
    <n v="1363.05"/>
    <x v="0"/>
    <x v="0"/>
    <n v="0"/>
    <n v="0.97499999999999998"/>
    <n v="0"/>
  </r>
  <r>
    <s v="ORD-5755"/>
    <d v="2025-11-15T00:00:00"/>
    <x v="10"/>
    <s v="CUST-640"/>
    <x v="4"/>
    <x v="4"/>
    <x v="2"/>
    <x v="17"/>
    <x v="1"/>
    <n v="3"/>
    <n v="2199"/>
    <n v="0.15"/>
    <n v="329.84999999999997"/>
    <n v="6597"/>
    <n v="6267.15"/>
    <x v="2"/>
    <x v="0"/>
    <n v="60"/>
    <n v="0.95"/>
    <n v="0"/>
  </r>
  <r>
    <s v="ORD-5756"/>
    <d v="2025-05-17T00:00:00"/>
    <x v="8"/>
    <s v="CUST-753"/>
    <x v="4"/>
    <x v="4"/>
    <x v="2"/>
    <x v="18"/>
    <x v="4"/>
    <n v="1"/>
    <n v="1299"/>
    <n v="0.1"/>
    <n v="129.9"/>
    <n v="1299"/>
    <n v="1169.0999999999999"/>
    <x v="0"/>
    <x v="0"/>
    <n v="60"/>
    <n v="0.89999999999999991"/>
    <n v="0"/>
  </r>
  <r>
    <s v="ORD-5757"/>
    <d v="2025-12-12T00:00:00"/>
    <x v="4"/>
    <s v="CUST-681"/>
    <x v="1"/>
    <x v="1"/>
    <x v="1"/>
    <x v="1"/>
    <x v="1"/>
    <n v="1"/>
    <n v="3999"/>
    <n v="0.05"/>
    <n v="199.95000000000002"/>
    <n v="3999"/>
    <n v="3799.05"/>
    <x v="2"/>
    <x v="0"/>
    <n v="40"/>
    <n v="0.95000000000000007"/>
    <n v="0"/>
  </r>
  <r>
    <s v="ORD-5758"/>
    <d v="2025-09-02T00:00:00"/>
    <x v="3"/>
    <s v="CUST-624"/>
    <x v="6"/>
    <x v="6"/>
    <x v="2"/>
    <x v="16"/>
    <x v="4"/>
    <n v="1"/>
    <n v="1599"/>
    <n v="0.25"/>
    <n v="399.75"/>
    <n v="1599"/>
    <n v="1199.25"/>
    <x v="2"/>
    <x v="0"/>
    <n v="80"/>
    <n v="0.75"/>
    <n v="0"/>
  </r>
  <r>
    <s v="ORD-5759"/>
    <d v="2025-09-15T00:00:00"/>
    <x v="3"/>
    <s v="CUST-566"/>
    <x v="6"/>
    <x v="6"/>
    <x v="2"/>
    <x v="11"/>
    <x v="2"/>
    <n v="1"/>
    <n v="5499"/>
    <n v="0.05"/>
    <n v="274.95"/>
    <n v="5499"/>
    <n v="5224.05"/>
    <x v="3"/>
    <x v="0"/>
    <n v="0"/>
    <n v="0.95000000000000007"/>
    <n v="0"/>
  </r>
  <r>
    <s v="ORD-5760"/>
    <d v="2025-10-05T00:00:00"/>
    <x v="2"/>
    <s v="CUST-476"/>
    <x v="1"/>
    <x v="1"/>
    <x v="1"/>
    <x v="17"/>
    <x v="1"/>
    <n v="2"/>
    <n v="2199"/>
    <n v="0.1"/>
    <n v="219.9"/>
    <n v="4398"/>
    <n v="4178.1000000000004"/>
    <x v="2"/>
    <x v="1"/>
    <n v="40"/>
    <n v="0.95000000000000007"/>
    <n v="0"/>
  </r>
  <r>
    <s v="ORD-5761"/>
    <d v="2025-10-05T00:00:00"/>
    <x v="2"/>
    <s v="CUST-548"/>
    <x v="1"/>
    <x v="1"/>
    <x v="1"/>
    <x v="14"/>
    <x v="4"/>
    <n v="2"/>
    <n v="399"/>
    <n v="0"/>
    <n v="0"/>
    <n v="798"/>
    <n v="798"/>
    <x v="2"/>
    <x v="0"/>
    <n v="0"/>
    <n v="1"/>
    <n v="0"/>
  </r>
  <r>
    <s v="ORD-5762"/>
    <d v="2025-12-17T00:00:00"/>
    <x v="4"/>
    <s v="CUST-658"/>
    <x v="8"/>
    <x v="1"/>
    <x v="1"/>
    <x v="22"/>
    <x v="2"/>
    <n v="1"/>
    <n v="3299"/>
    <n v="0.05"/>
    <n v="164.95000000000002"/>
    <n v="3299"/>
    <n v="3134.05"/>
    <x v="1"/>
    <x v="0"/>
    <n v="40"/>
    <n v="0.95000000000000007"/>
    <n v="0"/>
  </r>
  <r>
    <s v="ORD-5763"/>
    <d v="2025-01-31T00:00:00"/>
    <x v="7"/>
    <s v="CUST-659"/>
    <x v="2"/>
    <x v="2"/>
    <x v="2"/>
    <x v="22"/>
    <x v="2"/>
    <n v="2"/>
    <n v="3299"/>
    <n v="0.1"/>
    <n v="329.90000000000003"/>
    <n v="6598"/>
    <n v="6268.1"/>
    <x v="3"/>
    <x v="0"/>
    <n v="40"/>
    <n v="0.95000000000000007"/>
    <n v="0"/>
  </r>
  <r>
    <s v="ORD-5764"/>
    <d v="2025-03-26T00:00:00"/>
    <x v="1"/>
    <s v="CUST-387"/>
    <x v="2"/>
    <x v="2"/>
    <x v="2"/>
    <x v="1"/>
    <x v="1"/>
    <n v="1"/>
    <n v="3999"/>
    <n v="0.05"/>
    <n v="199.95000000000002"/>
    <n v="3999"/>
    <n v="3799.05"/>
    <x v="0"/>
    <x v="0"/>
    <n v="80"/>
    <n v="0.95000000000000007"/>
    <n v="0"/>
  </r>
  <r>
    <s v="ORD-5765"/>
    <d v="2025-08-01T00:00:00"/>
    <x v="0"/>
    <s v="CUST-398"/>
    <x v="8"/>
    <x v="1"/>
    <x v="1"/>
    <x v="5"/>
    <x v="0"/>
    <n v="5"/>
    <n v="2299"/>
    <n v="0.15"/>
    <n v="344.84999999999997"/>
    <n v="11495"/>
    <n v="11150.15"/>
    <x v="2"/>
    <x v="0"/>
    <n v="80"/>
    <n v="0.97"/>
    <n v="0"/>
  </r>
  <r>
    <s v="ORD-5766"/>
    <d v="2025-12-20T00:00:00"/>
    <x v="4"/>
    <s v="CUST-660"/>
    <x v="4"/>
    <x v="4"/>
    <x v="2"/>
    <x v="12"/>
    <x v="1"/>
    <n v="1"/>
    <n v="799"/>
    <n v="0.05"/>
    <n v="39.950000000000003"/>
    <n v="799"/>
    <n v="759.05"/>
    <x v="3"/>
    <x v="0"/>
    <n v="60"/>
    <n v="0.95"/>
    <n v="0"/>
  </r>
  <r>
    <s v="ORD-5767"/>
    <d v="2025-03-03T00:00:00"/>
    <x v="1"/>
    <s v="CUST-509"/>
    <x v="8"/>
    <x v="1"/>
    <x v="1"/>
    <x v="17"/>
    <x v="1"/>
    <n v="2"/>
    <n v="2199"/>
    <n v="0.1"/>
    <n v="219.9"/>
    <n v="4398"/>
    <n v="4178.1000000000004"/>
    <x v="0"/>
    <x v="0"/>
    <n v="40"/>
    <n v="0.95000000000000007"/>
    <n v="0"/>
  </r>
  <r>
    <s v="ORD-5768"/>
    <d v="2025-01-31T00:00:00"/>
    <x v="7"/>
    <s v="CUST-203"/>
    <x v="3"/>
    <x v="3"/>
    <x v="3"/>
    <x v="18"/>
    <x v="4"/>
    <n v="1"/>
    <n v="1299"/>
    <n v="0.25"/>
    <n v="324.75"/>
    <n v="1299"/>
    <n v="974.25"/>
    <x v="3"/>
    <x v="0"/>
    <n v="80"/>
    <n v="0.75"/>
    <n v="0"/>
  </r>
  <r>
    <s v="ORD-5769"/>
    <d v="2025-10-11T00:00:00"/>
    <x v="2"/>
    <s v="CUST-753"/>
    <x v="0"/>
    <x v="0"/>
    <x v="0"/>
    <x v="21"/>
    <x v="4"/>
    <n v="3"/>
    <n v="699"/>
    <n v="0.1"/>
    <n v="69.900000000000006"/>
    <n v="2097"/>
    <n v="2027.1"/>
    <x v="3"/>
    <x v="0"/>
    <n v="0"/>
    <n v="0.96666666666666667"/>
    <n v="0"/>
  </r>
  <r>
    <s v="ORD-5770"/>
    <d v="2025-01-23T00:00:00"/>
    <x v="7"/>
    <s v="CUST-795"/>
    <x v="7"/>
    <x v="7"/>
    <x v="1"/>
    <x v="18"/>
    <x v="4"/>
    <n v="1"/>
    <n v="1299"/>
    <n v="0"/>
    <n v="0"/>
    <n v="1299"/>
    <n v="1299"/>
    <x v="3"/>
    <x v="0"/>
    <n v="60"/>
    <n v="1"/>
    <n v="0"/>
  </r>
  <r>
    <s v="ORD-5771"/>
    <d v="2025-05-25T00:00:00"/>
    <x v="8"/>
    <s v="CUST-334"/>
    <x v="5"/>
    <x v="5"/>
    <x v="3"/>
    <x v="21"/>
    <x v="4"/>
    <n v="1"/>
    <n v="699"/>
    <n v="0.1"/>
    <n v="69.900000000000006"/>
    <n v="699"/>
    <n v="629.1"/>
    <x v="1"/>
    <x v="1"/>
    <n v="40"/>
    <n v="0.9"/>
    <n v="0"/>
  </r>
  <r>
    <s v="ORD-5772"/>
    <d v="2025-03-02T00:00:00"/>
    <x v="1"/>
    <s v="CUST-512"/>
    <x v="3"/>
    <x v="3"/>
    <x v="3"/>
    <x v="12"/>
    <x v="1"/>
    <n v="1"/>
    <n v="799"/>
    <n v="0.15"/>
    <n v="119.85"/>
    <n v="799"/>
    <n v="679.15"/>
    <x v="3"/>
    <x v="0"/>
    <n v="40"/>
    <n v="0.85"/>
    <n v="0"/>
  </r>
  <r>
    <s v="ORD-5773"/>
    <d v="2025-04-08T00:00:00"/>
    <x v="6"/>
    <s v="CUST-853"/>
    <x v="5"/>
    <x v="5"/>
    <x v="3"/>
    <x v="22"/>
    <x v="2"/>
    <n v="1"/>
    <n v="3299"/>
    <n v="0.1"/>
    <n v="329.90000000000003"/>
    <n v="3299"/>
    <n v="2969.1"/>
    <x v="0"/>
    <x v="1"/>
    <n v="80"/>
    <n v="0.9"/>
    <n v="0"/>
  </r>
  <r>
    <s v="ORD-5774"/>
    <d v="2025-07-30T00:00:00"/>
    <x v="5"/>
    <s v="CUST-483"/>
    <x v="2"/>
    <x v="2"/>
    <x v="2"/>
    <x v="15"/>
    <x v="3"/>
    <n v="4"/>
    <n v="299"/>
    <n v="0"/>
    <n v="0"/>
    <n v="1196"/>
    <n v="1196"/>
    <x v="0"/>
    <x v="0"/>
    <n v="60"/>
    <n v="1"/>
    <n v="0"/>
  </r>
  <r>
    <s v="ORD-5775"/>
    <d v="2025-02-18T00:00:00"/>
    <x v="9"/>
    <s v="CUST-398"/>
    <x v="5"/>
    <x v="5"/>
    <x v="3"/>
    <x v="14"/>
    <x v="4"/>
    <n v="1"/>
    <n v="399"/>
    <n v="0.2"/>
    <n v="79.800000000000011"/>
    <n v="399"/>
    <n v="319.2"/>
    <x v="3"/>
    <x v="0"/>
    <n v="40"/>
    <n v="0.79999999999999993"/>
    <n v="0"/>
  </r>
  <r>
    <s v="ORD-5776"/>
    <d v="2025-06-15T00:00:00"/>
    <x v="11"/>
    <s v="CUST-797"/>
    <x v="3"/>
    <x v="3"/>
    <x v="3"/>
    <x v="17"/>
    <x v="1"/>
    <n v="1"/>
    <n v="2199"/>
    <n v="0.05"/>
    <n v="109.95"/>
    <n v="2199"/>
    <n v="2089.0500000000002"/>
    <x v="1"/>
    <x v="0"/>
    <n v="60"/>
    <n v="0.95000000000000007"/>
    <n v="0"/>
  </r>
  <r>
    <s v="ORD-5777"/>
    <d v="2025-07-24T00:00:00"/>
    <x v="5"/>
    <s v="CUST-520"/>
    <x v="3"/>
    <x v="3"/>
    <x v="3"/>
    <x v="22"/>
    <x v="2"/>
    <n v="3"/>
    <n v="3299"/>
    <n v="0.1"/>
    <n v="329.90000000000003"/>
    <n v="9897"/>
    <n v="9567.1"/>
    <x v="1"/>
    <x v="0"/>
    <n v="40"/>
    <n v="0.96666666666666667"/>
    <n v="0"/>
  </r>
  <r>
    <s v="ORD-5778"/>
    <d v="2025-09-21T00:00:00"/>
    <x v="3"/>
    <s v="CUST-247"/>
    <x v="4"/>
    <x v="4"/>
    <x v="2"/>
    <x v="18"/>
    <x v="4"/>
    <n v="2"/>
    <n v="1299"/>
    <n v="0.1"/>
    <n v="129.9"/>
    <n v="2598"/>
    <n v="2468.1"/>
    <x v="1"/>
    <x v="0"/>
    <n v="40"/>
    <n v="0.95"/>
    <n v="0"/>
  </r>
  <r>
    <s v="ORD-5779"/>
    <d v="2025-09-11T00:00:00"/>
    <x v="3"/>
    <s v="CUST-536"/>
    <x v="6"/>
    <x v="6"/>
    <x v="2"/>
    <x v="8"/>
    <x v="1"/>
    <n v="1"/>
    <n v="2499"/>
    <n v="0.15"/>
    <n v="374.84999999999997"/>
    <n v="2499"/>
    <n v="2124.15"/>
    <x v="2"/>
    <x v="2"/>
    <n v="60"/>
    <n v="0.85000000000000009"/>
    <n v="0"/>
  </r>
  <r>
    <s v="ORD-5780"/>
    <d v="2025-11-19T00:00:00"/>
    <x v="10"/>
    <s v="CUST-598"/>
    <x v="6"/>
    <x v="6"/>
    <x v="2"/>
    <x v="10"/>
    <x v="0"/>
    <n v="1"/>
    <n v="599"/>
    <n v="0.1"/>
    <n v="59.900000000000006"/>
    <n v="599"/>
    <n v="539.1"/>
    <x v="2"/>
    <x v="0"/>
    <n v="0"/>
    <n v="0.9"/>
    <n v="0"/>
  </r>
  <r>
    <s v="ORD-5781"/>
    <d v="2025-06-03T00:00:00"/>
    <x v="11"/>
    <s v="CUST-719"/>
    <x v="3"/>
    <x v="3"/>
    <x v="3"/>
    <x v="20"/>
    <x v="3"/>
    <n v="2"/>
    <n v="499"/>
    <n v="0.15"/>
    <n v="74.849999999999994"/>
    <n v="998"/>
    <n v="923.15"/>
    <x v="3"/>
    <x v="0"/>
    <n v="60"/>
    <n v="0.92499999999999993"/>
    <n v="0"/>
  </r>
  <r>
    <s v="ORD-5782"/>
    <d v="2025-03-01T00:00:00"/>
    <x v="1"/>
    <s v="CUST-397"/>
    <x v="4"/>
    <x v="4"/>
    <x v="2"/>
    <x v="4"/>
    <x v="3"/>
    <n v="1"/>
    <n v="349"/>
    <n v="0"/>
    <n v="0"/>
    <n v="349"/>
    <n v="349"/>
    <x v="1"/>
    <x v="0"/>
    <n v="60"/>
    <n v="1"/>
    <n v="0"/>
  </r>
  <r>
    <s v="ORD-5783"/>
    <d v="2025-06-23T00:00:00"/>
    <x v="11"/>
    <s v="CUST-268"/>
    <x v="1"/>
    <x v="1"/>
    <x v="1"/>
    <x v="22"/>
    <x v="2"/>
    <n v="1"/>
    <n v="3299"/>
    <n v="0"/>
    <n v="0"/>
    <n v="3299"/>
    <n v="3299"/>
    <x v="3"/>
    <x v="0"/>
    <n v="60"/>
    <n v="1"/>
    <n v="0"/>
  </r>
  <r>
    <s v="ORD-5784"/>
    <d v="2025-09-29T00:00:00"/>
    <x v="3"/>
    <s v="CUST-253"/>
    <x v="8"/>
    <x v="1"/>
    <x v="1"/>
    <x v="13"/>
    <x v="2"/>
    <n v="2"/>
    <n v="449"/>
    <n v="0.05"/>
    <n v="22.450000000000003"/>
    <n v="898"/>
    <n v="875.55"/>
    <x v="1"/>
    <x v="0"/>
    <n v="40"/>
    <n v="0.97499999999999998"/>
    <n v="0"/>
  </r>
  <r>
    <s v="ORD-5785"/>
    <d v="2025-06-01T00:00:00"/>
    <x v="11"/>
    <s v="CUST-731"/>
    <x v="4"/>
    <x v="4"/>
    <x v="2"/>
    <x v="7"/>
    <x v="1"/>
    <n v="4"/>
    <n v="1299"/>
    <n v="0.15"/>
    <n v="194.85"/>
    <n v="5196"/>
    <n v="5001.1499999999996"/>
    <x v="3"/>
    <x v="0"/>
    <n v="60"/>
    <n v="0.96249999999999991"/>
    <n v="0"/>
  </r>
  <r>
    <s v="ORD-5786"/>
    <d v="2025-12-27T00:00:00"/>
    <x v="4"/>
    <s v="CUST-542"/>
    <x v="8"/>
    <x v="1"/>
    <x v="1"/>
    <x v="14"/>
    <x v="4"/>
    <n v="1"/>
    <n v="399"/>
    <n v="0.25"/>
    <n v="99.75"/>
    <n v="399"/>
    <n v="299.25"/>
    <x v="2"/>
    <x v="0"/>
    <n v="40"/>
    <n v="0.75"/>
    <n v="0"/>
  </r>
  <r>
    <s v="ORD-5787"/>
    <d v="2025-04-16T00:00:00"/>
    <x v="6"/>
    <s v="CUST-594"/>
    <x v="2"/>
    <x v="2"/>
    <x v="2"/>
    <x v="8"/>
    <x v="1"/>
    <n v="1"/>
    <n v="2499"/>
    <n v="0.05"/>
    <n v="124.95"/>
    <n v="2499"/>
    <n v="2374.0500000000002"/>
    <x v="3"/>
    <x v="1"/>
    <n v="60"/>
    <n v="0.95000000000000007"/>
    <n v="0"/>
  </r>
  <r>
    <s v="ORD-5788"/>
    <d v="2025-10-10T00:00:00"/>
    <x v="2"/>
    <s v="CUST-728"/>
    <x v="8"/>
    <x v="1"/>
    <x v="1"/>
    <x v="0"/>
    <x v="0"/>
    <n v="2"/>
    <n v="1799"/>
    <n v="0.05"/>
    <n v="89.95"/>
    <n v="3598"/>
    <n v="3508.05"/>
    <x v="3"/>
    <x v="0"/>
    <n v="80"/>
    <n v="0.97500000000000009"/>
    <n v="0"/>
  </r>
  <r>
    <s v="ORD-5789"/>
    <d v="2025-04-11T00:00:00"/>
    <x v="6"/>
    <s v="CUST-228"/>
    <x v="1"/>
    <x v="1"/>
    <x v="1"/>
    <x v="17"/>
    <x v="1"/>
    <n v="2"/>
    <n v="2199"/>
    <n v="0.15"/>
    <n v="329.84999999999997"/>
    <n v="4398"/>
    <n v="4068.15"/>
    <x v="2"/>
    <x v="0"/>
    <n v="80"/>
    <n v="0.92500000000000004"/>
    <n v="0"/>
  </r>
  <r>
    <s v="ORD-5790"/>
    <d v="2025-06-29T00:00:00"/>
    <x v="11"/>
    <s v="CUST-690"/>
    <x v="9"/>
    <x v="8"/>
    <x v="1"/>
    <x v="22"/>
    <x v="2"/>
    <n v="1"/>
    <n v="3299"/>
    <n v="0.15"/>
    <n v="494.84999999999997"/>
    <n v="3299"/>
    <n v="2804.15"/>
    <x v="0"/>
    <x v="0"/>
    <n v="40"/>
    <n v="0.85"/>
    <n v="0"/>
  </r>
  <r>
    <s v="ORD-5791"/>
    <d v="2025-02-22T00:00:00"/>
    <x v="9"/>
    <s v="CUST-705"/>
    <x v="1"/>
    <x v="1"/>
    <x v="1"/>
    <x v="8"/>
    <x v="1"/>
    <n v="1"/>
    <n v="2499"/>
    <n v="0.2"/>
    <n v="499.8"/>
    <n v="2499"/>
    <n v="1999.2"/>
    <x v="3"/>
    <x v="0"/>
    <n v="0"/>
    <n v="0.8"/>
    <n v="0"/>
  </r>
  <r>
    <s v="ORD-5792"/>
    <d v="2025-08-05T00:00:00"/>
    <x v="0"/>
    <s v="CUST-899"/>
    <x v="4"/>
    <x v="4"/>
    <x v="2"/>
    <x v="11"/>
    <x v="2"/>
    <n v="1"/>
    <n v="5499"/>
    <n v="0"/>
    <n v="0"/>
    <n v="5499"/>
    <n v="5499"/>
    <x v="0"/>
    <x v="0"/>
    <n v="80"/>
    <n v="1"/>
    <n v="0"/>
  </r>
  <r>
    <s v="ORD-5793"/>
    <d v="2025-03-26T00:00:00"/>
    <x v="1"/>
    <s v="CUST-896"/>
    <x v="0"/>
    <x v="0"/>
    <x v="0"/>
    <x v="8"/>
    <x v="1"/>
    <n v="3"/>
    <n v="2499"/>
    <n v="0"/>
    <n v="0"/>
    <n v="7497"/>
    <n v="7497"/>
    <x v="2"/>
    <x v="1"/>
    <n v="80"/>
    <n v="1"/>
    <n v="0"/>
  </r>
  <r>
    <s v="ORD-5794"/>
    <d v="2025-12-01T00:00:00"/>
    <x v="4"/>
    <s v="CUST-813"/>
    <x v="7"/>
    <x v="7"/>
    <x v="1"/>
    <x v="16"/>
    <x v="4"/>
    <n v="2"/>
    <n v="1599"/>
    <n v="0.25"/>
    <n v="399.75"/>
    <n v="3198"/>
    <n v="2798.25"/>
    <x v="2"/>
    <x v="0"/>
    <n v="40"/>
    <n v="0.875"/>
    <n v="0"/>
  </r>
  <r>
    <s v="ORD-5795"/>
    <d v="2025-01-25T00:00:00"/>
    <x v="7"/>
    <s v="CUST-820"/>
    <x v="9"/>
    <x v="8"/>
    <x v="1"/>
    <x v="6"/>
    <x v="0"/>
    <n v="1"/>
    <n v="1599"/>
    <n v="0.15"/>
    <n v="239.85"/>
    <n v="1599"/>
    <n v="1359.15"/>
    <x v="3"/>
    <x v="0"/>
    <n v="40"/>
    <n v="0.85000000000000009"/>
    <n v="0"/>
  </r>
  <r>
    <s v="ORD-5796"/>
    <d v="2025-02-07T00:00:00"/>
    <x v="9"/>
    <s v="CUST-594"/>
    <x v="2"/>
    <x v="2"/>
    <x v="2"/>
    <x v="19"/>
    <x v="2"/>
    <n v="5"/>
    <n v="1499"/>
    <n v="0.1"/>
    <n v="149.9"/>
    <n v="7495"/>
    <n v="7345.1"/>
    <x v="0"/>
    <x v="2"/>
    <n v="80"/>
    <n v="0.98000000000000009"/>
    <n v="0"/>
  </r>
  <r>
    <s v="ORD-5797"/>
    <d v="2025-06-19T00:00:00"/>
    <x v="11"/>
    <s v="CUST-239"/>
    <x v="9"/>
    <x v="8"/>
    <x v="1"/>
    <x v="3"/>
    <x v="0"/>
    <n v="1"/>
    <n v="899"/>
    <n v="0.1"/>
    <n v="89.9"/>
    <n v="899"/>
    <n v="809.1"/>
    <x v="0"/>
    <x v="0"/>
    <n v="40"/>
    <n v="0.9"/>
    <n v="0"/>
  </r>
  <r>
    <s v="ORD-5798"/>
    <d v="2025-10-07T00:00:00"/>
    <x v="2"/>
    <s v="CUST-313"/>
    <x v="4"/>
    <x v="4"/>
    <x v="2"/>
    <x v="22"/>
    <x v="2"/>
    <n v="1"/>
    <n v="3299"/>
    <n v="0.2"/>
    <n v="659.80000000000007"/>
    <n v="3299"/>
    <n v="2639.2"/>
    <x v="3"/>
    <x v="0"/>
    <n v="80"/>
    <n v="0.79999999999999993"/>
    <n v="0"/>
  </r>
  <r>
    <s v="ORD-5799"/>
    <d v="2025-04-18T00:00:00"/>
    <x v="6"/>
    <s v="CUST-685"/>
    <x v="3"/>
    <x v="3"/>
    <x v="3"/>
    <x v="5"/>
    <x v="0"/>
    <n v="1"/>
    <n v="2299"/>
    <n v="0.1"/>
    <n v="229.9"/>
    <n v="2299"/>
    <n v="2069.1"/>
    <x v="0"/>
    <x v="0"/>
    <n v="0"/>
    <n v="0.89999999999999991"/>
    <n v="0"/>
  </r>
  <r>
    <s v="ORD-5800"/>
    <d v="2025-10-18T00:00:00"/>
    <x v="2"/>
    <s v="CUST-728"/>
    <x v="8"/>
    <x v="1"/>
    <x v="1"/>
    <x v="3"/>
    <x v="0"/>
    <n v="1"/>
    <n v="899"/>
    <n v="0"/>
    <n v="0"/>
    <n v="899"/>
    <n v="899"/>
    <x v="2"/>
    <x v="0"/>
    <n v="80"/>
    <n v="1"/>
    <n v="0"/>
  </r>
  <r>
    <s v="ORD-5801"/>
    <d v="2025-05-04T00:00:00"/>
    <x v="8"/>
    <s v="CUST-306"/>
    <x v="1"/>
    <x v="1"/>
    <x v="1"/>
    <x v="17"/>
    <x v="1"/>
    <n v="1"/>
    <n v="2199"/>
    <n v="0.1"/>
    <n v="219.9"/>
    <n v="2199"/>
    <n v="1979.1"/>
    <x v="3"/>
    <x v="0"/>
    <n v="40"/>
    <n v="0.89999999999999991"/>
    <n v="0"/>
  </r>
  <r>
    <s v="ORD-5802"/>
    <d v="2025-06-08T00:00:00"/>
    <x v="11"/>
    <s v="CUST-356"/>
    <x v="1"/>
    <x v="1"/>
    <x v="1"/>
    <x v="21"/>
    <x v="4"/>
    <n v="1"/>
    <n v="699"/>
    <n v="0"/>
    <n v="0"/>
    <n v="699"/>
    <n v="699"/>
    <x v="3"/>
    <x v="0"/>
    <n v="0"/>
    <n v="1"/>
    <n v="0"/>
  </r>
  <r>
    <s v="ORD-5803"/>
    <d v="2025-11-13T00:00:00"/>
    <x v="10"/>
    <s v="CUST-652"/>
    <x v="6"/>
    <x v="6"/>
    <x v="2"/>
    <x v="13"/>
    <x v="2"/>
    <n v="1"/>
    <n v="449"/>
    <n v="0.1"/>
    <n v="44.900000000000006"/>
    <n v="449"/>
    <n v="404.1"/>
    <x v="3"/>
    <x v="0"/>
    <n v="0"/>
    <n v="0.9"/>
    <n v="0"/>
  </r>
  <r>
    <s v="ORD-5804"/>
    <d v="2025-08-14T00:00:00"/>
    <x v="0"/>
    <s v="CUST-656"/>
    <x v="0"/>
    <x v="0"/>
    <x v="0"/>
    <x v="12"/>
    <x v="1"/>
    <n v="2"/>
    <n v="799"/>
    <n v="0.2"/>
    <n v="159.80000000000001"/>
    <n v="1598"/>
    <n v="1438.2"/>
    <x v="0"/>
    <x v="0"/>
    <n v="60"/>
    <n v="0.9"/>
    <n v="0"/>
  </r>
  <r>
    <s v="ORD-5805"/>
    <d v="2025-02-24T00:00:00"/>
    <x v="9"/>
    <s v="CUST-698"/>
    <x v="4"/>
    <x v="4"/>
    <x v="2"/>
    <x v="7"/>
    <x v="1"/>
    <n v="1"/>
    <n v="1299"/>
    <n v="0.1"/>
    <n v="129.9"/>
    <n v="1299"/>
    <n v="1169.0999999999999"/>
    <x v="3"/>
    <x v="1"/>
    <n v="40"/>
    <n v="0.89999999999999991"/>
    <n v="0"/>
  </r>
  <r>
    <s v="ORD-5806"/>
    <d v="2025-06-28T00:00:00"/>
    <x v="11"/>
    <s v="CUST-811"/>
    <x v="6"/>
    <x v="6"/>
    <x v="2"/>
    <x v="22"/>
    <x v="2"/>
    <n v="1"/>
    <n v="3299"/>
    <n v="0.05"/>
    <n v="164.95000000000002"/>
    <n v="3299"/>
    <n v="3134.05"/>
    <x v="2"/>
    <x v="0"/>
    <n v="0"/>
    <n v="0.95000000000000007"/>
    <n v="0"/>
  </r>
  <r>
    <s v="ORD-5807"/>
    <d v="2025-06-17T00:00:00"/>
    <x v="11"/>
    <s v="CUST-472"/>
    <x v="2"/>
    <x v="2"/>
    <x v="2"/>
    <x v="0"/>
    <x v="0"/>
    <n v="1"/>
    <n v="1799"/>
    <n v="0.1"/>
    <n v="179.9"/>
    <n v="1799"/>
    <n v="1619.1"/>
    <x v="2"/>
    <x v="0"/>
    <n v="0"/>
    <n v="0.89999999999999991"/>
    <n v="0"/>
  </r>
  <r>
    <s v="ORD-5808"/>
    <d v="2025-08-12T00:00:00"/>
    <x v="0"/>
    <s v="CUST-312"/>
    <x v="8"/>
    <x v="1"/>
    <x v="1"/>
    <x v="19"/>
    <x v="2"/>
    <n v="2"/>
    <n v="1499"/>
    <n v="0.1"/>
    <n v="149.9"/>
    <n v="2998"/>
    <n v="2848.1"/>
    <x v="0"/>
    <x v="0"/>
    <n v="0"/>
    <n v="0.95"/>
    <n v="0"/>
  </r>
  <r>
    <s v="ORD-5809"/>
    <d v="2025-03-24T00:00:00"/>
    <x v="1"/>
    <s v="CUST-345"/>
    <x v="1"/>
    <x v="1"/>
    <x v="1"/>
    <x v="10"/>
    <x v="0"/>
    <n v="1"/>
    <n v="599"/>
    <n v="0.05"/>
    <n v="29.950000000000003"/>
    <n v="599"/>
    <n v="569.04999999999995"/>
    <x v="3"/>
    <x v="0"/>
    <n v="0"/>
    <n v="0.95"/>
    <n v="0"/>
  </r>
  <r>
    <s v="ORD-5810"/>
    <d v="2025-06-15T00:00:00"/>
    <x v="11"/>
    <s v="CUST-630"/>
    <x v="6"/>
    <x v="6"/>
    <x v="2"/>
    <x v="11"/>
    <x v="2"/>
    <n v="2"/>
    <n v="5499"/>
    <n v="0.05"/>
    <n v="274.95"/>
    <n v="10998"/>
    <n v="10723.05"/>
    <x v="3"/>
    <x v="0"/>
    <n v="0"/>
    <n v="0.97499999999999998"/>
    <n v="0"/>
  </r>
  <r>
    <s v="ORD-5811"/>
    <d v="2025-08-05T00:00:00"/>
    <x v="0"/>
    <s v="CUST-773"/>
    <x v="4"/>
    <x v="4"/>
    <x v="2"/>
    <x v="0"/>
    <x v="0"/>
    <n v="1"/>
    <n v="1799"/>
    <n v="0.1"/>
    <n v="179.9"/>
    <n v="1799"/>
    <n v="1619.1"/>
    <x v="1"/>
    <x v="0"/>
    <n v="80"/>
    <n v="0.89999999999999991"/>
    <n v="0"/>
  </r>
  <r>
    <s v="ORD-5812"/>
    <d v="2025-08-31T00:00:00"/>
    <x v="0"/>
    <s v="CUST-459"/>
    <x v="8"/>
    <x v="1"/>
    <x v="1"/>
    <x v="2"/>
    <x v="2"/>
    <n v="2"/>
    <n v="2799"/>
    <n v="0"/>
    <n v="0"/>
    <n v="5598"/>
    <n v="5598"/>
    <x v="3"/>
    <x v="0"/>
    <n v="0"/>
    <n v="1"/>
    <n v="0"/>
  </r>
  <r>
    <s v="ORD-5813"/>
    <d v="2025-10-21T00:00:00"/>
    <x v="2"/>
    <s v="CUST-500"/>
    <x v="8"/>
    <x v="1"/>
    <x v="1"/>
    <x v="5"/>
    <x v="0"/>
    <n v="1"/>
    <n v="2299"/>
    <n v="0.1"/>
    <n v="229.9"/>
    <n v="2299"/>
    <n v="2069.1"/>
    <x v="0"/>
    <x v="1"/>
    <n v="60"/>
    <n v="0.89999999999999991"/>
    <n v="0"/>
  </r>
  <r>
    <s v="ORD-5814"/>
    <d v="2025-11-15T00:00:00"/>
    <x v="10"/>
    <s v="CUST-222"/>
    <x v="1"/>
    <x v="1"/>
    <x v="1"/>
    <x v="5"/>
    <x v="0"/>
    <n v="2"/>
    <n v="2299"/>
    <n v="0"/>
    <n v="0"/>
    <n v="4598"/>
    <n v="4598"/>
    <x v="0"/>
    <x v="0"/>
    <n v="40"/>
    <n v="1"/>
    <n v="0"/>
  </r>
  <r>
    <s v="ORD-5815"/>
    <d v="2025-04-08T00:00:00"/>
    <x v="6"/>
    <s v="CUST-827"/>
    <x v="8"/>
    <x v="1"/>
    <x v="1"/>
    <x v="22"/>
    <x v="2"/>
    <n v="2"/>
    <n v="3299"/>
    <n v="0.15"/>
    <n v="494.84999999999997"/>
    <n v="6598"/>
    <n v="6103.15"/>
    <x v="0"/>
    <x v="0"/>
    <n v="0"/>
    <n v="0.92499999999999993"/>
    <n v="0"/>
  </r>
  <r>
    <s v="ORD-5816"/>
    <d v="2025-11-23T00:00:00"/>
    <x v="10"/>
    <s v="CUST-255"/>
    <x v="1"/>
    <x v="1"/>
    <x v="1"/>
    <x v="13"/>
    <x v="2"/>
    <n v="1"/>
    <n v="449"/>
    <n v="0.15"/>
    <n v="67.349999999999994"/>
    <n v="449"/>
    <n v="381.65"/>
    <x v="3"/>
    <x v="0"/>
    <n v="0"/>
    <n v="0.85"/>
    <n v="0"/>
  </r>
  <r>
    <s v="ORD-5817"/>
    <d v="2025-04-16T00:00:00"/>
    <x v="6"/>
    <s v="CUST-887"/>
    <x v="3"/>
    <x v="3"/>
    <x v="3"/>
    <x v="8"/>
    <x v="1"/>
    <n v="2"/>
    <n v="2499"/>
    <n v="0.2"/>
    <n v="499.8"/>
    <n v="4998"/>
    <n v="4498.2"/>
    <x v="3"/>
    <x v="0"/>
    <n v="80"/>
    <n v="0.89999999999999991"/>
    <n v="0"/>
  </r>
  <r>
    <s v="ORD-5818"/>
    <d v="2025-12-31T00:00:00"/>
    <x v="4"/>
    <s v="CUST-252"/>
    <x v="4"/>
    <x v="4"/>
    <x v="2"/>
    <x v="19"/>
    <x v="2"/>
    <n v="1"/>
    <n v="1499"/>
    <n v="0.1"/>
    <n v="149.9"/>
    <n v="1499"/>
    <n v="1349.1"/>
    <x v="3"/>
    <x v="0"/>
    <n v="40"/>
    <n v="0.89999999999999991"/>
    <n v="0"/>
  </r>
  <r>
    <s v="ORD-5819"/>
    <d v="2025-01-26T00:00:00"/>
    <x v="7"/>
    <s v="CUST-771"/>
    <x v="4"/>
    <x v="4"/>
    <x v="2"/>
    <x v="0"/>
    <x v="0"/>
    <n v="1"/>
    <n v="1799"/>
    <n v="0.15"/>
    <n v="269.84999999999997"/>
    <n v="1799"/>
    <n v="1529.15"/>
    <x v="2"/>
    <x v="0"/>
    <n v="0"/>
    <n v="0.85000000000000009"/>
    <n v="0"/>
  </r>
  <r>
    <s v="ORD-5820"/>
    <d v="2025-03-05T00:00:00"/>
    <x v="1"/>
    <s v="CUST-895"/>
    <x v="6"/>
    <x v="6"/>
    <x v="2"/>
    <x v="13"/>
    <x v="2"/>
    <n v="1"/>
    <n v="449"/>
    <n v="0"/>
    <n v="0"/>
    <n v="449"/>
    <n v="449"/>
    <x v="3"/>
    <x v="0"/>
    <n v="40"/>
    <n v="1"/>
    <n v="0"/>
  </r>
  <r>
    <s v="ORD-5821"/>
    <d v="2025-06-22T00:00:00"/>
    <x v="11"/>
    <s v="CUST-695"/>
    <x v="1"/>
    <x v="1"/>
    <x v="1"/>
    <x v="9"/>
    <x v="1"/>
    <n v="1"/>
    <n v="1899"/>
    <n v="0.1"/>
    <n v="189.9"/>
    <n v="1899"/>
    <n v="1709.1"/>
    <x v="3"/>
    <x v="1"/>
    <n v="60"/>
    <n v="0.89999999999999991"/>
    <n v="0"/>
  </r>
  <r>
    <s v="ORD-5822"/>
    <d v="2025-09-05T00:00:00"/>
    <x v="3"/>
    <s v="CUST-305"/>
    <x v="4"/>
    <x v="4"/>
    <x v="2"/>
    <x v="12"/>
    <x v="1"/>
    <n v="1"/>
    <n v="799"/>
    <n v="0.1"/>
    <n v="79.900000000000006"/>
    <n v="799"/>
    <n v="719.1"/>
    <x v="0"/>
    <x v="0"/>
    <n v="60"/>
    <n v="0.9"/>
    <n v="0"/>
  </r>
  <r>
    <s v="ORD-5823"/>
    <d v="2025-11-17T00:00:00"/>
    <x v="10"/>
    <s v="CUST-481"/>
    <x v="1"/>
    <x v="1"/>
    <x v="1"/>
    <x v="0"/>
    <x v="0"/>
    <n v="2"/>
    <n v="1799"/>
    <n v="0"/>
    <n v="0"/>
    <n v="3598"/>
    <n v="3598"/>
    <x v="3"/>
    <x v="0"/>
    <n v="80"/>
    <n v="1"/>
    <n v="0"/>
  </r>
  <r>
    <s v="ORD-5824"/>
    <d v="2025-05-06T00:00:00"/>
    <x v="8"/>
    <s v="CUST-332"/>
    <x v="8"/>
    <x v="1"/>
    <x v="1"/>
    <x v="8"/>
    <x v="1"/>
    <n v="4"/>
    <n v="2499"/>
    <n v="0.1"/>
    <n v="249.9"/>
    <n v="9996"/>
    <n v="9746.1"/>
    <x v="3"/>
    <x v="0"/>
    <n v="60"/>
    <n v="0.97500000000000009"/>
    <n v="0"/>
  </r>
  <r>
    <s v="ORD-5825"/>
    <d v="2025-11-30T00:00:00"/>
    <x v="10"/>
    <s v="CUST-568"/>
    <x v="4"/>
    <x v="4"/>
    <x v="2"/>
    <x v="11"/>
    <x v="2"/>
    <n v="1"/>
    <n v="5499"/>
    <n v="0.25"/>
    <n v="1374.75"/>
    <n v="5499"/>
    <n v="4124.25"/>
    <x v="2"/>
    <x v="0"/>
    <n v="0"/>
    <n v="0.75"/>
    <n v="0"/>
  </r>
  <r>
    <s v="ORD-5826"/>
    <d v="2025-07-21T00:00:00"/>
    <x v="5"/>
    <s v="CUST-596"/>
    <x v="3"/>
    <x v="3"/>
    <x v="3"/>
    <x v="18"/>
    <x v="4"/>
    <n v="1"/>
    <n v="1299"/>
    <n v="0.1"/>
    <n v="129.9"/>
    <n v="1299"/>
    <n v="1169.0999999999999"/>
    <x v="3"/>
    <x v="0"/>
    <n v="80"/>
    <n v="0.89999999999999991"/>
    <n v="0"/>
  </r>
  <r>
    <s v="ORD-5827"/>
    <d v="2025-07-29T00:00:00"/>
    <x v="5"/>
    <s v="CUST-835"/>
    <x v="1"/>
    <x v="1"/>
    <x v="1"/>
    <x v="3"/>
    <x v="0"/>
    <n v="2"/>
    <n v="899"/>
    <n v="0.1"/>
    <n v="89.9"/>
    <n v="1798"/>
    <n v="1708.1"/>
    <x v="3"/>
    <x v="0"/>
    <n v="0"/>
    <n v="0.95"/>
    <n v="0"/>
  </r>
  <r>
    <s v="ORD-5828"/>
    <d v="2025-03-08T00:00:00"/>
    <x v="1"/>
    <s v="CUST-308"/>
    <x v="2"/>
    <x v="2"/>
    <x v="2"/>
    <x v="6"/>
    <x v="0"/>
    <n v="1"/>
    <n v="1599"/>
    <n v="0.1"/>
    <n v="159.9"/>
    <n v="1599"/>
    <n v="1439.1"/>
    <x v="0"/>
    <x v="0"/>
    <n v="40"/>
    <n v="0.89999999999999991"/>
    <n v="0"/>
  </r>
  <r>
    <s v="ORD-5829"/>
    <d v="2025-08-16T00:00:00"/>
    <x v="0"/>
    <s v="CUST-712"/>
    <x v="2"/>
    <x v="2"/>
    <x v="2"/>
    <x v="6"/>
    <x v="0"/>
    <n v="2"/>
    <n v="1599"/>
    <n v="0.05"/>
    <n v="79.95"/>
    <n v="3198"/>
    <n v="3118.05"/>
    <x v="3"/>
    <x v="0"/>
    <n v="40"/>
    <n v="0.97500000000000009"/>
    <n v="0"/>
  </r>
  <r>
    <s v="ORD-5830"/>
    <d v="2025-03-11T00:00:00"/>
    <x v="1"/>
    <s v="CUST-767"/>
    <x v="4"/>
    <x v="4"/>
    <x v="2"/>
    <x v="7"/>
    <x v="1"/>
    <n v="3"/>
    <n v="1299"/>
    <n v="0.15"/>
    <n v="194.85"/>
    <n v="3897"/>
    <n v="3702.15"/>
    <x v="3"/>
    <x v="1"/>
    <n v="40"/>
    <n v="0.95000000000000007"/>
    <n v="0"/>
  </r>
  <r>
    <s v="ORD-5831"/>
    <d v="2025-01-02T00:00:00"/>
    <x v="7"/>
    <s v="CUST-604"/>
    <x v="0"/>
    <x v="0"/>
    <x v="0"/>
    <x v="15"/>
    <x v="3"/>
    <n v="2"/>
    <n v="299"/>
    <n v="0"/>
    <n v="0"/>
    <n v="598"/>
    <n v="598"/>
    <x v="3"/>
    <x v="0"/>
    <n v="60"/>
    <n v="1"/>
    <n v="0"/>
  </r>
  <r>
    <s v="ORD-5832"/>
    <d v="2025-08-20T00:00:00"/>
    <x v="0"/>
    <s v="CUST-218"/>
    <x v="8"/>
    <x v="1"/>
    <x v="1"/>
    <x v="11"/>
    <x v="2"/>
    <n v="1"/>
    <n v="5499"/>
    <n v="0.2"/>
    <n v="1099.8"/>
    <n v="5499"/>
    <n v="4399.2"/>
    <x v="1"/>
    <x v="0"/>
    <n v="80"/>
    <n v="0.79999999999999993"/>
    <n v="0"/>
  </r>
  <r>
    <s v="ORD-5833"/>
    <d v="2025-10-15T00:00:00"/>
    <x v="2"/>
    <s v="CUST-304"/>
    <x v="1"/>
    <x v="1"/>
    <x v="1"/>
    <x v="18"/>
    <x v="4"/>
    <n v="3"/>
    <n v="1299"/>
    <n v="0.1"/>
    <n v="129.9"/>
    <n v="3897"/>
    <n v="3767.1"/>
    <x v="0"/>
    <x v="0"/>
    <n v="40"/>
    <n v="0.96666666666666667"/>
    <n v="0"/>
  </r>
  <r>
    <s v="ORD-5834"/>
    <d v="2025-11-18T00:00:00"/>
    <x v="10"/>
    <s v="CUST-847"/>
    <x v="6"/>
    <x v="6"/>
    <x v="2"/>
    <x v="9"/>
    <x v="1"/>
    <n v="1"/>
    <n v="1899"/>
    <n v="0.15"/>
    <n v="284.84999999999997"/>
    <n v="1899"/>
    <n v="1614.15"/>
    <x v="3"/>
    <x v="1"/>
    <n v="0"/>
    <n v="0.85000000000000009"/>
    <n v="0"/>
  </r>
  <r>
    <s v="ORD-5835"/>
    <d v="2025-01-19T00:00:00"/>
    <x v="7"/>
    <s v="CUST-529"/>
    <x v="7"/>
    <x v="7"/>
    <x v="1"/>
    <x v="0"/>
    <x v="0"/>
    <n v="3"/>
    <n v="1799"/>
    <n v="0.25"/>
    <n v="449.75"/>
    <n v="5397"/>
    <n v="4947.25"/>
    <x v="2"/>
    <x v="0"/>
    <n v="80"/>
    <n v="0.91666666666666663"/>
    <n v="0"/>
  </r>
  <r>
    <s v="ORD-5836"/>
    <d v="2025-02-09T00:00:00"/>
    <x v="9"/>
    <s v="CUST-377"/>
    <x v="1"/>
    <x v="1"/>
    <x v="1"/>
    <x v="14"/>
    <x v="4"/>
    <n v="1"/>
    <n v="399"/>
    <n v="0"/>
    <n v="0"/>
    <n v="399"/>
    <n v="399"/>
    <x v="3"/>
    <x v="0"/>
    <n v="40"/>
    <n v="1"/>
    <n v="0"/>
  </r>
  <r>
    <s v="ORD-5837"/>
    <d v="2025-08-12T00:00:00"/>
    <x v="0"/>
    <s v="CUST-431"/>
    <x v="3"/>
    <x v="3"/>
    <x v="3"/>
    <x v="15"/>
    <x v="3"/>
    <n v="1"/>
    <n v="299"/>
    <n v="0.1"/>
    <n v="29.900000000000002"/>
    <n v="299"/>
    <n v="269.10000000000002"/>
    <x v="3"/>
    <x v="0"/>
    <n v="40"/>
    <n v="0.9"/>
    <n v="0"/>
  </r>
  <r>
    <s v="ORD-5838"/>
    <d v="2025-07-19T00:00:00"/>
    <x v="5"/>
    <s v="CUST-566"/>
    <x v="7"/>
    <x v="7"/>
    <x v="1"/>
    <x v="1"/>
    <x v="1"/>
    <n v="2"/>
    <n v="3999"/>
    <n v="0.15"/>
    <n v="599.85"/>
    <n v="7998"/>
    <n v="7398.15"/>
    <x v="2"/>
    <x v="1"/>
    <n v="80"/>
    <n v="0.92499999999999993"/>
    <n v="0"/>
  </r>
  <r>
    <s v="ORD-5839"/>
    <d v="2025-02-14T00:00:00"/>
    <x v="9"/>
    <s v="CUST-822"/>
    <x v="2"/>
    <x v="2"/>
    <x v="2"/>
    <x v="18"/>
    <x v="4"/>
    <n v="2"/>
    <n v="1299"/>
    <n v="0.1"/>
    <n v="129.9"/>
    <n v="2598"/>
    <n v="2468.1"/>
    <x v="2"/>
    <x v="0"/>
    <n v="80"/>
    <n v="0.95"/>
    <n v="0"/>
  </r>
  <r>
    <s v="ORD-5840"/>
    <d v="2025-01-08T00:00:00"/>
    <x v="7"/>
    <s v="CUST-631"/>
    <x v="4"/>
    <x v="4"/>
    <x v="2"/>
    <x v="16"/>
    <x v="4"/>
    <n v="3"/>
    <n v="1599"/>
    <n v="0.1"/>
    <n v="159.9"/>
    <n v="4797"/>
    <n v="4637.1000000000004"/>
    <x v="3"/>
    <x v="0"/>
    <n v="40"/>
    <n v="0.96666666666666679"/>
    <n v="0"/>
  </r>
  <r>
    <s v="ORD-5841"/>
    <d v="2025-06-08T00:00:00"/>
    <x v="11"/>
    <s v="CUST-450"/>
    <x v="0"/>
    <x v="0"/>
    <x v="0"/>
    <x v="9"/>
    <x v="1"/>
    <n v="2"/>
    <n v="1899"/>
    <n v="0"/>
    <n v="0"/>
    <n v="3798"/>
    <n v="3798"/>
    <x v="3"/>
    <x v="1"/>
    <n v="40"/>
    <n v="1"/>
    <n v="0"/>
  </r>
  <r>
    <s v="ORD-5842"/>
    <d v="2025-06-15T00:00:00"/>
    <x v="11"/>
    <s v="CUST-332"/>
    <x v="3"/>
    <x v="3"/>
    <x v="3"/>
    <x v="16"/>
    <x v="4"/>
    <n v="4"/>
    <n v="1599"/>
    <n v="0.1"/>
    <n v="159.9"/>
    <n v="6396"/>
    <n v="6236.1"/>
    <x v="3"/>
    <x v="0"/>
    <n v="0"/>
    <n v="0.97500000000000009"/>
    <n v="0"/>
  </r>
  <r>
    <s v="ORD-5843"/>
    <d v="2025-04-11T00:00:00"/>
    <x v="6"/>
    <s v="CUST-789"/>
    <x v="3"/>
    <x v="3"/>
    <x v="3"/>
    <x v="5"/>
    <x v="0"/>
    <n v="2"/>
    <n v="2299"/>
    <n v="0.25"/>
    <n v="574.75"/>
    <n v="4598"/>
    <n v="4023.25"/>
    <x v="0"/>
    <x v="0"/>
    <n v="0"/>
    <n v="0.875"/>
    <n v="0"/>
  </r>
  <r>
    <s v="ORD-5844"/>
    <d v="2025-11-26T00:00:00"/>
    <x v="10"/>
    <s v="CUST-870"/>
    <x v="3"/>
    <x v="3"/>
    <x v="3"/>
    <x v="18"/>
    <x v="4"/>
    <n v="1"/>
    <n v="1299"/>
    <n v="0"/>
    <n v="0"/>
    <n v="1299"/>
    <n v="1299"/>
    <x v="2"/>
    <x v="0"/>
    <n v="0"/>
    <n v="1"/>
    <n v="0"/>
  </r>
  <r>
    <s v="ORD-5845"/>
    <d v="2025-08-02T00:00:00"/>
    <x v="0"/>
    <s v="CUST-720"/>
    <x v="4"/>
    <x v="4"/>
    <x v="2"/>
    <x v="1"/>
    <x v="1"/>
    <n v="2"/>
    <n v="3999"/>
    <n v="0.1"/>
    <n v="399.90000000000003"/>
    <n v="7998"/>
    <n v="7598.1"/>
    <x v="3"/>
    <x v="0"/>
    <n v="80"/>
    <n v="0.95000000000000007"/>
    <n v="0"/>
  </r>
  <r>
    <s v="ORD-5846"/>
    <d v="2025-06-24T00:00:00"/>
    <x v="11"/>
    <s v="CUST-464"/>
    <x v="3"/>
    <x v="3"/>
    <x v="3"/>
    <x v="9"/>
    <x v="1"/>
    <n v="1"/>
    <n v="1899"/>
    <n v="0.1"/>
    <n v="189.9"/>
    <n v="1899"/>
    <n v="1709.1"/>
    <x v="0"/>
    <x v="0"/>
    <n v="60"/>
    <n v="0.89999999999999991"/>
    <n v="0"/>
  </r>
  <r>
    <s v="ORD-5847"/>
    <d v="2025-02-04T00:00:00"/>
    <x v="9"/>
    <s v="CUST-454"/>
    <x v="6"/>
    <x v="6"/>
    <x v="2"/>
    <x v="5"/>
    <x v="0"/>
    <n v="3"/>
    <n v="2299"/>
    <n v="0.15"/>
    <n v="344.84999999999997"/>
    <n v="6897"/>
    <n v="6552.15"/>
    <x v="1"/>
    <x v="0"/>
    <n v="80"/>
    <n v="0.95"/>
    <n v="0"/>
  </r>
  <r>
    <s v="ORD-5848"/>
    <d v="2025-06-29T00:00:00"/>
    <x v="11"/>
    <s v="CUST-569"/>
    <x v="6"/>
    <x v="6"/>
    <x v="2"/>
    <x v="17"/>
    <x v="1"/>
    <n v="2"/>
    <n v="2199"/>
    <n v="0.2"/>
    <n v="439.8"/>
    <n v="4398"/>
    <n v="3958.2"/>
    <x v="3"/>
    <x v="0"/>
    <n v="0"/>
    <n v="0.89999999999999991"/>
    <n v="0"/>
  </r>
  <r>
    <s v="ORD-5849"/>
    <d v="2025-10-17T00:00:00"/>
    <x v="2"/>
    <s v="CUST-338"/>
    <x v="9"/>
    <x v="8"/>
    <x v="1"/>
    <x v="21"/>
    <x v="4"/>
    <n v="1"/>
    <n v="699"/>
    <n v="0.2"/>
    <n v="139.80000000000001"/>
    <n v="699"/>
    <n v="559.20000000000005"/>
    <x v="3"/>
    <x v="0"/>
    <n v="40"/>
    <n v="0.8"/>
    <n v="0"/>
  </r>
  <r>
    <s v="ORD-5850"/>
    <d v="2025-02-07T00:00:00"/>
    <x v="9"/>
    <s v="CUST-523"/>
    <x v="3"/>
    <x v="3"/>
    <x v="3"/>
    <x v="12"/>
    <x v="1"/>
    <n v="4"/>
    <n v="799"/>
    <n v="0.25"/>
    <n v="199.75"/>
    <n v="3196"/>
    <n v="2996.25"/>
    <x v="2"/>
    <x v="0"/>
    <n v="0"/>
    <n v="0.9375"/>
    <n v="0"/>
  </r>
  <r>
    <s v="ORD-5851"/>
    <d v="2025-12-25T00:00:00"/>
    <x v="4"/>
    <s v="CUST-779"/>
    <x v="4"/>
    <x v="4"/>
    <x v="2"/>
    <x v="3"/>
    <x v="0"/>
    <n v="3"/>
    <n v="899"/>
    <n v="0"/>
    <n v="0"/>
    <n v="2697"/>
    <n v="2697"/>
    <x v="3"/>
    <x v="0"/>
    <n v="80"/>
    <n v="1"/>
    <n v="0"/>
  </r>
  <r>
    <s v="ORD-5852"/>
    <d v="2025-10-04T00:00:00"/>
    <x v="2"/>
    <s v="CUST-472"/>
    <x v="6"/>
    <x v="6"/>
    <x v="2"/>
    <x v="6"/>
    <x v="0"/>
    <n v="3"/>
    <n v="1599"/>
    <n v="0.1"/>
    <n v="159.9"/>
    <n v="4797"/>
    <n v="4637.1000000000004"/>
    <x v="2"/>
    <x v="0"/>
    <n v="40"/>
    <n v="0.96666666666666679"/>
    <n v="0"/>
  </r>
  <r>
    <s v="ORD-5853"/>
    <d v="2025-06-27T00:00:00"/>
    <x v="11"/>
    <s v="CUST-591"/>
    <x v="3"/>
    <x v="3"/>
    <x v="3"/>
    <x v="7"/>
    <x v="1"/>
    <n v="1"/>
    <n v="1299"/>
    <n v="0"/>
    <n v="0"/>
    <n v="1299"/>
    <n v="1299"/>
    <x v="1"/>
    <x v="0"/>
    <n v="0"/>
    <n v="1"/>
    <n v="0"/>
  </r>
  <r>
    <s v="ORD-5854"/>
    <d v="2025-06-03T00:00:00"/>
    <x v="11"/>
    <s v="CUST-414"/>
    <x v="7"/>
    <x v="7"/>
    <x v="1"/>
    <x v="7"/>
    <x v="1"/>
    <n v="1"/>
    <n v="1299"/>
    <n v="0.25"/>
    <n v="324.75"/>
    <n v="1299"/>
    <n v="974.25"/>
    <x v="0"/>
    <x v="0"/>
    <n v="40"/>
    <n v="0.75"/>
    <n v="0"/>
  </r>
  <r>
    <s v="ORD-5855"/>
    <d v="2025-06-03T00:00:00"/>
    <x v="11"/>
    <s v="CUST-467"/>
    <x v="6"/>
    <x v="6"/>
    <x v="2"/>
    <x v="21"/>
    <x v="4"/>
    <n v="1"/>
    <n v="699"/>
    <n v="0.1"/>
    <n v="69.900000000000006"/>
    <n v="699"/>
    <n v="629.1"/>
    <x v="3"/>
    <x v="0"/>
    <n v="40"/>
    <n v="0.9"/>
    <n v="0"/>
  </r>
  <r>
    <s v="ORD-5856"/>
    <d v="2025-05-10T00:00:00"/>
    <x v="8"/>
    <s v="CUST-438"/>
    <x v="4"/>
    <x v="4"/>
    <x v="2"/>
    <x v="6"/>
    <x v="0"/>
    <n v="3"/>
    <n v="1599"/>
    <n v="0.15"/>
    <n v="239.85"/>
    <n v="4797"/>
    <n v="4557.1499999999996"/>
    <x v="2"/>
    <x v="0"/>
    <n v="80"/>
    <n v="0.95"/>
    <n v="0"/>
  </r>
  <r>
    <s v="ORD-5857"/>
    <d v="2025-10-28T00:00:00"/>
    <x v="2"/>
    <s v="CUST-510"/>
    <x v="5"/>
    <x v="5"/>
    <x v="3"/>
    <x v="10"/>
    <x v="0"/>
    <n v="1"/>
    <n v="599"/>
    <n v="0.05"/>
    <n v="29.950000000000003"/>
    <n v="599"/>
    <n v="569.04999999999995"/>
    <x v="0"/>
    <x v="0"/>
    <n v="80"/>
    <n v="0.95"/>
    <n v="0"/>
  </r>
  <r>
    <s v="ORD-5858"/>
    <d v="2025-04-21T00:00:00"/>
    <x v="6"/>
    <s v="CUST-430"/>
    <x v="2"/>
    <x v="2"/>
    <x v="2"/>
    <x v="16"/>
    <x v="4"/>
    <n v="1"/>
    <n v="1599"/>
    <n v="0.05"/>
    <n v="79.95"/>
    <n v="1599"/>
    <n v="1519.05"/>
    <x v="2"/>
    <x v="0"/>
    <n v="40"/>
    <n v="0.95"/>
    <n v="0"/>
  </r>
  <r>
    <s v="ORD-5859"/>
    <d v="2025-05-23T00:00:00"/>
    <x v="8"/>
    <s v="CUST-630"/>
    <x v="6"/>
    <x v="6"/>
    <x v="2"/>
    <x v="12"/>
    <x v="1"/>
    <n v="1"/>
    <n v="799"/>
    <n v="0"/>
    <n v="0"/>
    <n v="799"/>
    <n v="799"/>
    <x v="0"/>
    <x v="0"/>
    <n v="60"/>
    <n v="1"/>
    <n v="0"/>
  </r>
  <r>
    <s v="ORD-5860"/>
    <d v="2025-02-27T00:00:00"/>
    <x v="9"/>
    <s v="CUST-549"/>
    <x v="4"/>
    <x v="4"/>
    <x v="2"/>
    <x v="3"/>
    <x v="0"/>
    <n v="1"/>
    <n v="899"/>
    <n v="0.1"/>
    <n v="89.9"/>
    <n v="899"/>
    <n v="809.1"/>
    <x v="3"/>
    <x v="2"/>
    <n v="0"/>
    <n v="0.9"/>
    <n v="0"/>
  </r>
  <r>
    <s v="ORD-5861"/>
    <d v="2025-12-16T00:00:00"/>
    <x v="4"/>
    <s v="CUST-789"/>
    <x v="8"/>
    <x v="1"/>
    <x v="1"/>
    <x v="1"/>
    <x v="1"/>
    <n v="5"/>
    <n v="3999"/>
    <n v="0.1"/>
    <n v="399.90000000000003"/>
    <n v="19995"/>
    <n v="19595.099999999999"/>
    <x v="3"/>
    <x v="0"/>
    <n v="0"/>
    <n v="0.98"/>
    <n v="0"/>
  </r>
  <r>
    <s v="ORD-5862"/>
    <d v="2025-05-28T00:00:00"/>
    <x v="8"/>
    <s v="CUST-816"/>
    <x v="9"/>
    <x v="8"/>
    <x v="1"/>
    <x v="12"/>
    <x v="1"/>
    <n v="1"/>
    <n v="799"/>
    <n v="0.1"/>
    <n v="79.900000000000006"/>
    <n v="799"/>
    <n v="719.1"/>
    <x v="3"/>
    <x v="0"/>
    <n v="40"/>
    <n v="0.9"/>
    <n v="0"/>
  </r>
  <r>
    <s v="ORD-5863"/>
    <d v="2025-08-18T00:00:00"/>
    <x v="0"/>
    <s v="CUST-303"/>
    <x v="1"/>
    <x v="1"/>
    <x v="1"/>
    <x v="0"/>
    <x v="0"/>
    <n v="1"/>
    <n v="1799"/>
    <n v="0.05"/>
    <n v="89.95"/>
    <n v="1799"/>
    <n v="1709.05"/>
    <x v="3"/>
    <x v="0"/>
    <n v="0"/>
    <n v="0.95"/>
    <n v="0"/>
  </r>
  <r>
    <s v="ORD-5864"/>
    <d v="2025-06-04T00:00:00"/>
    <x v="11"/>
    <s v="CUST-554"/>
    <x v="1"/>
    <x v="1"/>
    <x v="1"/>
    <x v="0"/>
    <x v="0"/>
    <n v="1"/>
    <n v="1799"/>
    <n v="0.2"/>
    <n v="359.8"/>
    <n v="1799"/>
    <n v="1439.2"/>
    <x v="2"/>
    <x v="0"/>
    <n v="0"/>
    <n v="0.8"/>
    <n v="0"/>
  </r>
  <r>
    <s v="ORD-5865"/>
    <d v="2025-08-06T00:00:00"/>
    <x v="0"/>
    <s v="CUST-721"/>
    <x v="3"/>
    <x v="3"/>
    <x v="3"/>
    <x v="12"/>
    <x v="1"/>
    <n v="3"/>
    <n v="799"/>
    <n v="0.1"/>
    <n v="79.900000000000006"/>
    <n v="2397"/>
    <n v="2317.1"/>
    <x v="3"/>
    <x v="1"/>
    <n v="40"/>
    <n v="0.96666666666666667"/>
    <n v="0"/>
  </r>
  <r>
    <s v="ORD-5866"/>
    <d v="2025-05-09T00:00:00"/>
    <x v="8"/>
    <s v="CUST-552"/>
    <x v="5"/>
    <x v="5"/>
    <x v="3"/>
    <x v="2"/>
    <x v="2"/>
    <n v="1"/>
    <n v="2799"/>
    <n v="0.15"/>
    <n v="419.84999999999997"/>
    <n v="2799"/>
    <n v="2379.15"/>
    <x v="2"/>
    <x v="0"/>
    <n v="80"/>
    <n v="0.85"/>
    <n v="0"/>
  </r>
  <r>
    <s v="ORD-5867"/>
    <d v="2025-05-14T00:00:00"/>
    <x v="8"/>
    <s v="CUST-394"/>
    <x v="3"/>
    <x v="3"/>
    <x v="3"/>
    <x v="8"/>
    <x v="1"/>
    <n v="1"/>
    <n v="2499"/>
    <n v="0.2"/>
    <n v="499.8"/>
    <n v="2499"/>
    <n v="1999.2"/>
    <x v="2"/>
    <x v="2"/>
    <n v="0"/>
    <n v="0.8"/>
    <n v="0"/>
  </r>
  <r>
    <s v="ORD-5868"/>
    <d v="2025-10-28T00:00:00"/>
    <x v="2"/>
    <s v="CUST-701"/>
    <x v="6"/>
    <x v="6"/>
    <x v="2"/>
    <x v="20"/>
    <x v="3"/>
    <n v="1"/>
    <n v="499"/>
    <n v="0.1"/>
    <n v="49.900000000000006"/>
    <n v="499"/>
    <n v="449.1"/>
    <x v="0"/>
    <x v="0"/>
    <n v="40"/>
    <n v="0.9"/>
    <n v="0"/>
  </r>
  <r>
    <s v="ORD-5869"/>
    <d v="2025-03-24T00:00:00"/>
    <x v="1"/>
    <s v="CUST-723"/>
    <x v="2"/>
    <x v="2"/>
    <x v="2"/>
    <x v="17"/>
    <x v="1"/>
    <n v="1"/>
    <n v="2199"/>
    <n v="0.2"/>
    <n v="439.8"/>
    <n v="2199"/>
    <n v="1759.2"/>
    <x v="2"/>
    <x v="0"/>
    <n v="0"/>
    <n v="0.8"/>
    <n v="0"/>
  </r>
  <r>
    <s v="ORD-5870"/>
    <d v="2025-12-09T00:00:00"/>
    <x v="4"/>
    <s v="CUST-339"/>
    <x v="3"/>
    <x v="3"/>
    <x v="3"/>
    <x v="0"/>
    <x v="0"/>
    <n v="1"/>
    <n v="1799"/>
    <n v="0.1"/>
    <n v="179.9"/>
    <n v="1799"/>
    <n v="1619.1"/>
    <x v="0"/>
    <x v="0"/>
    <n v="0"/>
    <n v="0.89999999999999991"/>
    <n v="0"/>
  </r>
  <r>
    <s v="ORD-5871"/>
    <d v="2025-09-23T00:00:00"/>
    <x v="3"/>
    <s v="CUST-423"/>
    <x v="2"/>
    <x v="2"/>
    <x v="2"/>
    <x v="14"/>
    <x v="4"/>
    <n v="1"/>
    <n v="399"/>
    <n v="0.1"/>
    <n v="39.900000000000006"/>
    <n v="399"/>
    <n v="359.1"/>
    <x v="3"/>
    <x v="0"/>
    <n v="0"/>
    <n v="0.9"/>
    <n v="0"/>
  </r>
  <r>
    <s v="ORD-5872"/>
    <d v="2025-11-07T00:00:00"/>
    <x v="10"/>
    <s v="CUST-244"/>
    <x v="6"/>
    <x v="6"/>
    <x v="2"/>
    <x v="13"/>
    <x v="2"/>
    <n v="1"/>
    <n v="449"/>
    <n v="0.1"/>
    <n v="44.900000000000006"/>
    <n v="449"/>
    <n v="404.1"/>
    <x v="3"/>
    <x v="0"/>
    <n v="40"/>
    <n v="0.9"/>
    <n v="0"/>
  </r>
  <r>
    <s v="ORD-5873"/>
    <d v="2025-07-17T00:00:00"/>
    <x v="5"/>
    <s v="CUST-299"/>
    <x v="7"/>
    <x v="7"/>
    <x v="1"/>
    <x v="17"/>
    <x v="1"/>
    <n v="2"/>
    <n v="2199"/>
    <n v="0.2"/>
    <n v="439.8"/>
    <n v="4398"/>
    <n v="3958.2"/>
    <x v="3"/>
    <x v="0"/>
    <n v="80"/>
    <n v="0.89999999999999991"/>
    <n v="0"/>
  </r>
  <r>
    <s v="ORD-5874"/>
    <d v="2025-05-20T00:00:00"/>
    <x v="8"/>
    <s v="CUST-252"/>
    <x v="8"/>
    <x v="1"/>
    <x v="1"/>
    <x v="2"/>
    <x v="2"/>
    <n v="4"/>
    <n v="2799"/>
    <n v="0.1"/>
    <n v="279.90000000000003"/>
    <n v="11196"/>
    <n v="10916.1"/>
    <x v="0"/>
    <x v="0"/>
    <n v="0"/>
    <n v="0.97499999999999998"/>
    <n v="0"/>
  </r>
  <r>
    <s v="ORD-5875"/>
    <d v="2025-04-08T00:00:00"/>
    <x v="6"/>
    <s v="CUST-503"/>
    <x v="7"/>
    <x v="7"/>
    <x v="1"/>
    <x v="5"/>
    <x v="0"/>
    <n v="1"/>
    <n v="2299"/>
    <n v="0.1"/>
    <n v="229.9"/>
    <n v="2299"/>
    <n v="2069.1"/>
    <x v="3"/>
    <x v="0"/>
    <n v="80"/>
    <n v="0.89999999999999991"/>
    <n v="0"/>
  </r>
  <r>
    <s v="ORD-5876"/>
    <d v="2025-04-21T00:00:00"/>
    <x v="6"/>
    <s v="CUST-615"/>
    <x v="9"/>
    <x v="8"/>
    <x v="1"/>
    <x v="5"/>
    <x v="0"/>
    <n v="3"/>
    <n v="2299"/>
    <n v="0.05"/>
    <n v="114.95"/>
    <n v="6897"/>
    <n v="6782.05"/>
    <x v="0"/>
    <x v="0"/>
    <n v="60"/>
    <n v="0.98333333333333339"/>
    <n v="0"/>
  </r>
  <r>
    <s v="ORD-5877"/>
    <d v="2025-03-03T00:00:00"/>
    <x v="1"/>
    <s v="CUST-429"/>
    <x v="6"/>
    <x v="6"/>
    <x v="2"/>
    <x v="1"/>
    <x v="1"/>
    <n v="1"/>
    <n v="3999"/>
    <n v="0"/>
    <n v="0"/>
    <n v="3999"/>
    <n v="3999"/>
    <x v="3"/>
    <x v="0"/>
    <n v="40"/>
    <n v="1"/>
    <n v="0"/>
  </r>
  <r>
    <s v="ORD-5878"/>
    <d v="2025-11-11T00:00:00"/>
    <x v="10"/>
    <s v="CUST-834"/>
    <x v="4"/>
    <x v="4"/>
    <x v="2"/>
    <x v="21"/>
    <x v="4"/>
    <n v="1"/>
    <n v="699"/>
    <n v="0.2"/>
    <n v="139.80000000000001"/>
    <n v="699"/>
    <n v="559.20000000000005"/>
    <x v="3"/>
    <x v="0"/>
    <n v="40"/>
    <n v="0.8"/>
    <n v="0"/>
  </r>
  <r>
    <s v="ORD-5879"/>
    <d v="2025-10-11T00:00:00"/>
    <x v="2"/>
    <s v="CUST-338"/>
    <x v="1"/>
    <x v="1"/>
    <x v="1"/>
    <x v="7"/>
    <x v="1"/>
    <n v="2"/>
    <n v="1299"/>
    <n v="0.25"/>
    <n v="324.75"/>
    <n v="2598"/>
    <n v="2273.25"/>
    <x v="1"/>
    <x v="0"/>
    <n v="40"/>
    <n v="0.875"/>
    <n v="0"/>
  </r>
  <r>
    <s v="ORD-5880"/>
    <d v="2025-06-15T00:00:00"/>
    <x v="11"/>
    <s v="CUST-737"/>
    <x v="0"/>
    <x v="0"/>
    <x v="0"/>
    <x v="20"/>
    <x v="3"/>
    <n v="1"/>
    <n v="499"/>
    <n v="0"/>
    <n v="0"/>
    <n v="499"/>
    <n v="499"/>
    <x v="3"/>
    <x v="0"/>
    <n v="0"/>
    <n v="1"/>
    <n v="0"/>
  </r>
  <r>
    <s v="ORD-5881"/>
    <d v="2025-10-27T00:00:00"/>
    <x v="2"/>
    <s v="CUST-776"/>
    <x v="0"/>
    <x v="0"/>
    <x v="0"/>
    <x v="5"/>
    <x v="0"/>
    <n v="2"/>
    <n v="2299"/>
    <n v="0.1"/>
    <n v="229.9"/>
    <n v="4598"/>
    <n v="4368.1000000000004"/>
    <x v="2"/>
    <x v="1"/>
    <n v="0"/>
    <n v="0.95000000000000007"/>
    <n v="0"/>
  </r>
  <r>
    <s v="ORD-5882"/>
    <d v="2025-05-24T00:00:00"/>
    <x v="8"/>
    <s v="CUST-413"/>
    <x v="3"/>
    <x v="3"/>
    <x v="3"/>
    <x v="18"/>
    <x v="4"/>
    <n v="1"/>
    <n v="1299"/>
    <n v="0"/>
    <n v="0"/>
    <n v="1299"/>
    <n v="1299"/>
    <x v="2"/>
    <x v="0"/>
    <n v="80"/>
    <n v="1"/>
    <n v="0"/>
  </r>
  <r>
    <s v="ORD-5883"/>
    <d v="2025-07-05T00:00:00"/>
    <x v="5"/>
    <s v="CUST-583"/>
    <x v="0"/>
    <x v="0"/>
    <x v="0"/>
    <x v="6"/>
    <x v="0"/>
    <n v="2"/>
    <n v="1599"/>
    <n v="0.1"/>
    <n v="159.9"/>
    <n v="3198"/>
    <n v="3038.1"/>
    <x v="3"/>
    <x v="0"/>
    <n v="0"/>
    <n v="0.95"/>
    <n v="0"/>
  </r>
  <r>
    <s v="ORD-5884"/>
    <d v="2025-11-14T00:00:00"/>
    <x v="10"/>
    <s v="CUST-802"/>
    <x v="2"/>
    <x v="2"/>
    <x v="2"/>
    <x v="11"/>
    <x v="2"/>
    <n v="2"/>
    <n v="5499"/>
    <n v="0.1"/>
    <n v="549.9"/>
    <n v="10998"/>
    <n v="10448.1"/>
    <x v="2"/>
    <x v="0"/>
    <n v="60"/>
    <n v="0.95000000000000007"/>
    <n v="0"/>
  </r>
  <r>
    <s v="ORD-5885"/>
    <d v="2025-08-16T00:00:00"/>
    <x v="0"/>
    <s v="CUST-792"/>
    <x v="9"/>
    <x v="8"/>
    <x v="1"/>
    <x v="8"/>
    <x v="1"/>
    <n v="2"/>
    <n v="2499"/>
    <n v="0"/>
    <n v="0"/>
    <n v="4998"/>
    <n v="4998"/>
    <x v="0"/>
    <x v="0"/>
    <n v="80"/>
    <n v="1"/>
    <n v="0"/>
  </r>
  <r>
    <s v="ORD-5886"/>
    <d v="2025-06-18T00:00:00"/>
    <x v="11"/>
    <s v="CUST-832"/>
    <x v="4"/>
    <x v="4"/>
    <x v="2"/>
    <x v="20"/>
    <x v="3"/>
    <n v="1"/>
    <n v="499"/>
    <n v="0.05"/>
    <n v="24.950000000000003"/>
    <n v="499"/>
    <n v="474.05"/>
    <x v="2"/>
    <x v="0"/>
    <n v="0"/>
    <n v="0.95000000000000007"/>
    <n v="0"/>
  </r>
  <r>
    <s v="ORD-5887"/>
    <d v="2025-11-09T00:00:00"/>
    <x v="10"/>
    <s v="CUST-297"/>
    <x v="8"/>
    <x v="1"/>
    <x v="1"/>
    <x v="7"/>
    <x v="1"/>
    <n v="3"/>
    <n v="1299"/>
    <n v="0.2"/>
    <n v="259.8"/>
    <n v="3897"/>
    <n v="3637.2"/>
    <x v="3"/>
    <x v="0"/>
    <n v="80"/>
    <n v="0.93333333333333324"/>
    <n v="0"/>
  </r>
  <r>
    <s v="ORD-5888"/>
    <d v="2025-04-16T00:00:00"/>
    <x v="6"/>
    <s v="CUST-371"/>
    <x v="4"/>
    <x v="4"/>
    <x v="2"/>
    <x v="7"/>
    <x v="1"/>
    <n v="3"/>
    <n v="1299"/>
    <n v="0.25"/>
    <n v="324.75"/>
    <n v="3897"/>
    <n v="3572.25"/>
    <x v="3"/>
    <x v="2"/>
    <n v="0"/>
    <n v="0.91666666666666663"/>
    <n v="0"/>
  </r>
  <r>
    <s v="ORD-5889"/>
    <d v="2025-04-04T00:00:00"/>
    <x v="6"/>
    <s v="CUST-216"/>
    <x v="1"/>
    <x v="1"/>
    <x v="1"/>
    <x v="9"/>
    <x v="1"/>
    <n v="1"/>
    <n v="1899"/>
    <n v="0.1"/>
    <n v="189.9"/>
    <n v="1899"/>
    <n v="1709.1"/>
    <x v="0"/>
    <x v="0"/>
    <n v="60"/>
    <n v="0.89999999999999991"/>
    <n v="0"/>
  </r>
  <r>
    <s v="ORD-5890"/>
    <d v="2025-08-25T00:00:00"/>
    <x v="0"/>
    <s v="CUST-574"/>
    <x v="0"/>
    <x v="0"/>
    <x v="0"/>
    <x v="4"/>
    <x v="3"/>
    <n v="1"/>
    <n v="349"/>
    <n v="0.2"/>
    <n v="69.8"/>
    <n v="349"/>
    <n v="279.2"/>
    <x v="0"/>
    <x v="0"/>
    <n v="40"/>
    <n v="0.79999999999999993"/>
    <n v="0"/>
  </r>
  <r>
    <s v="ORD-5891"/>
    <d v="2025-04-06T00:00:00"/>
    <x v="6"/>
    <s v="CUST-677"/>
    <x v="3"/>
    <x v="3"/>
    <x v="3"/>
    <x v="4"/>
    <x v="3"/>
    <n v="1"/>
    <n v="349"/>
    <n v="0.15"/>
    <n v="52.35"/>
    <n v="349"/>
    <n v="296.64999999999998"/>
    <x v="2"/>
    <x v="0"/>
    <n v="80"/>
    <n v="0.85"/>
    <n v="0"/>
  </r>
  <r>
    <s v="ORD-5892"/>
    <d v="2025-02-27T00:00:00"/>
    <x v="9"/>
    <s v="CUST-515"/>
    <x v="1"/>
    <x v="1"/>
    <x v="1"/>
    <x v="10"/>
    <x v="0"/>
    <n v="1"/>
    <n v="599"/>
    <n v="0"/>
    <n v="0"/>
    <n v="599"/>
    <n v="599"/>
    <x v="3"/>
    <x v="0"/>
    <n v="60"/>
    <n v="1"/>
    <n v="0"/>
  </r>
  <r>
    <s v="ORD-5893"/>
    <d v="2025-06-14T00:00:00"/>
    <x v="11"/>
    <s v="CUST-436"/>
    <x v="10"/>
    <x v="9"/>
    <x v="4"/>
    <x v="6"/>
    <x v="0"/>
    <n v="1"/>
    <n v="1599"/>
    <n v="0"/>
    <n v="0"/>
    <n v="1599"/>
    <n v="1599"/>
    <x v="2"/>
    <x v="0"/>
    <n v="60"/>
    <n v="1"/>
    <n v="0"/>
  </r>
  <r>
    <s v="ORD-5894"/>
    <d v="2025-07-07T00:00:00"/>
    <x v="5"/>
    <s v="CUST-569"/>
    <x v="0"/>
    <x v="0"/>
    <x v="0"/>
    <x v="10"/>
    <x v="0"/>
    <n v="1"/>
    <n v="599"/>
    <n v="0.1"/>
    <n v="59.900000000000006"/>
    <n v="599"/>
    <n v="539.1"/>
    <x v="0"/>
    <x v="0"/>
    <n v="80"/>
    <n v="0.9"/>
    <n v="0"/>
  </r>
  <r>
    <s v="ORD-5895"/>
    <d v="2025-03-30T00:00:00"/>
    <x v="1"/>
    <s v="CUST-507"/>
    <x v="1"/>
    <x v="1"/>
    <x v="1"/>
    <x v="19"/>
    <x v="2"/>
    <n v="1"/>
    <n v="1499"/>
    <n v="0"/>
    <n v="0"/>
    <n v="1499"/>
    <n v="1499"/>
    <x v="3"/>
    <x v="0"/>
    <n v="80"/>
    <n v="1"/>
    <n v="0"/>
  </r>
  <r>
    <s v="ORD-5896"/>
    <d v="2025-11-13T00:00:00"/>
    <x v="10"/>
    <s v="CUST-381"/>
    <x v="8"/>
    <x v="1"/>
    <x v="1"/>
    <x v="4"/>
    <x v="3"/>
    <n v="4"/>
    <n v="349"/>
    <n v="0.1"/>
    <n v="34.9"/>
    <n v="1396"/>
    <n v="1361.1"/>
    <x v="1"/>
    <x v="0"/>
    <n v="0"/>
    <n v="0.97499999999999998"/>
    <n v="0"/>
  </r>
  <r>
    <s v="ORD-5897"/>
    <d v="2025-04-22T00:00:00"/>
    <x v="6"/>
    <s v="CUST-370"/>
    <x v="6"/>
    <x v="6"/>
    <x v="2"/>
    <x v="12"/>
    <x v="1"/>
    <n v="3"/>
    <n v="799"/>
    <n v="0.2"/>
    <n v="159.80000000000001"/>
    <n v="2397"/>
    <n v="2237.1999999999998"/>
    <x v="3"/>
    <x v="0"/>
    <n v="60"/>
    <n v="0.93333333333333324"/>
    <n v="0"/>
  </r>
  <r>
    <s v="ORD-5898"/>
    <d v="2025-06-07T00:00:00"/>
    <x v="11"/>
    <s v="CUST-353"/>
    <x v="3"/>
    <x v="3"/>
    <x v="3"/>
    <x v="7"/>
    <x v="1"/>
    <n v="1"/>
    <n v="1299"/>
    <n v="0"/>
    <n v="0"/>
    <n v="1299"/>
    <n v="1299"/>
    <x v="3"/>
    <x v="0"/>
    <n v="40"/>
    <n v="1"/>
    <n v="0"/>
  </r>
  <r>
    <s v="ORD-5899"/>
    <d v="2025-01-22T00:00:00"/>
    <x v="7"/>
    <s v="CUST-567"/>
    <x v="3"/>
    <x v="3"/>
    <x v="3"/>
    <x v="0"/>
    <x v="0"/>
    <n v="1"/>
    <n v="1799"/>
    <n v="0.2"/>
    <n v="359.8"/>
    <n v="1799"/>
    <n v="1439.2"/>
    <x v="3"/>
    <x v="0"/>
    <n v="40"/>
    <n v="0.8"/>
    <n v="0"/>
  </r>
  <r>
    <s v="ORD-5900"/>
    <d v="2025-02-25T00:00:00"/>
    <x v="9"/>
    <s v="CUST-471"/>
    <x v="7"/>
    <x v="7"/>
    <x v="1"/>
    <x v="22"/>
    <x v="2"/>
    <n v="1"/>
    <n v="3299"/>
    <n v="0.05"/>
    <n v="164.95000000000002"/>
    <n v="3299"/>
    <n v="3134.05"/>
    <x v="2"/>
    <x v="0"/>
    <n v="60"/>
    <n v="0.95000000000000007"/>
    <n v="0"/>
  </r>
  <r>
    <s v="ORD-5901"/>
    <d v="2025-05-06T00:00:00"/>
    <x v="8"/>
    <s v="CUST-666"/>
    <x v="5"/>
    <x v="5"/>
    <x v="3"/>
    <x v="19"/>
    <x v="2"/>
    <n v="4"/>
    <n v="1499"/>
    <n v="0.2"/>
    <n v="299.8"/>
    <n v="5996"/>
    <n v="5696.2"/>
    <x v="3"/>
    <x v="0"/>
    <n v="80"/>
    <n v="0.95"/>
    <n v="0"/>
  </r>
  <r>
    <s v="ORD-5902"/>
    <d v="2025-06-03T00:00:00"/>
    <x v="11"/>
    <s v="CUST-506"/>
    <x v="8"/>
    <x v="1"/>
    <x v="1"/>
    <x v="7"/>
    <x v="1"/>
    <n v="1"/>
    <n v="1299"/>
    <n v="0.1"/>
    <n v="129.9"/>
    <n v="1299"/>
    <n v="1169.0999999999999"/>
    <x v="0"/>
    <x v="0"/>
    <n v="80"/>
    <n v="0.89999999999999991"/>
    <n v="0"/>
  </r>
  <r>
    <s v="ORD-5903"/>
    <d v="2025-07-06T00:00:00"/>
    <x v="5"/>
    <s v="CUST-540"/>
    <x v="6"/>
    <x v="6"/>
    <x v="2"/>
    <x v="19"/>
    <x v="2"/>
    <n v="4"/>
    <n v="1499"/>
    <n v="0.1"/>
    <n v="149.9"/>
    <n v="5996"/>
    <n v="5846.1"/>
    <x v="3"/>
    <x v="0"/>
    <n v="60"/>
    <n v="0.97500000000000009"/>
    <n v="0"/>
  </r>
  <r>
    <s v="ORD-5904"/>
    <d v="2025-12-27T00:00:00"/>
    <x v="4"/>
    <s v="CUST-271"/>
    <x v="0"/>
    <x v="0"/>
    <x v="0"/>
    <x v="15"/>
    <x v="3"/>
    <n v="1"/>
    <n v="299"/>
    <n v="0"/>
    <n v="0"/>
    <n v="299"/>
    <n v="299"/>
    <x v="0"/>
    <x v="0"/>
    <n v="40"/>
    <n v="1"/>
    <n v="0"/>
  </r>
  <r>
    <s v="ORD-5905"/>
    <d v="2025-07-11T00:00:00"/>
    <x v="5"/>
    <s v="CUST-447"/>
    <x v="2"/>
    <x v="2"/>
    <x v="2"/>
    <x v="13"/>
    <x v="2"/>
    <n v="1"/>
    <n v="449"/>
    <n v="0"/>
    <n v="0"/>
    <n v="449"/>
    <n v="449"/>
    <x v="2"/>
    <x v="0"/>
    <n v="0"/>
    <n v="1"/>
    <n v="0"/>
  </r>
  <r>
    <s v="ORD-5906"/>
    <d v="2025-06-06T00:00:00"/>
    <x v="11"/>
    <s v="CUST-207"/>
    <x v="1"/>
    <x v="1"/>
    <x v="1"/>
    <x v="19"/>
    <x v="2"/>
    <n v="2"/>
    <n v="1499"/>
    <n v="0.1"/>
    <n v="149.9"/>
    <n v="2998"/>
    <n v="2848.1"/>
    <x v="3"/>
    <x v="0"/>
    <n v="0"/>
    <n v="0.95"/>
    <n v="0"/>
  </r>
  <r>
    <s v="ORD-5907"/>
    <d v="2025-05-25T00:00:00"/>
    <x v="8"/>
    <s v="CUST-594"/>
    <x v="0"/>
    <x v="0"/>
    <x v="0"/>
    <x v="13"/>
    <x v="2"/>
    <n v="1"/>
    <n v="449"/>
    <n v="0.05"/>
    <n v="22.450000000000003"/>
    <n v="449"/>
    <n v="426.55"/>
    <x v="3"/>
    <x v="0"/>
    <n v="80"/>
    <n v="0.95000000000000007"/>
    <n v="0"/>
  </r>
  <r>
    <s v="ORD-5908"/>
    <d v="2025-08-31T00:00:00"/>
    <x v="0"/>
    <s v="CUST-233"/>
    <x v="1"/>
    <x v="1"/>
    <x v="1"/>
    <x v="15"/>
    <x v="3"/>
    <n v="1"/>
    <n v="299"/>
    <n v="0"/>
    <n v="0"/>
    <n v="299"/>
    <n v="299"/>
    <x v="3"/>
    <x v="0"/>
    <n v="80"/>
    <n v="1"/>
    <n v="0"/>
  </r>
  <r>
    <s v="ORD-5909"/>
    <d v="2025-08-28T00:00:00"/>
    <x v="0"/>
    <s v="CUST-444"/>
    <x v="2"/>
    <x v="2"/>
    <x v="2"/>
    <x v="4"/>
    <x v="3"/>
    <n v="1"/>
    <n v="349"/>
    <n v="0"/>
    <n v="0"/>
    <n v="349"/>
    <n v="349"/>
    <x v="3"/>
    <x v="0"/>
    <n v="60"/>
    <n v="1"/>
    <n v="0"/>
  </r>
  <r>
    <s v="ORD-5910"/>
    <d v="2025-08-24T00:00:00"/>
    <x v="0"/>
    <s v="CUST-669"/>
    <x v="1"/>
    <x v="1"/>
    <x v="1"/>
    <x v="6"/>
    <x v="0"/>
    <n v="3"/>
    <n v="1599"/>
    <n v="0"/>
    <n v="0"/>
    <n v="4797"/>
    <n v="4797"/>
    <x v="3"/>
    <x v="1"/>
    <n v="80"/>
    <n v="1"/>
    <n v="0"/>
  </r>
  <r>
    <s v="ORD-5911"/>
    <d v="2025-05-25T00:00:00"/>
    <x v="8"/>
    <s v="CUST-217"/>
    <x v="1"/>
    <x v="1"/>
    <x v="1"/>
    <x v="2"/>
    <x v="2"/>
    <n v="1"/>
    <n v="2799"/>
    <n v="0"/>
    <n v="0"/>
    <n v="2799"/>
    <n v="2799"/>
    <x v="3"/>
    <x v="0"/>
    <n v="0"/>
    <n v="1"/>
    <n v="0"/>
  </r>
  <r>
    <s v="ORD-5912"/>
    <d v="2025-05-09T00:00:00"/>
    <x v="8"/>
    <s v="CUST-880"/>
    <x v="2"/>
    <x v="2"/>
    <x v="2"/>
    <x v="17"/>
    <x v="1"/>
    <n v="3"/>
    <n v="2199"/>
    <n v="0"/>
    <n v="0"/>
    <n v="6597"/>
    <n v="6597"/>
    <x v="3"/>
    <x v="0"/>
    <n v="40"/>
    <n v="1"/>
    <n v="0"/>
  </r>
  <r>
    <s v="ORD-5913"/>
    <d v="2025-11-01T00:00:00"/>
    <x v="10"/>
    <s v="CUST-548"/>
    <x v="1"/>
    <x v="1"/>
    <x v="1"/>
    <x v="11"/>
    <x v="2"/>
    <n v="1"/>
    <n v="5499"/>
    <n v="0.1"/>
    <n v="549.9"/>
    <n v="5499"/>
    <n v="4949.1000000000004"/>
    <x v="0"/>
    <x v="0"/>
    <n v="80"/>
    <n v="0.9"/>
    <n v="0"/>
  </r>
  <r>
    <s v="ORD-5914"/>
    <d v="2025-08-06T00:00:00"/>
    <x v="0"/>
    <s v="CUST-247"/>
    <x v="9"/>
    <x v="8"/>
    <x v="1"/>
    <x v="10"/>
    <x v="0"/>
    <n v="1"/>
    <n v="599"/>
    <n v="0.25"/>
    <n v="149.75"/>
    <n v="599"/>
    <n v="449.25"/>
    <x v="3"/>
    <x v="0"/>
    <n v="80"/>
    <n v="0.75"/>
    <n v="0"/>
  </r>
  <r>
    <s v="ORD-5915"/>
    <d v="2025-01-28T00:00:00"/>
    <x v="7"/>
    <s v="CUST-817"/>
    <x v="4"/>
    <x v="4"/>
    <x v="2"/>
    <x v="0"/>
    <x v="0"/>
    <n v="1"/>
    <n v="1799"/>
    <n v="0"/>
    <n v="0"/>
    <n v="1799"/>
    <n v="1799"/>
    <x v="2"/>
    <x v="0"/>
    <n v="80"/>
    <n v="1"/>
    <n v="0"/>
  </r>
  <r>
    <s v="ORD-5916"/>
    <d v="2025-07-17T00:00:00"/>
    <x v="5"/>
    <s v="CUST-282"/>
    <x v="2"/>
    <x v="2"/>
    <x v="2"/>
    <x v="6"/>
    <x v="0"/>
    <n v="1"/>
    <n v="1599"/>
    <n v="0.1"/>
    <n v="159.9"/>
    <n v="1599"/>
    <n v="1439.1"/>
    <x v="3"/>
    <x v="0"/>
    <n v="0"/>
    <n v="0.89999999999999991"/>
    <n v="0"/>
  </r>
  <r>
    <s v="ORD-5917"/>
    <d v="2025-04-07T00:00:00"/>
    <x v="6"/>
    <s v="CUST-728"/>
    <x v="4"/>
    <x v="4"/>
    <x v="2"/>
    <x v="8"/>
    <x v="1"/>
    <n v="2"/>
    <n v="2499"/>
    <n v="0.05"/>
    <n v="124.95"/>
    <n v="4998"/>
    <n v="4873.05"/>
    <x v="3"/>
    <x v="0"/>
    <n v="60"/>
    <n v="0.97500000000000009"/>
    <n v="0"/>
  </r>
  <r>
    <s v="ORD-5918"/>
    <d v="2025-01-14T00:00:00"/>
    <x v="7"/>
    <s v="CUST-477"/>
    <x v="6"/>
    <x v="6"/>
    <x v="2"/>
    <x v="10"/>
    <x v="0"/>
    <n v="2"/>
    <n v="599"/>
    <n v="0.2"/>
    <n v="119.80000000000001"/>
    <n v="1198"/>
    <n v="1078.2"/>
    <x v="3"/>
    <x v="0"/>
    <n v="0"/>
    <n v="0.9"/>
    <n v="0"/>
  </r>
  <r>
    <s v="ORD-5919"/>
    <d v="2025-02-10T00:00:00"/>
    <x v="9"/>
    <s v="CUST-269"/>
    <x v="1"/>
    <x v="1"/>
    <x v="1"/>
    <x v="13"/>
    <x v="2"/>
    <n v="1"/>
    <n v="449"/>
    <n v="0.05"/>
    <n v="22.450000000000003"/>
    <n v="449"/>
    <n v="426.55"/>
    <x v="1"/>
    <x v="0"/>
    <n v="60"/>
    <n v="0.95000000000000007"/>
    <n v="0"/>
  </r>
  <r>
    <s v="ORD-5920"/>
    <d v="2025-06-22T00:00:00"/>
    <x v="11"/>
    <s v="CUST-382"/>
    <x v="6"/>
    <x v="6"/>
    <x v="2"/>
    <x v="17"/>
    <x v="1"/>
    <n v="2"/>
    <n v="2199"/>
    <n v="0.05"/>
    <n v="109.95"/>
    <n v="4398"/>
    <n v="4288.05"/>
    <x v="0"/>
    <x v="0"/>
    <n v="40"/>
    <n v="0.97500000000000009"/>
    <n v="0"/>
  </r>
  <r>
    <s v="ORD-5921"/>
    <d v="2025-09-20T00:00:00"/>
    <x v="3"/>
    <s v="CUST-693"/>
    <x v="3"/>
    <x v="3"/>
    <x v="3"/>
    <x v="20"/>
    <x v="3"/>
    <n v="1"/>
    <n v="499"/>
    <n v="0.05"/>
    <n v="24.950000000000003"/>
    <n v="499"/>
    <n v="474.05"/>
    <x v="2"/>
    <x v="0"/>
    <n v="40"/>
    <n v="0.95000000000000007"/>
    <n v="0"/>
  </r>
  <r>
    <s v="ORD-5922"/>
    <d v="2025-12-14T00:00:00"/>
    <x v="4"/>
    <s v="CUST-741"/>
    <x v="4"/>
    <x v="4"/>
    <x v="2"/>
    <x v="6"/>
    <x v="0"/>
    <n v="3"/>
    <n v="1599"/>
    <n v="0.1"/>
    <n v="159.9"/>
    <n v="4797"/>
    <n v="4637.1000000000004"/>
    <x v="3"/>
    <x v="0"/>
    <n v="0"/>
    <n v="0.96666666666666679"/>
    <n v="0"/>
  </r>
  <r>
    <s v="ORD-5923"/>
    <d v="2025-03-25T00:00:00"/>
    <x v="1"/>
    <s v="CUST-310"/>
    <x v="3"/>
    <x v="3"/>
    <x v="3"/>
    <x v="17"/>
    <x v="1"/>
    <n v="2"/>
    <n v="2199"/>
    <n v="0.1"/>
    <n v="219.9"/>
    <n v="4398"/>
    <n v="4178.1000000000004"/>
    <x v="1"/>
    <x v="0"/>
    <n v="40"/>
    <n v="0.95000000000000007"/>
    <n v="0"/>
  </r>
  <r>
    <s v="ORD-5924"/>
    <d v="2025-02-11T00:00:00"/>
    <x v="9"/>
    <s v="CUST-555"/>
    <x v="7"/>
    <x v="7"/>
    <x v="1"/>
    <x v="5"/>
    <x v="0"/>
    <n v="1"/>
    <n v="2299"/>
    <n v="0.1"/>
    <n v="229.9"/>
    <n v="2299"/>
    <n v="2069.1"/>
    <x v="1"/>
    <x v="2"/>
    <n v="80"/>
    <n v="0.89999999999999991"/>
    <n v="0"/>
  </r>
  <r>
    <s v="ORD-5925"/>
    <d v="2025-01-26T00:00:00"/>
    <x v="7"/>
    <s v="CUST-472"/>
    <x v="0"/>
    <x v="0"/>
    <x v="0"/>
    <x v="7"/>
    <x v="1"/>
    <n v="1"/>
    <n v="1299"/>
    <n v="0.1"/>
    <n v="129.9"/>
    <n v="1299"/>
    <n v="1169.0999999999999"/>
    <x v="3"/>
    <x v="0"/>
    <n v="0"/>
    <n v="0.89999999999999991"/>
    <n v="0"/>
  </r>
  <r>
    <s v="ORD-5926"/>
    <d v="2025-05-13T00:00:00"/>
    <x v="8"/>
    <s v="CUST-866"/>
    <x v="8"/>
    <x v="1"/>
    <x v="1"/>
    <x v="8"/>
    <x v="1"/>
    <n v="1"/>
    <n v="2499"/>
    <n v="0.2"/>
    <n v="499.8"/>
    <n v="2499"/>
    <n v="1999.2"/>
    <x v="0"/>
    <x v="1"/>
    <n v="60"/>
    <n v="0.8"/>
    <n v="0"/>
  </r>
  <r>
    <s v="ORD-5927"/>
    <d v="2025-11-24T00:00:00"/>
    <x v="10"/>
    <s v="CUST-411"/>
    <x v="0"/>
    <x v="0"/>
    <x v="0"/>
    <x v="3"/>
    <x v="0"/>
    <n v="1"/>
    <n v="899"/>
    <n v="0.05"/>
    <n v="44.95"/>
    <n v="899"/>
    <n v="854.05"/>
    <x v="1"/>
    <x v="0"/>
    <n v="0"/>
    <n v="0.95"/>
    <n v="0"/>
  </r>
  <r>
    <s v="ORD-5928"/>
    <d v="2025-06-21T00:00:00"/>
    <x v="11"/>
    <s v="CUST-803"/>
    <x v="0"/>
    <x v="0"/>
    <x v="0"/>
    <x v="19"/>
    <x v="2"/>
    <n v="2"/>
    <n v="1499"/>
    <n v="0.2"/>
    <n v="299.8"/>
    <n v="2998"/>
    <n v="2698.2"/>
    <x v="0"/>
    <x v="0"/>
    <n v="40"/>
    <n v="0.89999999999999991"/>
    <n v="0"/>
  </r>
  <r>
    <s v="ORD-5929"/>
    <d v="2025-02-28T00:00:00"/>
    <x v="9"/>
    <s v="CUST-590"/>
    <x v="7"/>
    <x v="7"/>
    <x v="1"/>
    <x v="15"/>
    <x v="3"/>
    <n v="1"/>
    <n v="299"/>
    <n v="0"/>
    <n v="0"/>
    <n v="299"/>
    <n v="299"/>
    <x v="0"/>
    <x v="0"/>
    <n v="40"/>
    <n v="1"/>
    <n v="0"/>
  </r>
  <r>
    <s v="ORD-5930"/>
    <d v="2025-04-19T00:00:00"/>
    <x v="6"/>
    <s v="CUST-477"/>
    <x v="6"/>
    <x v="6"/>
    <x v="2"/>
    <x v="9"/>
    <x v="1"/>
    <n v="3"/>
    <n v="1899"/>
    <n v="0.25"/>
    <n v="474.75"/>
    <n v="5697"/>
    <n v="5222.25"/>
    <x v="3"/>
    <x v="0"/>
    <n v="0"/>
    <n v="0.91666666666666663"/>
    <n v="0"/>
  </r>
  <r>
    <s v="ORD-5931"/>
    <d v="2025-06-27T00:00:00"/>
    <x v="11"/>
    <s v="CUST-502"/>
    <x v="1"/>
    <x v="1"/>
    <x v="1"/>
    <x v="13"/>
    <x v="2"/>
    <n v="3"/>
    <n v="449"/>
    <n v="0.25"/>
    <n v="112.25"/>
    <n v="1347"/>
    <n v="1234.75"/>
    <x v="2"/>
    <x v="1"/>
    <n v="80"/>
    <n v="0.91666666666666663"/>
    <n v="0"/>
  </r>
  <r>
    <s v="ORD-5932"/>
    <d v="2025-01-30T00:00:00"/>
    <x v="7"/>
    <s v="CUST-864"/>
    <x v="3"/>
    <x v="3"/>
    <x v="3"/>
    <x v="0"/>
    <x v="0"/>
    <n v="1"/>
    <n v="1799"/>
    <n v="0.25"/>
    <n v="449.75"/>
    <n v="1799"/>
    <n v="1349.25"/>
    <x v="3"/>
    <x v="0"/>
    <n v="40"/>
    <n v="0.75"/>
    <n v="0"/>
  </r>
  <r>
    <s v="ORD-5933"/>
    <d v="2025-03-08T00:00:00"/>
    <x v="1"/>
    <s v="CUST-855"/>
    <x v="4"/>
    <x v="4"/>
    <x v="2"/>
    <x v="6"/>
    <x v="0"/>
    <n v="1"/>
    <n v="1599"/>
    <n v="0"/>
    <n v="0"/>
    <n v="1599"/>
    <n v="1599"/>
    <x v="3"/>
    <x v="0"/>
    <n v="0"/>
    <n v="1"/>
    <n v="0"/>
  </r>
  <r>
    <s v="ORD-5934"/>
    <d v="2025-09-14T00:00:00"/>
    <x v="3"/>
    <s v="CUST-869"/>
    <x v="4"/>
    <x v="4"/>
    <x v="2"/>
    <x v="19"/>
    <x v="2"/>
    <n v="1"/>
    <n v="1499"/>
    <n v="0.25"/>
    <n v="374.75"/>
    <n v="1499"/>
    <n v="1124.25"/>
    <x v="3"/>
    <x v="0"/>
    <n v="60"/>
    <n v="0.75"/>
    <n v="0"/>
  </r>
  <r>
    <s v="ORD-5935"/>
    <d v="2025-11-25T00:00:00"/>
    <x v="10"/>
    <s v="CUST-210"/>
    <x v="6"/>
    <x v="6"/>
    <x v="2"/>
    <x v="12"/>
    <x v="1"/>
    <n v="5"/>
    <n v="799"/>
    <n v="0.1"/>
    <n v="79.900000000000006"/>
    <n v="3995"/>
    <n v="3915.1"/>
    <x v="3"/>
    <x v="0"/>
    <n v="60"/>
    <n v="0.98"/>
    <n v="0"/>
  </r>
  <r>
    <s v="ORD-5936"/>
    <d v="2025-11-14T00:00:00"/>
    <x v="10"/>
    <s v="CUST-536"/>
    <x v="1"/>
    <x v="1"/>
    <x v="1"/>
    <x v="9"/>
    <x v="1"/>
    <n v="1"/>
    <n v="1899"/>
    <n v="0"/>
    <n v="0"/>
    <n v="1899"/>
    <n v="1899"/>
    <x v="0"/>
    <x v="0"/>
    <n v="60"/>
    <n v="1"/>
    <n v="0"/>
  </r>
  <r>
    <s v="ORD-5937"/>
    <d v="2025-02-10T00:00:00"/>
    <x v="9"/>
    <s v="CUST-401"/>
    <x v="7"/>
    <x v="7"/>
    <x v="1"/>
    <x v="1"/>
    <x v="1"/>
    <n v="4"/>
    <n v="3999"/>
    <n v="0"/>
    <n v="0"/>
    <n v="15996"/>
    <n v="15996"/>
    <x v="1"/>
    <x v="0"/>
    <n v="60"/>
    <n v="1"/>
    <n v="0"/>
  </r>
  <r>
    <s v="ORD-5938"/>
    <d v="2025-07-13T00:00:00"/>
    <x v="5"/>
    <s v="CUST-551"/>
    <x v="2"/>
    <x v="2"/>
    <x v="2"/>
    <x v="13"/>
    <x v="2"/>
    <n v="1"/>
    <n v="449"/>
    <n v="0.2"/>
    <n v="89.800000000000011"/>
    <n v="449"/>
    <n v="359.2"/>
    <x v="3"/>
    <x v="0"/>
    <n v="80"/>
    <n v="0.79999999999999993"/>
    <n v="0"/>
  </r>
  <r>
    <s v="ORD-5939"/>
    <d v="2025-06-14T00:00:00"/>
    <x v="11"/>
    <s v="CUST-819"/>
    <x v="3"/>
    <x v="3"/>
    <x v="3"/>
    <x v="5"/>
    <x v="0"/>
    <n v="1"/>
    <n v="2299"/>
    <n v="0.2"/>
    <n v="459.8"/>
    <n v="2299"/>
    <n v="1839.2"/>
    <x v="0"/>
    <x v="0"/>
    <n v="60"/>
    <n v="0.8"/>
    <n v="0"/>
  </r>
  <r>
    <s v="ORD-5940"/>
    <d v="2025-12-25T00:00:00"/>
    <x v="4"/>
    <s v="CUST-343"/>
    <x v="4"/>
    <x v="4"/>
    <x v="2"/>
    <x v="12"/>
    <x v="1"/>
    <n v="2"/>
    <n v="799"/>
    <n v="0.2"/>
    <n v="159.80000000000001"/>
    <n v="1598"/>
    <n v="1438.2"/>
    <x v="3"/>
    <x v="0"/>
    <n v="0"/>
    <n v="0.9"/>
    <n v="0"/>
  </r>
  <r>
    <s v="ORD-5941"/>
    <d v="2025-09-21T00:00:00"/>
    <x v="3"/>
    <s v="CUST-739"/>
    <x v="1"/>
    <x v="1"/>
    <x v="1"/>
    <x v="18"/>
    <x v="4"/>
    <n v="1"/>
    <n v="1299"/>
    <n v="0.1"/>
    <n v="129.9"/>
    <n v="1299"/>
    <n v="1169.0999999999999"/>
    <x v="3"/>
    <x v="2"/>
    <n v="0"/>
    <n v="0.89999999999999991"/>
    <n v="0"/>
  </r>
  <r>
    <s v="ORD-5942"/>
    <d v="2025-12-04T00:00:00"/>
    <x v="4"/>
    <s v="CUST-633"/>
    <x v="8"/>
    <x v="1"/>
    <x v="1"/>
    <x v="22"/>
    <x v="2"/>
    <n v="1"/>
    <n v="3299"/>
    <n v="0.1"/>
    <n v="329.90000000000003"/>
    <n v="3299"/>
    <n v="2969.1"/>
    <x v="3"/>
    <x v="0"/>
    <n v="80"/>
    <n v="0.9"/>
    <n v="0"/>
  </r>
  <r>
    <s v="ORD-5943"/>
    <d v="2025-02-23T00:00:00"/>
    <x v="9"/>
    <s v="CUST-551"/>
    <x v="6"/>
    <x v="6"/>
    <x v="2"/>
    <x v="7"/>
    <x v="1"/>
    <n v="1"/>
    <n v="1299"/>
    <n v="0"/>
    <n v="0"/>
    <n v="1299"/>
    <n v="1299"/>
    <x v="0"/>
    <x v="0"/>
    <n v="80"/>
    <n v="1"/>
    <n v="0"/>
  </r>
  <r>
    <s v="ORD-5944"/>
    <d v="2025-08-29T00:00:00"/>
    <x v="0"/>
    <s v="CUST-674"/>
    <x v="1"/>
    <x v="1"/>
    <x v="1"/>
    <x v="6"/>
    <x v="0"/>
    <n v="1"/>
    <n v="1599"/>
    <n v="0.05"/>
    <n v="79.95"/>
    <n v="1599"/>
    <n v="1519.05"/>
    <x v="3"/>
    <x v="0"/>
    <n v="80"/>
    <n v="0.95"/>
    <n v="0"/>
  </r>
  <r>
    <s v="ORD-5945"/>
    <d v="2025-12-13T00:00:00"/>
    <x v="4"/>
    <s v="CUST-333"/>
    <x v="1"/>
    <x v="1"/>
    <x v="1"/>
    <x v="1"/>
    <x v="1"/>
    <n v="2"/>
    <n v="3999"/>
    <n v="0"/>
    <n v="0"/>
    <n v="7998"/>
    <n v="7998"/>
    <x v="0"/>
    <x v="1"/>
    <n v="60"/>
    <n v="1"/>
    <n v="0"/>
  </r>
  <r>
    <s v="ORD-5946"/>
    <d v="2025-02-13T00:00:00"/>
    <x v="9"/>
    <s v="CUST-685"/>
    <x v="4"/>
    <x v="4"/>
    <x v="2"/>
    <x v="17"/>
    <x v="1"/>
    <n v="1"/>
    <n v="2199"/>
    <n v="0"/>
    <n v="0"/>
    <n v="2199"/>
    <n v="2199"/>
    <x v="0"/>
    <x v="0"/>
    <n v="40"/>
    <n v="1"/>
    <n v="0"/>
  </r>
  <r>
    <s v="ORD-5947"/>
    <d v="2025-05-10T00:00:00"/>
    <x v="8"/>
    <s v="CUST-621"/>
    <x v="1"/>
    <x v="1"/>
    <x v="1"/>
    <x v="8"/>
    <x v="1"/>
    <n v="1"/>
    <n v="2499"/>
    <n v="0.1"/>
    <n v="249.9"/>
    <n v="2499"/>
    <n v="2249.1"/>
    <x v="2"/>
    <x v="0"/>
    <n v="0"/>
    <n v="0.89999999999999991"/>
    <n v="0"/>
  </r>
  <r>
    <s v="ORD-5948"/>
    <d v="2025-02-08T00:00:00"/>
    <x v="9"/>
    <s v="CUST-245"/>
    <x v="8"/>
    <x v="1"/>
    <x v="1"/>
    <x v="10"/>
    <x v="0"/>
    <n v="3"/>
    <n v="599"/>
    <n v="0"/>
    <n v="0"/>
    <n v="1797"/>
    <n v="1797"/>
    <x v="0"/>
    <x v="0"/>
    <n v="0"/>
    <n v="1"/>
    <n v="0"/>
  </r>
  <r>
    <s v="ORD-5949"/>
    <d v="2025-08-26T00:00:00"/>
    <x v="0"/>
    <s v="CUST-455"/>
    <x v="6"/>
    <x v="6"/>
    <x v="2"/>
    <x v="5"/>
    <x v="0"/>
    <n v="3"/>
    <n v="2299"/>
    <n v="0.1"/>
    <n v="229.9"/>
    <n v="6897"/>
    <n v="6667.1"/>
    <x v="3"/>
    <x v="0"/>
    <n v="80"/>
    <n v="0.96666666666666667"/>
    <n v="0"/>
  </r>
  <r>
    <s v="ORD-5950"/>
    <d v="2025-02-12T00:00:00"/>
    <x v="9"/>
    <s v="CUST-670"/>
    <x v="3"/>
    <x v="3"/>
    <x v="3"/>
    <x v="15"/>
    <x v="3"/>
    <n v="1"/>
    <n v="299"/>
    <n v="0.1"/>
    <n v="29.900000000000002"/>
    <n v="299"/>
    <n v="269.10000000000002"/>
    <x v="3"/>
    <x v="0"/>
    <n v="0"/>
    <n v="0.9"/>
    <n v="0"/>
  </r>
  <r>
    <s v="ORD-5951"/>
    <d v="2025-02-02T00:00:00"/>
    <x v="9"/>
    <s v="CUST-818"/>
    <x v="1"/>
    <x v="1"/>
    <x v="1"/>
    <x v="18"/>
    <x v="4"/>
    <n v="2"/>
    <n v="1299"/>
    <n v="0.25"/>
    <n v="324.75"/>
    <n v="2598"/>
    <n v="2273.25"/>
    <x v="3"/>
    <x v="0"/>
    <n v="0"/>
    <n v="0.875"/>
    <n v="0"/>
  </r>
  <r>
    <s v="ORD-5952"/>
    <d v="2025-06-25T00:00:00"/>
    <x v="11"/>
    <s v="CUST-401"/>
    <x v="6"/>
    <x v="6"/>
    <x v="2"/>
    <x v="7"/>
    <x v="1"/>
    <n v="1"/>
    <n v="1299"/>
    <n v="0"/>
    <n v="0"/>
    <n v="1299"/>
    <n v="1299"/>
    <x v="0"/>
    <x v="0"/>
    <n v="0"/>
    <n v="1"/>
    <n v="0"/>
  </r>
  <r>
    <s v="ORD-5953"/>
    <d v="2025-10-21T00:00:00"/>
    <x v="2"/>
    <s v="CUST-636"/>
    <x v="3"/>
    <x v="3"/>
    <x v="3"/>
    <x v="7"/>
    <x v="1"/>
    <n v="1"/>
    <n v="1299"/>
    <n v="0.1"/>
    <n v="129.9"/>
    <n v="1299"/>
    <n v="1169.0999999999999"/>
    <x v="3"/>
    <x v="0"/>
    <n v="40"/>
    <n v="0.89999999999999991"/>
    <n v="0"/>
  </r>
  <r>
    <s v="ORD-5954"/>
    <d v="2025-06-11T00:00:00"/>
    <x v="11"/>
    <s v="CUST-714"/>
    <x v="1"/>
    <x v="1"/>
    <x v="1"/>
    <x v="19"/>
    <x v="2"/>
    <n v="1"/>
    <n v="1499"/>
    <n v="0.1"/>
    <n v="149.9"/>
    <n v="1499"/>
    <n v="1349.1"/>
    <x v="3"/>
    <x v="1"/>
    <n v="0"/>
    <n v="0.89999999999999991"/>
    <n v="0"/>
  </r>
  <r>
    <s v="ORD-5955"/>
    <d v="2025-07-31T00:00:00"/>
    <x v="5"/>
    <s v="CUST-521"/>
    <x v="5"/>
    <x v="5"/>
    <x v="3"/>
    <x v="6"/>
    <x v="0"/>
    <n v="2"/>
    <n v="1599"/>
    <n v="0"/>
    <n v="0"/>
    <n v="3198"/>
    <n v="3198"/>
    <x v="3"/>
    <x v="0"/>
    <n v="80"/>
    <n v="1"/>
    <n v="0"/>
  </r>
  <r>
    <s v="ORD-5956"/>
    <d v="2025-03-12T00:00:00"/>
    <x v="1"/>
    <s v="CUST-290"/>
    <x v="1"/>
    <x v="1"/>
    <x v="1"/>
    <x v="17"/>
    <x v="1"/>
    <n v="3"/>
    <n v="2199"/>
    <n v="0"/>
    <n v="0"/>
    <n v="6597"/>
    <n v="6597"/>
    <x v="1"/>
    <x v="0"/>
    <n v="0"/>
    <n v="1"/>
    <n v="0"/>
  </r>
  <r>
    <s v="ORD-5957"/>
    <d v="2025-10-14T00:00:00"/>
    <x v="2"/>
    <s v="CUST-270"/>
    <x v="3"/>
    <x v="3"/>
    <x v="3"/>
    <x v="7"/>
    <x v="1"/>
    <n v="3"/>
    <n v="1299"/>
    <n v="0"/>
    <n v="0"/>
    <n v="3897"/>
    <n v="3897"/>
    <x v="2"/>
    <x v="0"/>
    <n v="40"/>
    <n v="1"/>
    <n v="0"/>
  </r>
  <r>
    <s v="ORD-5958"/>
    <d v="2025-06-16T00:00:00"/>
    <x v="11"/>
    <s v="CUST-433"/>
    <x v="1"/>
    <x v="1"/>
    <x v="1"/>
    <x v="8"/>
    <x v="1"/>
    <n v="1"/>
    <n v="2499"/>
    <n v="0.2"/>
    <n v="499.8"/>
    <n v="2499"/>
    <n v="1999.2"/>
    <x v="3"/>
    <x v="1"/>
    <n v="0"/>
    <n v="0.8"/>
    <n v="0"/>
  </r>
  <r>
    <s v="ORD-5959"/>
    <d v="2025-08-18T00:00:00"/>
    <x v="0"/>
    <s v="CUST-217"/>
    <x v="9"/>
    <x v="8"/>
    <x v="1"/>
    <x v="7"/>
    <x v="1"/>
    <n v="2"/>
    <n v="1299"/>
    <n v="0.2"/>
    <n v="259.8"/>
    <n v="2598"/>
    <n v="2338.1999999999998"/>
    <x v="2"/>
    <x v="0"/>
    <n v="40"/>
    <n v="0.89999999999999991"/>
    <n v="0"/>
  </r>
  <r>
    <s v="ORD-5960"/>
    <d v="2025-09-22T00:00:00"/>
    <x v="3"/>
    <s v="CUST-650"/>
    <x v="3"/>
    <x v="3"/>
    <x v="3"/>
    <x v="22"/>
    <x v="2"/>
    <n v="1"/>
    <n v="3299"/>
    <n v="0"/>
    <n v="0"/>
    <n v="3299"/>
    <n v="3299"/>
    <x v="3"/>
    <x v="0"/>
    <n v="80"/>
    <n v="1"/>
    <n v="0"/>
  </r>
  <r>
    <s v="ORD-5961"/>
    <d v="2025-07-05T00:00:00"/>
    <x v="5"/>
    <s v="CUST-700"/>
    <x v="6"/>
    <x v="6"/>
    <x v="2"/>
    <x v="17"/>
    <x v="1"/>
    <n v="1"/>
    <n v="2199"/>
    <n v="0.15"/>
    <n v="329.84999999999997"/>
    <n v="2199"/>
    <n v="1869.15"/>
    <x v="0"/>
    <x v="0"/>
    <n v="0"/>
    <n v="0.85000000000000009"/>
    <n v="0"/>
  </r>
  <r>
    <s v="ORD-5962"/>
    <d v="2025-04-23T00:00:00"/>
    <x v="6"/>
    <s v="CUST-889"/>
    <x v="1"/>
    <x v="1"/>
    <x v="1"/>
    <x v="12"/>
    <x v="1"/>
    <n v="1"/>
    <n v="799"/>
    <n v="0.05"/>
    <n v="39.950000000000003"/>
    <n v="799"/>
    <n v="759.05"/>
    <x v="2"/>
    <x v="0"/>
    <n v="80"/>
    <n v="0.95"/>
    <n v="0"/>
  </r>
  <r>
    <s v="ORD-5963"/>
    <d v="2025-08-29T00:00:00"/>
    <x v="0"/>
    <s v="CUST-747"/>
    <x v="1"/>
    <x v="1"/>
    <x v="1"/>
    <x v="1"/>
    <x v="1"/>
    <n v="1"/>
    <n v="3999"/>
    <n v="0.05"/>
    <n v="199.95000000000002"/>
    <n v="3999"/>
    <n v="3799.05"/>
    <x v="1"/>
    <x v="1"/>
    <n v="0"/>
    <n v="0.95000000000000007"/>
    <n v="0"/>
  </r>
  <r>
    <s v="ORD-5964"/>
    <d v="2025-01-25T00:00:00"/>
    <x v="7"/>
    <s v="CUST-222"/>
    <x v="6"/>
    <x v="6"/>
    <x v="2"/>
    <x v="3"/>
    <x v="0"/>
    <n v="1"/>
    <n v="899"/>
    <n v="0.1"/>
    <n v="89.9"/>
    <n v="899"/>
    <n v="809.1"/>
    <x v="3"/>
    <x v="0"/>
    <n v="80"/>
    <n v="0.9"/>
    <n v="0"/>
  </r>
  <r>
    <s v="ORD-5965"/>
    <d v="2025-09-17T00:00:00"/>
    <x v="3"/>
    <s v="CUST-403"/>
    <x v="4"/>
    <x v="4"/>
    <x v="2"/>
    <x v="3"/>
    <x v="0"/>
    <n v="4"/>
    <n v="899"/>
    <n v="0.05"/>
    <n v="44.95"/>
    <n v="3596"/>
    <n v="3551.05"/>
    <x v="3"/>
    <x v="0"/>
    <n v="80"/>
    <n v="0.98750000000000004"/>
    <n v="0"/>
  </r>
  <r>
    <s v="ORD-5966"/>
    <d v="2025-11-11T00:00:00"/>
    <x v="10"/>
    <s v="CUST-442"/>
    <x v="1"/>
    <x v="1"/>
    <x v="1"/>
    <x v="7"/>
    <x v="1"/>
    <n v="1"/>
    <n v="1299"/>
    <n v="0.25"/>
    <n v="324.75"/>
    <n v="1299"/>
    <n v="974.25"/>
    <x v="3"/>
    <x v="2"/>
    <n v="0"/>
    <n v="0.75"/>
    <n v="0"/>
  </r>
  <r>
    <s v="ORD-5967"/>
    <d v="2025-02-18T00:00:00"/>
    <x v="9"/>
    <s v="CUST-733"/>
    <x v="3"/>
    <x v="3"/>
    <x v="3"/>
    <x v="0"/>
    <x v="0"/>
    <n v="1"/>
    <n v="1799"/>
    <n v="0"/>
    <n v="0"/>
    <n v="1799"/>
    <n v="1799"/>
    <x v="3"/>
    <x v="0"/>
    <n v="60"/>
    <n v="1"/>
    <n v="0"/>
  </r>
  <r>
    <s v="ORD-5968"/>
    <d v="2025-03-02T00:00:00"/>
    <x v="1"/>
    <s v="CUST-859"/>
    <x v="2"/>
    <x v="2"/>
    <x v="2"/>
    <x v="0"/>
    <x v="0"/>
    <n v="1"/>
    <n v="1799"/>
    <n v="0.1"/>
    <n v="179.9"/>
    <n v="1799"/>
    <n v="1619.1"/>
    <x v="0"/>
    <x v="0"/>
    <n v="40"/>
    <n v="0.89999999999999991"/>
    <n v="0"/>
  </r>
  <r>
    <s v="ORD-5969"/>
    <d v="2025-06-19T00:00:00"/>
    <x v="11"/>
    <s v="CUST-803"/>
    <x v="1"/>
    <x v="1"/>
    <x v="1"/>
    <x v="5"/>
    <x v="0"/>
    <n v="4"/>
    <n v="2299"/>
    <n v="0.25"/>
    <n v="574.75"/>
    <n v="9196"/>
    <n v="8621.25"/>
    <x v="3"/>
    <x v="0"/>
    <n v="80"/>
    <n v="0.9375"/>
    <n v="0"/>
  </r>
  <r>
    <s v="ORD-5970"/>
    <d v="2025-06-24T00:00:00"/>
    <x v="11"/>
    <s v="CUST-842"/>
    <x v="3"/>
    <x v="3"/>
    <x v="3"/>
    <x v="8"/>
    <x v="1"/>
    <n v="1"/>
    <n v="2499"/>
    <n v="0.05"/>
    <n v="124.95"/>
    <n v="2499"/>
    <n v="2374.0500000000002"/>
    <x v="3"/>
    <x v="0"/>
    <n v="0"/>
    <n v="0.95000000000000007"/>
    <n v="0"/>
  </r>
  <r>
    <s v="ORD-5971"/>
    <d v="2025-01-13T00:00:00"/>
    <x v="7"/>
    <s v="CUST-512"/>
    <x v="0"/>
    <x v="0"/>
    <x v="0"/>
    <x v="1"/>
    <x v="1"/>
    <n v="1"/>
    <n v="3999"/>
    <n v="0"/>
    <n v="0"/>
    <n v="3999"/>
    <n v="3999"/>
    <x v="1"/>
    <x v="2"/>
    <n v="60"/>
    <n v="1"/>
    <n v="0"/>
  </r>
  <r>
    <s v="ORD-5972"/>
    <d v="2025-08-04T00:00:00"/>
    <x v="0"/>
    <s v="CUST-591"/>
    <x v="1"/>
    <x v="1"/>
    <x v="1"/>
    <x v="10"/>
    <x v="0"/>
    <n v="3"/>
    <n v="599"/>
    <n v="0.15"/>
    <n v="89.85"/>
    <n v="1797"/>
    <n v="1707.15"/>
    <x v="0"/>
    <x v="0"/>
    <n v="60"/>
    <n v="0.95000000000000007"/>
    <n v="0"/>
  </r>
  <r>
    <s v="ORD-5973"/>
    <d v="2025-07-10T00:00:00"/>
    <x v="5"/>
    <s v="CUST-773"/>
    <x v="8"/>
    <x v="1"/>
    <x v="1"/>
    <x v="12"/>
    <x v="1"/>
    <n v="2"/>
    <n v="799"/>
    <n v="0.05"/>
    <n v="39.950000000000003"/>
    <n v="1598"/>
    <n v="1558.05"/>
    <x v="3"/>
    <x v="0"/>
    <n v="80"/>
    <n v="0.97499999999999998"/>
    <n v="0"/>
  </r>
  <r>
    <s v="ORD-5974"/>
    <d v="2025-07-24T00:00:00"/>
    <x v="5"/>
    <s v="CUST-229"/>
    <x v="0"/>
    <x v="0"/>
    <x v="0"/>
    <x v="5"/>
    <x v="0"/>
    <n v="1"/>
    <n v="2299"/>
    <n v="0.25"/>
    <n v="574.75"/>
    <n v="2299"/>
    <n v="1724.25"/>
    <x v="0"/>
    <x v="0"/>
    <n v="80"/>
    <n v="0.75"/>
    <n v="0"/>
  </r>
  <r>
    <s v="ORD-5975"/>
    <d v="2025-12-31T00:00:00"/>
    <x v="4"/>
    <s v="CUST-309"/>
    <x v="4"/>
    <x v="4"/>
    <x v="2"/>
    <x v="22"/>
    <x v="2"/>
    <n v="2"/>
    <n v="3299"/>
    <n v="0.25"/>
    <n v="824.75"/>
    <n v="6598"/>
    <n v="5773.25"/>
    <x v="3"/>
    <x v="0"/>
    <n v="60"/>
    <n v="0.875"/>
    <n v="0"/>
  </r>
  <r>
    <s v="ORD-5976"/>
    <d v="2025-07-02T00:00:00"/>
    <x v="5"/>
    <s v="CUST-401"/>
    <x v="3"/>
    <x v="3"/>
    <x v="3"/>
    <x v="8"/>
    <x v="1"/>
    <n v="1"/>
    <n v="2499"/>
    <n v="0"/>
    <n v="0"/>
    <n v="2499"/>
    <n v="2499"/>
    <x v="3"/>
    <x v="0"/>
    <n v="60"/>
    <n v="1"/>
    <n v="0"/>
  </r>
  <r>
    <s v="ORD-5977"/>
    <d v="2025-03-22T00:00:00"/>
    <x v="1"/>
    <s v="CUST-345"/>
    <x v="3"/>
    <x v="3"/>
    <x v="3"/>
    <x v="8"/>
    <x v="1"/>
    <n v="2"/>
    <n v="2499"/>
    <n v="0.05"/>
    <n v="124.95"/>
    <n v="4998"/>
    <n v="4873.05"/>
    <x v="0"/>
    <x v="0"/>
    <n v="60"/>
    <n v="0.97500000000000009"/>
    <n v="0"/>
  </r>
  <r>
    <s v="ORD-5978"/>
    <d v="2025-02-16T00:00:00"/>
    <x v="9"/>
    <s v="CUST-202"/>
    <x v="2"/>
    <x v="2"/>
    <x v="2"/>
    <x v="1"/>
    <x v="1"/>
    <n v="5"/>
    <n v="3999"/>
    <n v="0"/>
    <n v="0"/>
    <n v="19995"/>
    <n v="19995"/>
    <x v="3"/>
    <x v="0"/>
    <n v="0"/>
    <n v="1"/>
    <n v="0"/>
  </r>
  <r>
    <s v="ORD-5979"/>
    <d v="2025-04-14T00:00:00"/>
    <x v="6"/>
    <s v="CUST-516"/>
    <x v="9"/>
    <x v="8"/>
    <x v="1"/>
    <x v="15"/>
    <x v="3"/>
    <n v="1"/>
    <n v="299"/>
    <n v="0.25"/>
    <n v="74.75"/>
    <n v="299"/>
    <n v="224.25"/>
    <x v="1"/>
    <x v="0"/>
    <n v="80"/>
    <n v="0.75"/>
    <n v="0"/>
  </r>
  <r>
    <s v="ORD-5980"/>
    <d v="2025-08-10T00:00:00"/>
    <x v="0"/>
    <s v="CUST-709"/>
    <x v="1"/>
    <x v="1"/>
    <x v="1"/>
    <x v="16"/>
    <x v="4"/>
    <n v="1"/>
    <n v="1599"/>
    <n v="0.15"/>
    <n v="239.85"/>
    <n v="1599"/>
    <n v="1359.15"/>
    <x v="0"/>
    <x v="0"/>
    <n v="0"/>
    <n v="0.85000000000000009"/>
    <n v="0"/>
  </r>
  <r>
    <s v="ORD-5981"/>
    <d v="2025-03-28T00:00:00"/>
    <x v="1"/>
    <s v="CUST-686"/>
    <x v="1"/>
    <x v="1"/>
    <x v="1"/>
    <x v="10"/>
    <x v="0"/>
    <n v="1"/>
    <n v="599"/>
    <n v="0"/>
    <n v="0"/>
    <n v="599"/>
    <n v="599"/>
    <x v="0"/>
    <x v="0"/>
    <n v="60"/>
    <n v="1"/>
    <n v="0"/>
  </r>
  <r>
    <s v="ORD-5982"/>
    <d v="2025-11-22T00:00:00"/>
    <x v="10"/>
    <s v="CUST-296"/>
    <x v="0"/>
    <x v="0"/>
    <x v="0"/>
    <x v="1"/>
    <x v="1"/>
    <n v="1"/>
    <n v="3999"/>
    <n v="0.25"/>
    <n v="999.75"/>
    <n v="3999"/>
    <n v="2999.25"/>
    <x v="2"/>
    <x v="0"/>
    <n v="0"/>
    <n v="0.75"/>
    <n v="0"/>
  </r>
  <r>
    <s v="ORD-5983"/>
    <d v="2025-03-19T00:00:00"/>
    <x v="1"/>
    <s v="CUST-666"/>
    <x v="0"/>
    <x v="0"/>
    <x v="0"/>
    <x v="9"/>
    <x v="1"/>
    <n v="1"/>
    <n v="1899"/>
    <n v="0.1"/>
    <n v="189.9"/>
    <n v="1899"/>
    <n v="1709.1"/>
    <x v="3"/>
    <x v="0"/>
    <n v="0"/>
    <n v="0.89999999999999991"/>
    <n v="0"/>
  </r>
  <r>
    <s v="ORD-5984"/>
    <d v="2025-02-21T00:00:00"/>
    <x v="9"/>
    <s v="CUST-434"/>
    <x v="4"/>
    <x v="4"/>
    <x v="2"/>
    <x v="11"/>
    <x v="2"/>
    <n v="1"/>
    <n v="5499"/>
    <n v="0.15"/>
    <n v="824.85"/>
    <n v="5499"/>
    <n v="4674.1499999999996"/>
    <x v="3"/>
    <x v="0"/>
    <n v="40"/>
    <n v="0.85"/>
    <n v="0"/>
  </r>
  <r>
    <s v="ORD-5985"/>
    <d v="2025-03-15T00:00:00"/>
    <x v="1"/>
    <s v="CUST-415"/>
    <x v="3"/>
    <x v="3"/>
    <x v="3"/>
    <x v="3"/>
    <x v="0"/>
    <n v="1"/>
    <n v="899"/>
    <n v="0.1"/>
    <n v="89.9"/>
    <n v="899"/>
    <n v="809.1"/>
    <x v="3"/>
    <x v="0"/>
    <n v="60"/>
    <n v="0.9"/>
    <n v="0"/>
  </r>
  <r>
    <s v="ORD-5986"/>
    <d v="2025-01-03T00:00:00"/>
    <x v="7"/>
    <s v="CUST-474"/>
    <x v="4"/>
    <x v="4"/>
    <x v="2"/>
    <x v="20"/>
    <x v="3"/>
    <n v="1"/>
    <n v="499"/>
    <n v="0.05"/>
    <n v="24.950000000000003"/>
    <n v="499"/>
    <n v="474.05"/>
    <x v="3"/>
    <x v="0"/>
    <n v="60"/>
    <n v="0.95000000000000007"/>
    <n v="0"/>
  </r>
  <r>
    <s v="ORD-5987"/>
    <d v="2025-09-10T00:00:00"/>
    <x v="3"/>
    <s v="CUST-563"/>
    <x v="0"/>
    <x v="0"/>
    <x v="0"/>
    <x v="7"/>
    <x v="1"/>
    <n v="1"/>
    <n v="1299"/>
    <n v="0.1"/>
    <n v="129.9"/>
    <n v="1299"/>
    <n v="1169.0999999999999"/>
    <x v="2"/>
    <x v="0"/>
    <n v="60"/>
    <n v="0.89999999999999991"/>
    <n v="0"/>
  </r>
  <r>
    <s v="ORD-5988"/>
    <d v="2025-09-15T00:00:00"/>
    <x v="3"/>
    <s v="CUST-438"/>
    <x v="9"/>
    <x v="8"/>
    <x v="1"/>
    <x v="21"/>
    <x v="4"/>
    <n v="2"/>
    <n v="699"/>
    <n v="0.1"/>
    <n v="69.900000000000006"/>
    <n v="1398"/>
    <n v="1328.1"/>
    <x v="2"/>
    <x v="2"/>
    <n v="60"/>
    <n v="0.95"/>
    <n v="0"/>
  </r>
  <r>
    <s v="ORD-5989"/>
    <d v="2025-09-16T00:00:00"/>
    <x v="3"/>
    <s v="CUST-388"/>
    <x v="1"/>
    <x v="1"/>
    <x v="1"/>
    <x v="1"/>
    <x v="1"/>
    <n v="1"/>
    <n v="3999"/>
    <n v="0"/>
    <n v="0"/>
    <n v="3999"/>
    <n v="3999"/>
    <x v="2"/>
    <x v="0"/>
    <n v="80"/>
    <n v="1"/>
    <n v="0"/>
  </r>
  <r>
    <s v="ORD-5990"/>
    <d v="2025-09-14T00:00:00"/>
    <x v="3"/>
    <s v="CUST-541"/>
    <x v="9"/>
    <x v="8"/>
    <x v="1"/>
    <x v="3"/>
    <x v="0"/>
    <n v="3"/>
    <n v="899"/>
    <n v="0"/>
    <n v="0"/>
    <n v="2697"/>
    <n v="2697"/>
    <x v="3"/>
    <x v="0"/>
    <n v="0"/>
    <n v="1"/>
    <n v="0"/>
  </r>
  <r>
    <s v="ORD-5991"/>
    <d v="2025-06-21T00:00:00"/>
    <x v="11"/>
    <s v="CUST-428"/>
    <x v="1"/>
    <x v="1"/>
    <x v="1"/>
    <x v="10"/>
    <x v="0"/>
    <n v="2"/>
    <n v="599"/>
    <n v="0.05"/>
    <n v="29.950000000000003"/>
    <n v="1198"/>
    <n v="1168.05"/>
    <x v="3"/>
    <x v="1"/>
    <n v="0"/>
    <n v="0.97499999999999998"/>
    <n v="0"/>
  </r>
  <r>
    <s v="ORD-5992"/>
    <d v="2025-10-21T00:00:00"/>
    <x v="2"/>
    <s v="CUST-897"/>
    <x v="7"/>
    <x v="7"/>
    <x v="1"/>
    <x v="5"/>
    <x v="0"/>
    <n v="2"/>
    <n v="2299"/>
    <n v="0.05"/>
    <n v="114.95"/>
    <n v="4598"/>
    <n v="4483.05"/>
    <x v="0"/>
    <x v="0"/>
    <n v="60"/>
    <n v="0.97500000000000009"/>
    <n v="0"/>
  </r>
  <r>
    <s v="ORD-5993"/>
    <d v="2025-07-01T00:00:00"/>
    <x v="5"/>
    <s v="CUST-687"/>
    <x v="2"/>
    <x v="2"/>
    <x v="2"/>
    <x v="5"/>
    <x v="0"/>
    <n v="1"/>
    <n v="2299"/>
    <n v="0.15"/>
    <n v="344.84999999999997"/>
    <n v="2299"/>
    <n v="1954.15"/>
    <x v="3"/>
    <x v="0"/>
    <n v="40"/>
    <n v="0.85000000000000009"/>
    <n v="0"/>
  </r>
  <r>
    <s v="ORD-5994"/>
    <d v="2025-06-27T00:00:00"/>
    <x v="11"/>
    <s v="CUST-466"/>
    <x v="1"/>
    <x v="1"/>
    <x v="1"/>
    <x v="19"/>
    <x v="2"/>
    <n v="1"/>
    <n v="1499"/>
    <n v="0.1"/>
    <n v="149.9"/>
    <n v="1499"/>
    <n v="1349.1"/>
    <x v="0"/>
    <x v="0"/>
    <n v="40"/>
    <n v="0.89999999999999991"/>
    <n v="0"/>
  </r>
  <r>
    <s v="ORD-5995"/>
    <d v="2025-01-05T00:00:00"/>
    <x v="7"/>
    <s v="CUST-202"/>
    <x v="5"/>
    <x v="5"/>
    <x v="3"/>
    <x v="2"/>
    <x v="2"/>
    <n v="3"/>
    <n v="2799"/>
    <n v="0.2"/>
    <n v="559.80000000000007"/>
    <n v="8397"/>
    <n v="7837.2"/>
    <x v="3"/>
    <x v="0"/>
    <n v="40"/>
    <n v="0.93333333333333335"/>
    <n v="0"/>
  </r>
  <r>
    <s v="ORD-5996"/>
    <d v="2025-08-24T00:00:00"/>
    <x v="0"/>
    <s v="CUST-220"/>
    <x v="3"/>
    <x v="3"/>
    <x v="3"/>
    <x v="17"/>
    <x v="1"/>
    <n v="1"/>
    <n v="2199"/>
    <n v="0.05"/>
    <n v="109.95"/>
    <n v="2199"/>
    <n v="2089.0500000000002"/>
    <x v="2"/>
    <x v="1"/>
    <n v="40"/>
    <n v="0.95000000000000007"/>
    <n v="0"/>
  </r>
  <r>
    <s v="ORD-5997"/>
    <d v="2025-08-10T00:00:00"/>
    <x v="0"/>
    <s v="CUST-377"/>
    <x v="1"/>
    <x v="1"/>
    <x v="1"/>
    <x v="17"/>
    <x v="1"/>
    <n v="2"/>
    <n v="2199"/>
    <n v="0.1"/>
    <n v="219.9"/>
    <n v="4398"/>
    <n v="4178.1000000000004"/>
    <x v="2"/>
    <x v="0"/>
    <n v="0"/>
    <n v="0.95000000000000007"/>
    <n v="0"/>
  </r>
  <r>
    <s v="ORD-5998"/>
    <d v="2025-08-11T00:00:00"/>
    <x v="0"/>
    <s v="CUST-245"/>
    <x v="1"/>
    <x v="1"/>
    <x v="1"/>
    <x v="7"/>
    <x v="1"/>
    <n v="2"/>
    <n v="1299"/>
    <n v="0.1"/>
    <n v="129.9"/>
    <n v="2598"/>
    <n v="2468.1"/>
    <x v="3"/>
    <x v="0"/>
    <n v="40"/>
    <n v="0.95"/>
    <n v="0"/>
  </r>
  <r>
    <s v="ORD-5999"/>
    <d v="2025-03-29T00:00:00"/>
    <x v="1"/>
    <s v="CUST-294"/>
    <x v="5"/>
    <x v="5"/>
    <x v="3"/>
    <x v="13"/>
    <x v="2"/>
    <n v="1"/>
    <n v="449"/>
    <n v="0"/>
    <n v="0"/>
    <n v="449"/>
    <n v="449"/>
    <x v="3"/>
    <x v="0"/>
    <n v="0"/>
    <n v="1"/>
    <n v="0"/>
  </r>
  <r>
    <s v="ORD-6000"/>
    <d v="2025-01-21T00:00:00"/>
    <x v="7"/>
    <s v="CUST-784"/>
    <x v="7"/>
    <x v="7"/>
    <x v="1"/>
    <x v="3"/>
    <x v="0"/>
    <n v="1"/>
    <n v="899"/>
    <n v="0.1"/>
    <n v="89.9"/>
    <n v="899"/>
    <n v="809.1"/>
    <x v="1"/>
    <x v="0"/>
    <n v="40"/>
    <n v="0.9"/>
    <n v="0"/>
  </r>
  <r>
    <s v="ORD-6001"/>
    <d v="2025-02-15T00:00:00"/>
    <x v="9"/>
    <s v="CUST-381"/>
    <x v="0"/>
    <x v="0"/>
    <x v="0"/>
    <x v="9"/>
    <x v="1"/>
    <n v="1"/>
    <n v="1899"/>
    <n v="0.05"/>
    <n v="94.95"/>
    <n v="1899"/>
    <n v="1804.05"/>
    <x v="0"/>
    <x v="0"/>
    <n v="60"/>
    <n v="0.95"/>
    <n v="0"/>
  </r>
  <r>
    <s v="ORD-6002"/>
    <d v="2025-07-31T00:00:00"/>
    <x v="5"/>
    <s v="CUST-466"/>
    <x v="2"/>
    <x v="2"/>
    <x v="2"/>
    <x v="2"/>
    <x v="2"/>
    <n v="1"/>
    <n v="2799"/>
    <n v="0.1"/>
    <n v="279.90000000000003"/>
    <n v="2799"/>
    <n v="2519.1"/>
    <x v="3"/>
    <x v="0"/>
    <n v="40"/>
    <n v="0.9"/>
    <n v="0"/>
  </r>
  <r>
    <s v="ORD-6003"/>
    <d v="2025-05-30T00:00:00"/>
    <x v="8"/>
    <s v="CUST-300"/>
    <x v="3"/>
    <x v="3"/>
    <x v="3"/>
    <x v="3"/>
    <x v="0"/>
    <n v="3"/>
    <n v="899"/>
    <n v="0.15"/>
    <n v="134.85"/>
    <n v="2697"/>
    <n v="2562.15"/>
    <x v="2"/>
    <x v="0"/>
    <n v="60"/>
    <n v="0.95000000000000007"/>
    <n v="0"/>
  </r>
  <r>
    <s v="ORD-6004"/>
    <d v="2025-08-21T00:00:00"/>
    <x v="0"/>
    <s v="CUST-588"/>
    <x v="1"/>
    <x v="1"/>
    <x v="1"/>
    <x v="8"/>
    <x v="1"/>
    <n v="1"/>
    <n v="2499"/>
    <n v="0"/>
    <n v="0"/>
    <n v="2499"/>
    <n v="2499"/>
    <x v="2"/>
    <x v="0"/>
    <n v="80"/>
    <n v="1"/>
    <n v="0"/>
  </r>
  <r>
    <s v="ORD-6005"/>
    <d v="2025-04-04T00:00:00"/>
    <x v="6"/>
    <s v="CUST-581"/>
    <x v="6"/>
    <x v="6"/>
    <x v="2"/>
    <x v="6"/>
    <x v="0"/>
    <n v="2"/>
    <n v="1599"/>
    <n v="0.05"/>
    <n v="79.95"/>
    <n v="3198"/>
    <n v="3118.05"/>
    <x v="0"/>
    <x v="0"/>
    <n v="40"/>
    <n v="0.97500000000000009"/>
    <n v="0"/>
  </r>
  <r>
    <s v="ORD-6006"/>
    <d v="2025-11-06T00:00:00"/>
    <x v="10"/>
    <s v="CUST-379"/>
    <x v="1"/>
    <x v="1"/>
    <x v="1"/>
    <x v="17"/>
    <x v="1"/>
    <n v="1"/>
    <n v="2199"/>
    <n v="0.05"/>
    <n v="109.95"/>
    <n v="2199"/>
    <n v="2089.0500000000002"/>
    <x v="3"/>
    <x v="0"/>
    <n v="80"/>
    <n v="0.95000000000000007"/>
    <n v="0"/>
  </r>
  <r>
    <s v="ORD-6007"/>
    <d v="2025-04-12T00:00:00"/>
    <x v="6"/>
    <s v="CUST-480"/>
    <x v="3"/>
    <x v="3"/>
    <x v="3"/>
    <x v="2"/>
    <x v="2"/>
    <n v="4"/>
    <n v="2799"/>
    <n v="0.1"/>
    <n v="279.90000000000003"/>
    <n v="11196"/>
    <n v="10916.1"/>
    <x v="2"/>
    <x v="0"/>
    <n v="80"/>
    <n v="0.97499999999999998"/>
    <n v="0"/>
  </r>
  <r>
    <s v="ORD-6008"/>
    <d v="2025-10-05T00:00:00"/>
    <x v="2"/>
    <s v="CUST-601"/>
    <x v="3"/>
    <x v="3"/>
    <x v="3"/>
    <x v="21"/>
    <x v="4"/>
    <n v="1"/>
    <n v="699"/>
    <n v="0.25"/>
    <n v="174.75"/>
    <n v="699"/>
    <n v="524.25"/>
    <x v="3"/>
    <x v="0"/>
    <n v="40"/>
    <n v="0.75"/>
    <n v="0"/>
  </r>
  <r>
    <s v="ORD-6009"/>
    <d v="2025-06-18T00:00:00"/>
    <x v="11"/>
    <s v="CUST-675"/>
    <x v="1"/>
    <x v="1"/>
    <x v="1"/>
    <x v="9"/>
    <x v="1"/>
    <n v="2"/>
    <n v="1899"/>
    <n v="0"/>
    <n v="0"/>
    <n v="3798"/>
    <n v="3798"/>
    <x v="0"/>
    <x v="0"/>
    <n v="40"/>
    <n v="1"/>
    <n v="0"/>
  </r>
  <r>
    <s v="ORD-6010"/>
    <d v="2025-02-18T00:00:00"/>
    <x v="9"/>
    <s v="CUST-792"/>
    <x v="1"/>
    <x v="1"/>
    <x v="1"/>
    <x v="17"/>
    <x v="1"/>
    <n v="4"/>
    <n v="2199"/>
    <n v="0.2"/>
    <n v="439.8"/>
    <n v="8796"/>
    <n v="8356.2000000000007"/>
    <x v="0"/>
    <x v="0"/>
    <n v="60"/>
    <n v="0.95000000000000007"/>
    <n v="0"/>
  </r>
  <r>
    <s v="ORD-6011"/>
    <d v="2025-07-21T00:00:00"/>
    <x v="5"/>
    <s v="CUST-441"/>
    <x v="9"/>
    <x v="8"/>
    <x v="1"/>
    <x v="0"/>
    <x v="0"/>
    <n v="2"/>
    <n v="1799"/>
    <n v="0.15"/>
    <n v="269.84999999999997"/>
    <n v="3598"/>
    <n v="3328.15"/>
    <x v="0"/>
    <x v="0"/>
    <n v="0"/>
    <n v="0.92500000000000004"/>
    <n v="0"/>
  </r>
  <r>
    <s v="ORD-6012"/>
    <d v="2025-08-07T00:00:00"/>
    <x v="0"/>
    <s v="CUST-384"/>
    <x v="2"/>
    <x v="2"/>
    <x v="2"/>
    <x v="21"/>
    <x v="4"/>
    <n v="1"/>
    <n v="699"/>
    <n v="0.15"/>
    <n v="104.85"/>
    <n v="699"/>
    <n v="594.15"/>
    <x v="2"/>
    <x v="1"/>
    <n v="60"/>
    <n v="0.85"/>
    <n v="0"/>
  </r>
  <r>
    <s v="ORD-6013"/>
    <d v="2025-05-06T00:00:00"/>
    <x v="8"/>
    <s v="CUST-341"/>
    <x v="3"/>
    <x v="3"/>
    <x v="3"/>
    <x v="15"/>
    <x v="3"/>
    <n v="1"/>
    <n v="299"/>
    <n v="0"/>
    <n v="0"/>
    <n v="299"/>
    <n v="299"/>
    <x v="2"/>
    <x v="0"/>
    <n v="0"/>
    <n v="1"/>
    <n v="0"/>
  </r>
  <r>
    <s v="ORD-6014"/>
    <d v="2025-08-11T00:00:00"/>
    <x v="0"/>
    <s v="CUST-444"/>
    <x v="8"/>
    <x v="1"/>
    <x v="1"/>
    <x v="3"/>
    <x v="0"/>
    <n v="1"/>
    <n v="899"/>
    <n v="0.15"/>
    <n v="134.85"/>
    <n v="899"/>
    <n v="764.15"/>
    <x v="3"/>
    <x v="0"/>
    <n v="40"/>
    <n v="0.85"/>
    <n v="0"/>
  </r>
  <r>
    <s v="ORD-6015"/>
    <d v="2025-08-06T00:00:00"/>
    <x v="0"/>
    <s v="CUST-516"/>
    <x v="5"/>
    <x v="5"/>
    <x v="3"/>
    <x v="15"/>
    <x v="3"/>
    <n v="5"/>
    <n v="299"/>
    <n v="0"/>
    <n v="0"/>
    <n v="1495"/>
    <n v="1495"/>
    <x v="2"/>
    <x v="0"/>
    <n v="60"/>
    <n v="1"/>
    <n v="0"/>
  </r>
  <r>
    <s v="ORD-6016"/>
    <d v="2025-03-07T00:00:00"/>
    <x v="1"/>
    <s v="CUST-766"/>
    <x v="1"/>
    <x v="1"/>
    <x v="1"/>
    <x v="7"/>
    <x v="1"/>
    <n v="1"/>
    <n v="1299"/>
    <n v="0.05"/>
    <n v="64.95"/>
    <n v="1299"/>
    <n v="1234.05"/>
    <x v="3"/>
    <x v="0"/>
    <n v="60"/>
    <n v="0.95"/>
    <n v="0"/>
  </r>
  <r>
    <s v="ORD-6017"/>
    <d v="2025-04-06T00:00:00"/>
    <x v="6"/>
    <s v="CUST-781"/>
    <x v="4"/>
    <x v="4"/>
    <x v="2"/>
    <x v="19"/>
    <x v="2"/>
    <n v="1"/>
    <n v="1499"/>
    <n v="0.25"/>
    <n v="374.75"/>
    <n v="1499"/>
    <n v="1124.25"/>
    <x v="1"/>
    <x v="1"/>
    <n v="0"/>
    <n v="0.75"/>
    <n v="0"/>
  </r>
  <r>
    <s v="ORD-6018"/>
    <d v="2025-04-10T00:00:00"/>
    <x v="6"/>
    <s v="CUST-476"/>
    <x v="5"/>
    <x v="5"/>
    <x v="3"/>
    <x v="0"/>
    <x v="0"/>
    <n v="1"/>
    <n v="1799"/>
    <n v="0.1"/>
    <n v="179.9"/>
    <n v="1799"/>
    <n v="1619.1"/>
    <x v="3"/>
    <x v="0"/>
    <n v="0"/>
    <n v="0.89999999999999991"/>
    <n v="0"/>
  </r>
  <r>
    <s v="ORD-6019"/>
    <d v="2025-07-11T00:00:00"/>
    <x v="5"/>
    <s v="CUST-586"/>
    <x v="5"/>
    <x v="5"/>
    <x v="3"/>
    <x v="12"/>
    <x v="1"/>
    <n v="2"/>
    <n v="799"/>
    <n v="0"/>
    <n v="0"/>
    <n v="1598"/>
    <n v="1598"/>
    <x v="3"/>
    <x v="0"/>
    <n v="80"/>
    <n v="1"/>
    <n v="0"/>
  </r>
  <r>
    <s v="ORD-6020"/>
    <d v="2025-05-17T00:00:00"/>
    <x v="8"/>
    <s v="CUST-808"/>
    <x v="6"/>
    <x v="6"/>
    <x v="2"/>
    <x v="17"/>
    <x v="1"/>
    <n v="1"/>
    <n v="2199"/>
    <n v="0"/>
    <n v="0"/>
    <n v="2199"/>
    <n v="2199"/>
    <x v="2"/>
    <x v="0"/>
    <n v="40"/>
    <n v="1"/>
    <n v="0"/>
  </r>
  <r>
    <s v="ORD-6021"/>
    <d v="2025-08-06T00:00:00"/>
    <x v="0"/>
    <s v="CUST-517"/>
    <x v="3"/>
    <x v="3"/>
    <x v="3"/>
    <x v="10"/>
    <x v="0"/>
    <n v="3"/>
    <n v="599"/>
    <n v="0.25"/>
    <n v="149.75"/>
    <n v="1797"/>
    <n v="1647.25"/>
    <x v="3"/>
    <x v="1"/>
    <n v="60"/>
    <n v="0.91666666666666663"/>
    <n v="0"/>
  </r>
  <r>
    <s v="ORD-6022"/>
    <d v="2025-02-13T00:00:00"/>
    <x v="9"/>
    <s v="CUST-314"/>
    <x v="4"/>
    <x v="4"/>
    <x v="2"/>
    <x v="21"/>
    <x v="4"/>
    <n v="1"/>
    <n v="699"/>
    <n v="0"/>
    <n v="0"/>
    <n v="699"/>
    <n v="699"/>
    <x v="3"/>
    <x v="0"/>
    <n v="80"/>
    <n v="1"/>
    <n v="0"/>
  </r>
  <r>
    <s v="ORD-6023"/>
    <d v="2025-10-03T00:00:00"/>
    <x v="2"/>
    <s v="CUST-665"/>
    <x v="3"/>
    <x v="3"/>
    <x v="3"/>
    <x v="10"/>
    <x v="0"/>
    <n v="1"/>
    <n v="599"/>
    <n v="0.25"/>
    <n v="149.75"/>
    <n v="599"/>
    <n v="449.25"/>
    <x v="3"/>
    <x v="1"/>
    <n v="0"/>
    <n v="0.75"/>
    <n v="0"/>
  </r>
  <r>
    <s v="ORD-6024"/>
    <d v="2025-12-13T00:00:00"/>
    <x v="4"/>
    <s v="CUST-518"/>
    <x v="8"/>
    <x v="1"/>
    <x v="1"/>
    <x v="5"/>
    <x v="0"/>
    <n v="1"/>
    <n v="2299"/>
    <n v="0.1"/>
    <n v="229.9"/>
    <n v="2299"/>
    <n v="2069.1"/>
    <x v="3"/>
    <x v="1"/>
    <n v="40"/>
    <n v="0.89999999999999991"/>
    <n v="0"/>
  </r>
  <r>
    <s v="ORD-6025"/>
    <d v="2025-01-03T00:00:00"/>
    <x v="7"/>
    <s v="CUST-646"/>
    <x v="8"/>
    <x v="1"/>
    <x v="1"/>
    <x v="12"/>
    <x v="1"/>
    <n v="3"/>
    <n v="799"/>
    <n v="0.05"/>
    <n v="39.950000000000003"/>
    <n v="2397"/>
    <n v="2357.0500000000002"/>
    <x v="2"/>
    <x v="0"/>
    <n v="40"/>
    <n v="0.98333333333333339"/>
    <n v="0"/>
  </r>
  <r>
    <s v="ORD-6026"/>
    <d v="2025-08-12T00:00:00"/>
    <x v="0"/>
    <s v="CUST-717"/>
    <x v="1"/>
    <x v="1"/>
    <x v="1"/>
    <x v="1"/>
    <x v="1"/>
    <n v="3"/>
    <n v="3999"/>
    <n v="0.05"/>
    <n v="199.95000000000002"/>
    <n v="11997"/>
    <n v="11797.05"/>
    <x v="3"/>
    <x v="0"/>
    <n v="80"/>
    <n v="0.98333333333333328"/>
    <n v="0"/>
  </r>
  <r>
    <s v="ORD-6027"/>
    <d v="2025-11-14T00:00:00"/>
    <x v="10"/>
    <s v="CUST-783"/>
    <x v="6"/>
    <x v="6"/>
    <x v="2"/>
    <x v="22"/>
    <x v="2"/>
    <n v="1"/>
    <n v="3299"/>
    <n v="0.1"/>
    <n v="329.90000000000003"/>
    <n v="3299"/>
    <n v="2969.1"/>
    <x v="3"/>
    <x v="0"/>
    <n v="0"/>
    <n v="0.9"/>
    <n v="0"/>
  </r>
  <r>
    <s v="ORD-6028"/>
    <d v="2025-07-06T00:00:00"/>
    <x v="5"/>
    <s v="CUST-274"/>
    <x v="4"/>
    <x v="4"/>
    <x v="2"/>
    <x v="3"/>
    <x v="0"/>
    <n v="2"/>
    <n v="899"/>
    <n v="0.2"/>
    <n v="179.8"/>
    <n v="1798"/>
    <n v="1618.2"/>
    <x v="2"/>
    <x v="1"/>
    <n v="80"/>
    <n v="0.9"/>
    <n v="0"/>
  </r>
  <r>
    <s v="ORD-6029"/>
    <d v="2025-02-27T00:00:00"/>
    <x v="9"/>
    <s v="CUST-688"/>
    <x v="8"/>
    <x v="1"/>
    <x v="1"/>
    <x v="1"/>
    <x v="1"/>
    <n v="1"/>
    <n v="3999"/>
    <n v="0.1"/>
    <n v="399.90000000000003"/>
    <n v="3999"/>
    <n v="3599.1"/>
    <x v="3"/>
    <x v="0"/>
    <n v="80"/>
    <n v="0.9"/>
    <n v="0"/>
  </r>
  <r>
    <s v="ORD-6030"/>
    <d v="2025-12-24T00:00:00"/>
    <x v="4"/>
    <s v="CUST-648"/>
    <x v="3"/>
    <x v="3"/>
    <x v="3"/>
    <x v="15"/>
    <x v="3"/>
    <n v="2"/>
    <n v="299"/>
    <n v="0.1"/>
    <n v="29.900000000000002"/>
    <n v="598"/>
    <n v="568.1"/>
    <x v="2"/>
    <x v="0"/>
    <n v="60"/>
    <n v="0.95000000000000007"/>
    <n v="0"/>
  </r>
  <r>
    <s v="ORD-6031"/>
    <d v="2025-09-27T00:00:00"/>
    <x v="3"/>
    <s v="CUST-310"/>
    <x v="0"/>
    <x v="0"/>
    <x v="0"/>
    <x v="22"/>
    <x v="2"/>
    <n v="1"/>
    <n v="3299"/>
    <n v="0.15"/>
    <n v="494.84999999999997"/>
    <n v="3299"/>
    <n v="2804.15"/>
    <x v="3"/>
    <x v="0"/>
    <n v="40"/>
    <n v="0.85"/>
    <n v="0"/>
  </r>
  <r>
    <s v="ORD-6032"/>
    <d v="2025-08-20T00:00:00"/>
    <x v="0"/>
    <s v="CUST-222"/>
    <x v="4"/>
    <x v="4"/>
    <x v="2"/>
    <x v="10"/>
    <x v="0"/>
    <n v="2"/>
    <n v="599"/>
    <n v="0.05"/>
    <n v="29.950000000000003"/>
    <n v="1198"/>
    <n v="1168.05"/>
    <x v="0"/>
    <x v="0"/>
    <n v="0"/>
    <n v="0.97499999999999998"/>
    <n v="0"/>
  </r>
  <r>
    <s v="ORD-6033"/>
    <d v="2025-10-08T00:00:00"/>
    <x v="2"/>
    <s v="CUST-227"/>
    <x v="3"/>
    <x v="3"/>
    <x v="3"/>
    <x v="12"/>
    <x v="1"/>
    <n v="1"/>
    <n v="799"/>
    <n v="0.1"/>
    <n v="79.900000000000006"/>
    <n v="799"/>
    <n v="719.1"/>
    <x v="3"/>
    <x v="0"/>
    <n v="80"/>
    <n v="0.9"/>
    <n v="0"/>
  </r>
  <r>
    <s v="ORD-6034"/>
    <d v="2025-04-19T00:00:00"/>
    <x v="6"/>
    <s v="CUST-227"/>
    <x v="4"/>
    <x v="4"/>
    <x v="2"/>
    <x v="11"/>
    <x v="2"/>
    <n v="1"/>
    <n v="5499"/>
    <n v="0.25"/>
    <n v="1374.75"/>
    <n v="5499"/>
    <n v="4124.25"/>
    <x v="3"/>
    <x v="0"/>
    <n v="0"/>
    <n v="0.75"/>
    <n v="0"/>
  </r>
  <r>
    <s v="ORD-6035"/>
    <d v="2025-11-10T00:00:00"/>
    <x v="10"/>
    <s v="CUST-621"/>
    <x v="0"/>
    <x v="0"/>
    <x v="0"/>
    <x v="2"/>
    <x v="2"/>
    <n v="1"/>
    <n v="2799"/>
    <n v="0"/>
    <n v="0"/>
    <n v="2799"/>
    <n v="2799"/>
    <x v="3"/>
    <x v="0"/>
    <n v="0"/>
    <n v="1"/>
    <n v="0"/>
  </r>
  <r>
    <s v="ORD-6036"/>
    <d v="2025-06-06T00:00:00"/>
    <x v="11"/>
    <s v="CUST-813"/>
    <x v="6"/>
    <x v="6"/>
    <x v="2"/>
    <x v="0"/>
    <x v="0"/>
    <n v="1"/>
    <n v="1799"/>
    <n v="0.25"/>
    <n v="449.75"/>
    <n v="1799"/>
    <n v="1349.25"/>
    <x v="3"/>
    <x v="0"/>
    <n v="80"/>
    <n v="0.75"/>
    <n v="0"/>
  </r>
  <r>
    <s v="ORD-6037"/>
    <d v="2025-05-21T00:00:00"/>
    <x v="8"/>
    <s v="CUST-498"/>
    <x v="1"/>
    <x v="1"/>
    <x v="1"/>
    <x v="18"/>
    <x v="4"/>
    <n v="1"/>
    <n v="1299"/>
    <n v="0.1"/>
    <n v="129.9"/>
    <n v="1299"/>
    <n v="1169.0999999999999"/>
    <x v="2"/>
    <x v="0"/>
    <n v="0"/>
    <n v="0.89999999999999991"/>
    <n v="0"/>
  </r>
  <r>
    <s v="ORD-6038"/>
    <d v="2025-09-20T00:00:00"/>
    <x v="3"/>
    <s v="CUST-604"/>
    <x v="7"/>
    <x v="7"/>
    <x v="1"/>
    <x v="15"/>
    <x v="3"/>
    <n v="5"/>
    <n v="299"/>
    <n v="0.25"/>
    <n v="74.75"/>
    <n v="1495"/>
    <n v="1420.25"/>
    <x v="3"/>
    <x v="0"/>
    <n v="60"/>
    <n v="0.95"/>
    <n v="0"/>
  </r>
  <r>
    <s v="ORD-6039"/>
    <d v="2025-12-12T00:00:00"/>
    <x v="4"/>
    <s v="CUST-292"/>
    <x v="0"/>
    <x v="0"/>
    <x v="0"/>
    <x v="12"/>
    <x v="1"/>
    <n v="2"/>
    <n v="799"/>
    <n v="0.2"/>
    <n v="159.80000000000001"/>
    <n v="1598"/>
    <n v="1438.2"/>
    <x v="3"/>
    <x v="0"/>
    <n v="80"/>
    <n v="0.9"/>
    <n v="0"/>
  </r>
  <r>
    <s v="ORD-6040"/>
    <d v="2025-02-22T00:00:00"/>
    <x v="9"/>
    <s v="CUST-867"/>
    <x v="1"/>
    <x v="1"/>
    <x v="1"/>
    <x v="7"/>
    <x v="1"/>
    <n v="1"/>
    <n v="1299"/>
    <n v="0.1"/>
    <n v="129.9"/>
    <n v="1299"/>
    <n v="1169.0999999999999"/>
    <x v="3"/>
    <x v="1"/>
    <n v="40"/>
    <n v="0.89999999999999991"/>
    <n v="0"/>
  </r>
  <r>
    <s v="ORD-6041"/>
    <d v="2025-02-10T00:00:00"/>
    <x v="9"/>
    <s v="CUST-623"/>
    <x v="3"/>
    <x v="3"/>
    <x v="3"/>
    <x v="16"/>
    <x v="4"/>
    <n v="3"/>
    <n v="1599"/>
    <n v="0.1"/>
    <n v="159.9"/>
    <n v="4797"/>
    <n v="4637.1000000000004"/>
    <x v="3"/>
    <x v="0"/>
    <n v="40"/>
    <n v="0.96666666666666679"/>
    <n v="0"/>
  </r>
  <r>
    <s v="ORD-6042"/>
    <d v="2025-11-02T00:00:00"/>
    <x v="10"/>
    <s v="CUST-850"/>
    <x v="1"/>
    <x v="1"/>
    <x v="1"/>
    <x v="14"/>
    <x v="4"/>
    <n v="1"/>
    <n v="399"/>
    <n v="0"/>
    <n v="0"/>
    <n v="399"/>
    <n v="399"/>
    <x v="3"/>
    <x v="0"/>
    <n v="80"/>
    <n v="1"/>
    <n v="0"/>
  </r>
  <r>
    <s v="ORD-6043"/>
    <d v="2025-02-15T00:00:00"/>
    <x v="9"/>
    <s v="CUST-495"/>
    <x v="4"/>
    <x v="4"/>
    <x v="2"/>
    <x v="12"/>
    <x v="1"/>
    <n v="1"/>
    <n v="799"/>
    <n v="0.15"/>
    <n v="119.85"/>
    <n v="799"/>
    <n v="679.15"/>
    <x v="3"/>
    <x v="0"/>
    <n v="80"/>
    <n v="0.85"/>
    <n v="0"/>
  </r>
  <r>
    <s v="ORD-6044"/>
    <d v="2025-05-05T00:00:00"/>
    <x v="8"/>
    <s v="CUST-403"/>
    <x v="3"/>
    <x v="3"/>
    <x v="3"/>
    <x v="0"/>
    <x v="0"/>
    <n v="1"/>
    <n v="1799"/>
    <n v="0"/>
    <n v="0"/>
    <n v="1799"/>
    <n v="1799"/>
    <x v="1"/>
    <x v="0"/>
    <n v="80"/>
    <n v="1"/>
    <n v="0"/>
  </r>
  <r>
    <s v="ORD-6045"/>
    <d v="2025-01-24T00:00:00"/>
    <x v="7"/>
    <s v="CUST-539"/>
    <x v="0"/>
    <x v="0"/>
    <x v="0"/>
    <x v="8"/>
    <x v="1"/>
    <n v="1"/>
    <n v="2499"/>
    <n v="0.15"/>
    <n v="374.84999999999997"/>
    <n v="2499"/>
    <n v="2124.15"/>
    <x v="3"/>
    <x v="2"/>
    <n v="60"/>
    <n v="0.85000000000000009"/>
    <n v="0"/>
  </r>
  <r>
    <s v="ORD-6046"/>
    <d v="2025-11-11T00:00:00"/>
    <x v="10"/>
    <s v="CUST-268"/>
    <x v="5"/>
    <x v="5"/>
    <x v="3"/>
    <x v="0"/>
    <x v="0"/>
    <n v="5"/>
    <n v="1799"/>
    <n v="0.15"/>
    <n v="269.84999999999997"/>
    <n v="8995"/>
    <n v="8725.15"/>
    <x v="2"/>
    <x v="0"/>
    <n v="0"/>
    <n v="0.97"/>
    <n v="0"/>
  </r>
  <r>
    <s v="ORD-6047"/>
    <d v="2025-05-14T00:00:00"/>
    <x v="8"/>
    <s v="CUST-869"/>
    <x v="1"/>
    <x v="1"/>
    <x v="1"/>
    <x v="4"/>
    <x v="3"/>
    <n v="2"/>
    <n v="349"/>
    <n v="0"/>
    <n v="0"/>
    <n v="698"/>
    <n v="698"/>
    <x v="0"/>
    <x v="0"/>
    <n v="60"/>
    <n v="1"/>
    <n v="0"/>
  </r>
  <r>
    <s v="ORD-6048"/>
    <d v="2025-09-13T00:00:00"/>
    <x v="3"/>
    <s v="CUST-211"/>
    <x v="4"/>
    <x v="4"/>
    <x v="2"/>
    <x v="0"/>
    <x v="0"/>
    <n v="1"/>
    <n v="1799"/>
    <n v="0"/>
    <n v="0"/>
    <n v="1799"/>
    <n v="1799"/>
    <x v="0"/>
    <x v="2"/>
    <n v="80"/>
    <n v="1"/>
    <n v="0"/>
  </r>
  <r>
    <s v="ORD-6049"/>
    <d v="2025-04-14T00:00:00"/>
    <x v="6"/>
    <s v="CUST-630"/>
    <x v="1"/>
    <x v="1"/>
    <x v="1"/>
    <x v="4"/>
    <x v="3"/>
    <n v="4"/>
    <n v="349"/>
    <n v="0.05"/>
    <n v="17.45"/>
    <n v="1396"/>
    <n v="1378.55"/>
    <x v="0"/>
    <x v="0"/>
    <n v="80"/>
    <n v="0.98749999999999993"/>
    <n v="0"/>
  </r>
  <r>
    <s v="ORD-6050"/>
    <d v="2025-09-26T00:00:00"/>
    <x v="3"/>
    <s v="CUST-244"/>
    <x v="2"/>
    <x v="2"/>
    <x v="2"/>
    <x v="19"/>
    <x v="2"/>
    <n v="4"/>
    <n v="1499"/>
    <n v="0"/>
    <n v="0"/>
    <n v="5996"/>
    <n v="5996"/>
    <x v="3"/>
    <x v="0"/>
    <n v="60"/>
    <n v="1"/>
    <n v="0"/>
  </r>
  <r>
    <s v="ORD-6051"/>
    <d v="2025-03-31T00:00:00"/>
    <x v="1"/>
    <s v="CUST-469"/>
    <x v="8"/>
    <x v="1"/>
    <x v="1"/>
    <x v="17"/>
    <x v="1"/>
    <n v="3"/>
    <n v="2199"/>
    <n v="0.1"/>
    <n v="219.9"/>
    <n v="6597"/>
    <n v="6377.1"/>
    <x v="0"/>
    <x v="0"/>
    <n v="0"/>
    <n v="0.96666666666666667"/>
    <n v="0"/>
  </r>
  <r>
    <s v="ORD-6052"/>
    <d v="2025-01-21T00:00:00"/>
    <x v="7"/>
    <s v="CUST-550"/>
    <x v="3"/>
    <x v="3"/>
    <x v="3"/>
    <x v="4"/>
    <x v="3"/>
    <n v="5"/>
    <n v="349"/>
    <n v="0"/>
    <n v="0"/>
    <n v="1745"/>
    <n v="1745"/>
    <x v="3"/>
    <x v="0"/>
    <n v="60"/>
    <n v="1"/>
    <n v="0"/>
  </r>
  <r>
    <s v="ORD-6053"/>
    <d v="2025-10-27T00:00:00"/>
    <x v="2"/>
    <s v="CUST-820"/>
    <x v="4"/>
    <x v="4"/>
    <x v="2"/>
    <x v="15"/>
    <x v="3"/>
    <n v="3"/>
    <n v="299"/>
    <n v="0"/>
    <n v="0"/>
    <n v="897"/>
    <n v="897"/>
    <x v="3"/>
    <x v="0"/>
    <n v="60"/>
    <n v="1"/>
    <n v="0"/>
  </r>
  <r>
    <s v="ORD-6054"/>
    <d v="2025-03-30T00:00:00"/>
    <x v="1"/>
    <s v="CUST-221"/>
    <x v="2"/>
    <x v="2"/>
    <x v="2"/>
    <x v="10"/>
    <x v="0"/>
    <n v="2"/>
    <n v="599"/>
    <n v="0"/>
    <n v="0"/>
    <n v="1198"/>
    <n v="1198"/>
    <x v="1"/>
    <x v="0"/>
    <n v="0"/>
    <n v="1"/>
    <n v="0"/>
  </r>
  <r>
    <s v="ORD-6055"/>
    <d v="2025-04-17T00:00:00"/>
    <x v="6"/>
    <s v="CUST-329"/>
    <x v="9"/>
    <x v="8"/>
    <x v="1"/>
    <x v="7"/>
    <x v="1"/>
    <n v="1"/>
    <n v="1299"/>
    <n v="0.1"/>
    <n v="129.9"/>
    <n v="1299"/>
    <n v="1169.0999999999999"/>
    <x v="3"/>
    <x v="0"/>
    <n v="60"/>
    <n v="0.89999999999999991"/>
    <n v="0"/>
  </r>
  <r>
    <s v="ORD-6056"/>
    <d v="2025-08-13T00:00:00"/>
    <x v="0"/>
    <s v="CUST-646"/>
    <x v="0"/>
    <x v="0"/>
    <x v="0"/>
    <x v="8"/>
    <x v="1"/>
    <n v="3"/>
    <n v="2499"/>
    <n v="0.05"/>
    <n v="124.95"/>
    <n v="7497"/>
    <n v="7372.05"/>
    <x v="0"/>
    <x v="1"/>
    <n v="80"/>
    <n v="0.98333333333333339"/>
    <n v="0"/>
  </r>
  <r>
    <s v="ORD-6057"/>
    <d v="2025-01-25T00:00:00"/>
    <x v="7"/>
    <s v="CUST-757"/>
    <x v="9"/>
    <x v="8"/>
    <x v="1"/>
    <x v="20"/>
    <x v="3"/>
    <n v="1"/>
    <n v="499"/>
    <n v="0.25"/>
    <n v="124.75"/>
    <n v="499"/>
    <n v="374.25"/>
    <x v="3"/>
    <x v="0"/>
    <n v="0"/>
    <n v="0.75"/>
    <n v="0"/>
  </r>
  <r>
    <s v="ORD-6058"/>
    <d v="2025-12-13T00:00:00"/>
    <x v="4"/>
    <s v="CUST-725"/>
    <x v="5"/>
    <x v="5"/>
    <x v="3"/>
    <x v="5"/>
    <x v="0"/>
    <n v="2"/>
    <n v="2299"/>
    <n v="0.1"/>
    <n v="229.9"/>
    <n v="4598"/>
    <n v="4368.1000000000004"/>
    <x v="3"/>
    <x v="0"/>
    <n v="0"/>
    <n v="0.95000000000000007"/>
    <n v="0"/>
  </r>
  <r>
    <s v="ORD-6059"/>
    <d v="2025-01-17T00:00:00"/>
    <x v="7"/>
    <s v="CUST-814"/>
    <x v="6"/>
    <x v="6"/>
    <x v="2"/>
    <x v="18"/>
    <x v="4"/>
    <n v="1"/>
    <n v="1299"/>
    <n v="0.05"/>
    <n v="64.95"/>
    <n v="1299"/>
    <n v="1234.05"/>
    <x v="0"/>
    <x v="0"/>
    <n v="40"/>
    <n v="0.95"/>
    <n v="0"/>
  </r>
  <r>
    <s v="ORD-6060"/>
    <d v="2025-10-18T00:00:00"/>
    <x v="2"/>
    <s v="CUST-676"/>
    <x v="1"/>
    <x v="1"/>
    <x v="1"/>
    <x v="21"/>
    <x v="4"/>
    <n v="1"/>
    <n v="699"/>
    <n v="0.2"/>
    <n v="139.80000000000001"/>
    <n v="699"/>
    <n v="559.20000000000005"/>
    <x v="0"/>
    <x v="0"/>
    <n v="80"/>
    <n v="0.8"/>
    <n v="0"/>
  </r>
  <r>
    <s v="ORD-6061"/>
    <d v="2025-03-17T00:00:00"/>
    <x v="1"/>
    <s v="CUST-556"/>
    <x v="3"/>
    <x v="3"/>
    <x v="3"/>
    <x v="0"/>
    <x v="0"/>
    <n v="1"/>
    <n v="1799"/>
    <n v="0.1"/>
    <n v="179.9"/>
    <n v="1799"/>
    <n v="1619.1"/>
    <x v="0"/>
    <x v="0"/>
    <n v="60"/>
    <n v="0.89999999999999991"/>
    <n v="0"/>
  </r>
  <r>
    <s v="ORD-6062"/>
    <d v="2025-11-27T00:00:00"/>
    <x v="10"/>
    <s v="CUST-804"/>
    <x v="2"/>
    <x v="2"/>
    <x v="2"/>
    <x v="0"/>
    <x v="0"/>
    <n v="1"/>
    <n v="1799"/>
    <n v="0.1"/>
    <n v="179.9"/>
    <n v="1799"/>
    <n v="1619.1"/>
    <x v="3"/>
    <x v="1"/>
    <n v="0"/>
    <n v="0.89999999999999991"/>
    <n v="0"/>
  </r>
  <r>
    <s v="ORD-6063"/>
    <d v="2025-08-09T00:00:00"/>
    <x v="0"/>
    <s v="CUST-307"/>
    <x v="9"/>
    <x v="8"/>
    <x v="1"/>
    <x v="5"/>
    <x v="0"/>
    <n v="2"/>
    <n v="2299"/>
    <n v="0.15"/>
    <n v="344.84999999999997"/>
    <n v="4598"/>
    <n v="4253.1499999999996"/>
    <x v="3"/>
    <x v="1"/>
    <n v="0"/>
    <n v="0.92499999999999993"/>
    <n v="0"/>
  </r>
  <r>
    <s v="ORD-6064"/>
    <d v="2025-01-25T00:00:00"/>
    <x v="7"/>
    <s v="CUST-891"/>
    <x v="8"/>
    <x v="1"/>
    <x v="1"/>
    <x v="18"/>
    <x v="4"/>
    <n v="2"/>
    <n v="1299"/>
    <n v="0"/>
    <n v="0"/>
    <n v="2598"/>
    <n v="2598"/>
    <x v="0"/>
    <x v="0"/>
    <n v="40"/>
    <n v="1"/>
    <n v="0"/>
  </r>
  <r>
    <s v="ORD-6065"/>
    <d v="2025-03-19T00:00:00"/>
    <x v="1"/>
    <s v="CUST-625"/>
    <x v="7"/>
    <x v="7"/>
    <x v="1"/>
    <x v="9"/>
    <x v="1"/>
    <n v="1"/>
    <n v="1899"/>
    <n v="0.05"/>
    <n v="94.95"/>
    <n v="1899"/>
    <n v="1804.05"/>
    <x v="3"/>
    <x v="0"/>
    <n v="80"/>
    <n v="0.95"/>
    <n v="0"/>
  </r>
  <r>
    <s v="ORD-6066"/>
    <d v="2025-12-23T00:00:00"/>
    <x v="4"/>
    <s v="CUST-277"/>
    <x v="10"/>
    <x v="9"/>
    <x v="4"/>
    <x v="16"/>
    <x v="4"/>
    <n v="2"/>
    <n v="1599"/>
    <n v="0"/>
    <n v="0"/>
    <n v="3198"/>
    <n v="3198"/>
    <x v="1"/>
    <x v="2"/>
    <n v="0"/>
    <n v="1"/>
    <n v="0"/>
  </r>
  <r>
    <s v="ORD-6067"/>
    <d v="2025-05-26T00:00:00"/>
    <x v="8"/>
    <s v="CUST-890"/>
    <x v="4"/>
    <x v="4"/>
    <x v="2"/>
    <x v="5"/>
    <x v="0"/>
    <n v="1"/>
    <n v="2299"/>
    <n v="0.1"/>
    <n v="229.9"/>
    <n v="2299"/>
    <n v="2069.1"/>
    <x v="1"/>
    <x v="1"/>
    <n v="0"/>
    <n v="0.89999999999999991"/>
    <n v="0"/>
  </r>
  <r>
    <s v="ORD-6068"/>
    <d v="2025-02-17T00:00:00"/>
    <x v="9"/>
    <s v="CUST-344"/>
    <x v="8"/>
    <x v="1"/>
    <x v="1"/>
    <x v="12"/>
    <x v="1"/>
    <n v="2"/>
    <n v="799"/>
    <n v="0.15"/>
    <n v="119.85"/>
    <n v="1598"/>
    <n v="1478.15"/>
    <x v="0"/>
    <x v="0"/>
    <n v="0"/>
    <n v="0.92500000000000004"/>
    <n v="0"/>
  </r>
  <r>
    <s v="ORD-6069"/>
    <d v="2025-11-16T00:00:00"/>
    <x v="10"/>
    <s v="CUST-711"/>
    <x v="4"/>
    <x v="4"/>
    <x v="2"/>
    <x v="5"/>
    <x v="0"/>
    <n v="1"/>
    <n v="2299"/>
    <n v="0.15"/>
    <n v="344.84999999999997"/>
    <n v="2299"/>
    <n v="1954.15"/>
    <x v="1"/>
    <x v="0"/>
    <n v="80"/>
    <n v="0.85000000000000009"/>
    <n v="0"/>
  </r>
  <r>
    <s v="ORD-6070"/>
    <d v="2025-05-28T00:00:00"/>
    <x v="8"/>
    <s v="CUST-317"/>
    <x v="2"/>
    <x v="2"/>
    <x v="2"/>
    <x v="1"/>
    <x v="1"/>
    <n v="1"/>
    <n v="3999"/>
    <n v="0.2"/>
    <n v="799.80000000000007"/>
    <n v="3999"/>
    <n v="3199.2"/>
    <x v="2"/>
    <x v="0"/>
    <n v="80"/>
    <n v="0.79999999999999993"/>
    <n v="0"/>
  </r>
  <r>
    <s v="ORD-6071"/>
    <d v="2025-11-20T00:00:00"/>
    <x v="10"/>
    <s v="CUST-731"/>
    <x v="7"/>
    <x v="7"/>
    <x v="1"/>
    <x v="20"/>
    <x v="3"/>
    <n v="4"/>
    <n v="499"/>
    <n v="0.25"/>
    <n v="124.75"/>
    <n v="1996"/>
    <n v="1871.25"/>
    <x v="2"/>
    <x v="0"/>
    <n v="0"/>
    <n v="0.9375"/>
    <n v="0"/>
  </r>
  <r>
    <s v="ORD-6072"/>
    <d v="2025-08-24T00:00:00"/>
    <x v="0"/>
    <s v="CUST-589"/>
    <x v="4"/>
    <x v="4"/>
    <x v="2"/>
    <x v="6"/>
    <x v="0"/>
    <n v="1"/>
    <n v="1599"/>
    <n v="0.05"/>
    <n v="79.95"/>
    <n v="1599"/>
    <n v="1519.05"/>
    <x v="0"/>
    <x v="0"/>
    <n v="40"/>
    <n v="0.95"/>
    <n v="0"/>
  </r>
  <r>
    <s v="ORD-6073"/>
    <d v="2025-07-12T00:00:00"/>
    <x v="5"/>
    <s v="CUST-573"/>
    <x v="9"/>
    <x v="8"/>
    <x v="1"/>
    <x v="12"/>
    <x v="1"/>
    <n v="2"/>
    <n v="799"/>
    <n v="0"/>
    <n v="0"/>
    <n v="1598"/>
    <n v="1598"/>
    <x v="0"/>
    <x v="0"/>
    <n v="40"/>
    <n v="1"/>
    <n v="0"/>
  </r>
  <r>
    <s v="ORD-6074"/>
    <d v="2025-04-15T00:00:00"/>
    <x v="6"/>
    <s v="CUST-332"/>
    <x v="3"/>
    <x v="3"/>
    <x v="3"/>
    <x v="9"/>
    <x v="1"/>
    <n v="1"/>
    <n v="1899"/>
    <n v="0"/>
    <n v="0"/>
    <n v="1899"/>
    <n v="1899"/>
    <x v="0"/>
    <x v="1"/>
    <n v="60"/>
    <n v="1"/>
    <n v="0"/>
  </r>
  <r>
    <s v="ORD-6075"/>
    <d v="2025-09-15T00:00:00"/>
    <x v="3"/>
    <s v="CUST-670"/>
    <x v="0"/>
    <x v="0"/>
    <x v="0"/>
    <x v="21"/>
    <x v="4"/>
    <n v="1"/>
    <n v="699"/>
    <n v="0"/>
    <n v="0"/>
    <n v="699"/>
    <n v="699"/>
    <x v="3"/>
    <x v="0"/>
    <n v="40"/>
    <n v="1"/>
    <n v="0"/>
  </r>
  <r>
    <s v="ORD-6076"/>
    <d v="2025-11-04T00:00:00"/>
    <x v="10"/>
    <s v="CUST-545"/>
    <x v="8"/>
    <x v="1"/>
    <x v="1"/>
    <x v="17"/>
    <x v="1"/>
    <n v="2"/>
    <n v="2199"/>
    <n v="0.25"/>
    <n v="549.75"/>
    <n v="4398"/>
    <n v="3848.25"/>
    <x v="2"/>
    <x v="0"/>
    <n v="0"/>
    <n v="0.875"/>
    <n v="0"/>
  </r>
  <r>
    <s v="ORD-6077"/>
    <d v="2025-05-01T00:00:00"/>
    <x v="8"/>
    <s v="CUST-604"/>
    <x v="0"/>
    <x v="0"/>
    <x v="0"/>
    <x v="18"/>
    <x v="4"/>
    <n v="1"/>
    <n v="1299"/>
    <n v="0.1"/>
    <n v="129.9"/>
    <n v="1299"/>
    <n v="1169.0999999999999"/>
    <x v="1"/>
    <x v="0"/>
    <n v="80"/>
    <n v="0.89999999999999991"/>
    <n v="0"/>
  </r>
  <r>
    <s v="ORD-6078"/>
    <d v="2025-11-01T00:00:00"/>
    <x v="10"/>
    <s v="CUST-589"/>
    <x v="1"/>
    <x v="1"/>
    <x v="1"/>
    <x v="7"/>
    <x v="1"/>
    <n v="1"/>
    <n v="1299"/>
    <n v="0.15"/>
    <n v="194.85"/>
    <n v="1299"/>
    <n v="1104.1500000000001"/>
    <x v="0"/>
    <x v="0"/>
    <n v="0"/>
    <n v="0.85000000000000009"/>
    <n v="0"/>
  </r>
  <r>
    <s v="ORD-6079"/>
    <d v="2025-09-22T00:00:00"/>
    <x v="3"/>
    <s v="CUST-786"/>
    <x v="3"/>
    <x v="3"/>
    <x v="3"/>
    <x v="17"/>
    <x v="1"/>
    <n v="1"/>
    <n v="2199"/>
    <n v="0.25"/>
    <n v="549.75"/>
    <n v="2199"/>
    <n v="1649.25"/>
    <x v="3"/>
    <x v="0"/>
    <n v="80"/>
    <n v="0.75"/>
    <n v="0"/>
  </r>
  <r>
    <s v="ORD-6080"/>
    <d v="2025-06-18T00:00:00"/>
    <x v="11"/>
    <s v="CUST-795"/>
    <x v="9"/>
    <x v="8"/>
    <x v="1"/>
    <x v="7"/>
    <x v="1"/>
    <n v="2"/>
    <n v="1299"/>
    <n v="0"/>
    <n v="0"/>
    <n v="2598"/>
    <n v="2598"/>
    <x v="3"/>
    <x v="1"/>
    <n v="40"/>
    <n v="1"/>
    <n v="0"/>
  </r>
  <r>
    <s v="ORD-6081"/>
    <d v="2025-06-23T00:00:00"/>
    <x v="11"/>
    <s v="CUST-430"/>
    <x v="6"/>
    <x v="6"/>
    <x v="2"/>
    <x v="6"/>
    <x v="0"/>
    <n v="1"/>
    <n v="1599"/>
    <n v="0.2"/>
    <n v="319.8"/>
    <n v="1599"/>
    <n v="1279.2"/>
    <x v="0"/>
    <x v="2"/>
    <n v="40"/>
    <n v="0.8"/>
    <n v="0"/>
  </r>
  <r>
    <s v="ORD-6082"/>
    <d v="2025-05-06T00:00:00"/>
    <x v="8"/>
    <s v="CUST-480"/>
    <x v="4"/>
    <x v="4"/>
    <x v="2"/>
    <x v="0"/>
    <x v="0"/>
    <n v="2"/>
    <n v="1799"/>
    <n v="0.15"/>
    <n v="269.84999999999997"/>
    <n v="3598"/>
    <n v="3328.15"/>
    <x v="3"/>
    <x v="0"/>
    <n v="60"/>
    <n v="0.92500000000000004"/>
    <n v="0"/>
  </r>
  <r>
    <s v="ORD-6083"/>
    <d v="2025-03-06T00:00:00"/>
    <x v="1"/>
    <s v="CUST-897"/>
    <x v="8"/>
    <x v="1"/>
    <x v="1"/>
    <x v="5"/>
    <x v="0"/>
    <n v="2"/>
    <n v="2299"/>
    <n v="0.05"/>
    <n v="114.95"/>
    <n v="4598"/>
    <n v="4483.05"/>
    <x v="3"/>
    <x v="0"/>
    <n v="60"/>
    <n v="0.97500000000000009"/>
    <n v="0"/>
  </r>
  <r>
    <s v="ORD-6084"/>
    <d v="2025-05-07T00:00:00"/>
    <x v="8"/>
    <s v="CUST-767"/>
    <x v="4"/>
    <x v="4"/>
    <x v="2"/>
    <x v="6"/>
    <x v="0"/>
    <n v="3"/>
    <n v="1599"/>
    <n v="0.1"/>
    <n v="159.9"/>
    <n v="4797"/>
    <n v="4637.1000000000004"/>
    <x v="2"/>
    <x v="0"/>
    <n v="80"/>
    <n v="0.96666666666666679"/>
    <n v="0"/>
  </r>
  <r>
    <s v="ORD-6085"/>
    <d v="2025-07-10T00:00:00"/>
    <x v="5"/>
    <s v="CUST-631"/>
    <x v="2"/>
    <x v="2"/>
    <x v="2"/>
    <x v="7"/>
    <x v="1"/>
    <n v="2"/>
    <n v="1299"/>
    <n v="0.05"/>
    <n v="64.95"/>
    <n v="2598"/>
    <n v="2533.0500000000002"/>
    <x v="2"/>
    <x v="0"/>
    <n v="80"/>
    <n v="0.97500000000000009"/>
    <n v="0"/>
  </r>
  <r>
    <s v="ORD-6086"/>
    <d v="2025-09-27T00:00:00"/>
    <x v="3"/>
    <s v="CUST-492"/>
    <x v="4"/>
    <x v="4"/>
    <x v="2"/>
    <x v="11"/>
    <x v="2"/>
    <n v="1"/>
    <n v="5499"/>
    <n v="0.2"/>
    <n v="1099.8"/>
    <n v="5499"/>
    <n v="4399.2"/>
    <x v="2"/>
    <x v="1"/>
    <n v="0"/>
    <n v="0.79999999999999993"/>
    <n v="0"/>
  </r>
  <r>
    <s v="ORD-6087"/>
    <d v="2025-03-14T00:00:00"/>
    <x v="1"/>
    <s v="CUST-648"/>
    <x v="6"/>
    <x v="6"/>
    <x v="2"/>
    <x v="6"/>
    <x v="0"/>
    <n v="1"/>
    <n v="1599"/>
    <n v="0.25"/>
    <n v="399.75"/>
    <n v="1599"/>
    <n v="1199.25"/>
    <x v="3"/>
    <x v="0"/>
    <n v="40"/>
    <n v="0.75"/>
    <n v="0"/>
  </r>
  <r>
    <s v="ORD-6088"/>
    <d v="2025-09-10T00:00:00"/>
    <x v="3"/>
    <s v="CUST-303"/>
    <x v="8"/>
    <x v="1"/>
    <x v="1"/>
    <x v="11"/>
    <x v="2"/>
    <n v="1"/>
    <n v="5499"/>
    <n v="0.25"/>
    <n v="1374.75"/>
    <n v="5499"/>
    <n v="4124.25"/>
    <x v="3"/>
    <x v="0"/>
    <n v="40"/>
    <n v="0.75"/>
    <n v="0"/>
  </r>
  <r>
    <s v="ORD-6089"/>
    <d v="2025-11-20T00:00:00"/>
    <x v="10"/>
    <s v="CUST-201"/>
    <x v="4"/>
    <x v="4"/>
    <x v="2"/>
    <x v="9"/>
    <x v="1"/>
    <n v="2"/>
    <n v="1899"/>
    <n v="0.2"/>
    <n v="379.8"/>
    <n v="3798"/>
    <n v="3418.2"/>
    <x v="2"/>
    <x v="0"/>
    <n v="80"/>
    <n v="0.89999999999999991"/>
    <n v="0"/>
  </r>
  <r>
    <s v="ORD-6090"/>
    <d v="2025-06-02T00:00:00"/>
    <x v="11"/>
    <s v="CUST-552"/>
    <x v="4"/>
    <x v="4"/>
    <x v="2"/>
    <x v="8"/>
    <x v="1"/>
    <n v="1"/>
    <n v="2499"/>
    <n v="0.15"/>
    <n v="374.84999999999997"/>
    <n v="2499"/>
    <n v="2124.15"/>
    <x v="3"/>
    <x v="0"/>
    <n v="0"/>
    <n v="0.85000000000000009"/>
    <n v="0"/>
  </r>
  <r>
    <s v="ORD-6091"/>
    <d v="2025-01-10T00:00:00"/>
    <x v="7"/>
    <s v="CUST-790"/>
    <x v="6"/>
    <x v="6"/>
    <x v="2"/>
    <x v="12"/>
    <x v="1"/>
    <n v="1"/>
    <n v="799"/>
    <n v="0.2"/>
    <n v="159.80000000000001"/>
    <n v="799"/>
    <n v="639.20000000000005"/>
    <x v="0"/>
    <x v="0"/>
    <n v="60"/>
    <n v="0.8"/>
    <n v="0"/>
  </r>
  <r>
    <s v="ORD-6092"/>
    <d v="2025-02-14T00:00:00"/>
    <x v="9"/>
    <s v="CUST-575"/>
    <x v="6"/>
    <x v="6"/>
    <x v="2"/>
    <x v="0"/>
    <x v="0"/>
    <n v="3"/>
    <n v="1799"/>
    <n v="0.15"/>
    <n v="269.84999999999997"/>
    <n v="5397"/>
    <n v="5127.1499999999996"/>
    <x v="3"/>
    <x v="1"/>
    <n v="40"/>
    <n v="0.95"/>
    <n v="0"/>
  </r>
  <r>
    <s v="ORD-6093"/>
    <d v="2025-02-15T00:00:00"/>
    <x v="9"/>
    <s v="CUST-256"/>
    <x v="6"/>
    <x v="6"/>
    <x v="2"/>
    <x v="21"/>
    <x v="4"/>
    <n v="1"/>
    <n v="699"/>
    <n v="0.05"/>
    <n v="34.950000000000003"/>
    <n v="699"/>
    <n v="664.05"/>
    <x v="0"/>
    <x v="0"/>
    <n v="60"/>
    <n v="0.95"/>
    <n v="0"/>
  </r>
  <r>
    <s v="ORD-6094"/>
    <d v="2025-02-01T00:00:00"/>
    <x v="9"/>
    <s v="CUST-314"/>
    <x v="8"/>
    <x v="1"/>
    <x v="1"/>
    <x v="6"/>
    <x v="0"/>
    <n v="1"/>
    <n v="1599"/>
    <n v="0.15"/>
    <n v="239.85"/>
    <n v="1599"/>
    <n v="1359.15"/>
    <x v="0"/>
    <x v="0"/>
    <n v="40"/>
    <n v="0.85000000000000009"/>
    <n v="0"/>
  </r>
  <r>
    <s v="ORD-6095"/>
    <d v="2025-02-15T00:00:00"/>
    <x v="9"/>
    <s v="CUST-286"/>
    <x v="2"/>
    <x v="2"/>
    <x v="2"/>
    <x v="6"/>
    <x v="0"/>
    <n v="1"/>
    <n v="1599"/>
    <n v="0.2"/>
    <n v="319.8"/>
    <n v="1599"/>
    <n v="1279.2"/>
    <x v="3"/>
    <x v="0"/>
    <n v="40"/>
    <n v="0.8"/>
    <n v="0"/>
  </r>
  <r>
    <s v="ORD-6096"/>
    <d v="2025-01-12T00:00:00"/>
    <x v="7"/>
    <s v="CUST-793"/>
    <x v="5"/>
    <x v="5"/>
    <x v="3"/>
    <x v="0"/>
    <x v="0"/>
    <n v="1"/>
    <n v="1799"/>
    <n v="0.15"/>
    <n v="269.84999999999997"/>
    <n v="1799"/>
    <n v="1529.15"/>
    <x v="3"/>
    <x v="1"/>
    <n v="40"/>
    <n v="0.85000000000000009"/>
    <n v="0"/>
  </r>
  <r>
    <s v="ORD-6097"/>
    <d v="2025-01-14T00:00:00"/>
    <x v="7"/>
    <s v="CUST-810"/>
    <x v="4"/>
    <x v="4"/>
    <x v="2"/>
    <x v="9"/>
    <x v="1"/>
    <n v="1"/>
    <n v="1899"/>
    <n v="0.25"/>
    <n v="474.75"/>
    <n v="1899"/>
    <n v="1424.25"/>
    <x v="3"/>
    <x v="0"/>
    <n v="60"/>
    <n v="0.75"/>
    <n v="0"/>
  </r>
  <r>
    <s v="ORD-6098"/>
    <d v="2025-06-11T00:00:00"/>
    <x v="11"/>
    <s v="CUST-220"/>
    <x v="4"/>
    <x v="4"/>
    <x v="2"/>
    <x v="1"/>
    <x v="1"/>
    <n v="2"/>
    <n v="3999"/>
    <n v="0"/>
    <n v="0"/>
    <n v="7998"/>
    <n v="7998"/>
    <x v="0"/>
    <x v="0"/>
    <n v="0"/>
    <n v="1"/>
    <n v="0"/>
  </r>
  <r>
    <s v="ORD-6099"/>
    <d v="2025-05-05T00:00:00"/>
    <x v="8"/>
    <s v="CUST-694"/>
    <x v="1"/>
    <x v="1"/>
    <x v="1"/>
    <x v="9"/>
    <x v="1"/>
    <n v="2"/>
    <n v="1899"/>
    <n v="0.1"/>
    <n v="189.9"/>
    <n v="3798"/>
    <n v="3608.1"/>
    <x v="1"/>
    <x v="0"/>
    <n v="0"/>
    <n v="0.95"/>
    <n v="0"/>
  </r>
  <r>
    <s v="ORD-6100"/>
    <d v="2025-01-05T00:00:00"/>
    <x v="7"/>
    <s v="CUST-765"/>
    <x v="4"/>
    <x v="4"/>
    <x v="2"/>
    <x v="16"/>
    <x v="4"/>
    <n v="3"/>
    <n v="1599"/>
    <n v="0"/>
    <n v="0"/>
    <n v="4797"/>
    <n v="4797"/>
    <x v="2"/>
    <x v="0"/>
    <n v="80"/>
    <n v="1"/>
    <n v="0"/>
  </r>
  <r>
    <s v="ORD-6101"/>
    <d v="2025-12-13T00:00:00"/>
    <x v="4"/>
    <s v="CUST-428"/>
    <x v="1"/>
    <x v="1"/>
    <x v="1"/>
    <x v="13"/>
    <x v="2"/>
    <n v="2"/>
    <n v="449"/>
    <n v="0"/>
    <n v="0"/>
    <n v="898"/>
    <n v="898"/>
    <x v="3"/>
    <x v="0"/>
    <n v="0"/>
    <n v="1"/>
    <n v="0"/>
  </r>
  <r>
    <s v="ORD-6102"/>
    <d v="2025-10-04T00:00:00"/>
    <x v="2"/>
    <s v="CUST-542"/>
    <x v="4"/>
    <x v="4"/>
    <x v="2"/>
    <x v="16"/>
    <x v="4"/>
    <n v="2"/>
    <n v="1599"/>
    <n v="0.25"/>
    <n v="399.75"/>
    <n v="3198"/>
    <n v="2798.25"/>
    <x v="3"/>
    <x v="0"/>
    <n v="60"/>
    <n v="0.875"/>
    <n v="0"/>
  </r>
  <r>
    <s v="ORD-6103"/>
    <d v="2025-05-15T00:00:00"/>
    <x v="8"/>
    <s v="CUST-621"/>
    <x v="6"/>
    <x v="6"/>
    <x v="2"/>
    <x v="7"/>
    <x v="1"/>
    <n v="3"/>
    <n v="1299"/>
    <n v="0"/>
    <n v="0"/>
    <n v="3897"/>
    <n v="3897"/>
    <x v="3"/>
    <x v="1"/>
    <n v="0"/>
    <n v="1"/>
    <n v="0"/>
  </r>
  <r>
    <s v="ORD-6104"/>
    <d v="2025-08-21T00:00:00"/>
    <x v="0"/>
    <s v="CUST-730"/>
    <x v="4"/>
    <x v="4"/>
    <x v="2"/>
    <x v="16"/>
    <x v="4"/>
    <n v="1"/>
    <n v="1599"/>
    <n v="0.15"/>
    <n v="239.85"/>
    <n v="1599"/>
    <n v="1359.15"/>
    <x v="3"/>
    <x v="0"/>
    <n v="0"/>
    <n v="0.85000000000000009"/>
    <n v="0"/>
  </r>
  <r>
    <s v="ORD-6105"/>
    <d v="2025-03-04T00:00:00"/>
    <x v="1"/>
    <s v="CUST-459"/>
    <x v="1"/>
    <x v="1"/>
    <x v="1"/>
    <x v="12"/>
    <x v="1"/>
    <n v="1"/>
    <n v="799"/>
    <n v="0.05"/>
    <n v="39.950000000000003"/>
    <n v="799"/>
    <n v="759.05"/>
    <x v="3"/>
    <x v="0"/>
    <n v="40"/>
    <n v="0.95"/>
    <n v="0"/>
  </r>
  <r>
    <s v="ORD-6106"/>
    <d v="2025-05-11T00:00:00"/>
    <x v="8"/>
    <s v="CUST-568"/>
    <x v="1"/>
    <x v="1"/>
    <x v="1"/>
    <x v="13"/>
    <x v="2"/>
    <n v="1"/>
    <n v="449"/>
    <n v="0.2"/>
    <n v="89.800000000000011"/>
    <n v="449"/>
    <n v="359.2"/>
    <x v="3"/>
    <x v="0"/>
    <n v="80"/>
    <n v="0.79999999999999993"/>
    <n v="0"/>
  </r>
  <r>
    <s v="ORD-6107"/>
    <d v="2025-04-29T00:00:00"/>
    <x v="6"/>
    <s v="CUST-786"/>
    <x v="1"/>
    <x v="1"/>
    <x v="1"/>
    <x v="13"/>
    <x v="2"/>
    <n v="1"/>
    <n v="449"/>
    <n v="0.25"/>
    <n v="112.25"/>
    <n v="449"/>
    <n v="336.75"/>
    <x v="0"/>
    <x v="2"/>
    <n v="60"/>
    <n v="0.75"/>
    <n v="0"/>
  </r>
  <r>
    <s v="ORD-6108"/>
    <d v="2025-05-02T00:00:00"/>
    <x v="8"/>
    <s v="CUST-268"/>
    <x v="1"/>
    <x v="1"/>
    <x v="1"/>
    <x v="5"/>
    <x v="0"/>
    <n v="1"/>
    <n v="2299"/>
    <n v="0.15"/>
    <n v="344.84999999999997"/>
    <n v="2299"/>
    <n v="1954.15"/>
    <x v="3"/>
    <x v="0"/>
    <n v="60"/>
    <n v="0.85000000000000009"/>
    <n v="0"/>
  </r>
  <r>
    <s v="ORD-6109"/>
    <d v="2025-08-27T00:00:00"/>
    <x v="0"/>
    <s v="CUST-835"/>
    <x v="2"/>
    <x v="2"/>
    <x v="2"/>
    <x v="7"/>
    <x v="1"/>
    <n v="1"/>
    <n v="1299"/>
    <n v="0.2"/>
    <n v="259.8"/>
    <n v="1299"/>
    <n v="1039.2"/>
    <x v="0"/>
    <x v="0"/>
    <n v="0"/>
    <n v="0.8"/>
    <n v="0"/>
  </r>
  <r>
    <s v="ORD-6110"/>
    <d v="2025-12-02T00:00:00"/>
    <x v="4"/>
    <s v="CUST-226"/>
    <x v="3"/>
    <x v="3"/>
    <x v="3"/>
    <x v="18"/>
    <x v="4"/>
    <n v="1"/>
    <n v="1299"/>
    <n v="0.05"/>
    <n v="64.95"/>
    <n v="1299"/>
    <n v="1234.05"/>
    <x v="0"/>
    <x v="0"/>
    <n v="0"/>
    <n v="0.95"/>
    <n v="0"/>
  </r>
  <r>
    <s v="ORD-6111"/>
    <d v="2025-12-21T00:00:00"/>
    <x v="4"/>
    <s v="CUST-882"/>
    <x v="9"/>
    <x v="8"/>
    <x v="1"/>
    <x v="22"/>
    <x v="2"/>
    <n v="3"/>
    <n v="3299"/>
    <n v="0"/>
    <n v="0"/>
    <n v="9897"/>
    <n v="9897"/>
    <x v="3"/>
    <x v="0"/>
    <n v="80"/>
    <n v="1"/>
    <n v="0"/>
  </r>
  <r>
    <s v="ORD-6112"/>
    <d v="2025-06-20T00:00:00"/>
    <x v="11"/>
    <s v="CUST-848"/>
    <x v="8"/>
    <x v="1"/>
    <x v="1"/>
    <x v="14"/>
    <x v="4"/>
    <n v="1"/>
    <n v="399"/>
    <n v="0.1"/>
    <n v="39.900000000000006"/>
    <n v="399"/>
    <n v="359.1"/>
    <x v="1"/>
    <x v="0"/>
    <n v="40"/>
    <n v="0.9"/>
    <n v="0"/>
  </r>
  <r>
    <s v="ORD-6113"/>
    <d v="2025-11-14T00:00:00"/>
    <x v="10"/>
    <s v="CUST-655"/>
    <x v="3"/>
    <x v="3"/>
    <x v="3"/>
    <x v="17"/>
    <x v="1"/>
    <n v="3"/>
    <n v="2199"/>
    <n v="0"/>
    <n v="0"/>
    <n v="6597"/>
    <n v="6597"/>
    <x v="3"/>
    <x v="0"/>
    <n v="0"/>
    <n v="1"/>
    <n v="0"/>
  </r>
  <r>
    <s v="ORD-6114"/>
    <d v="2025-03-06T00:00:00"/>
    <x v="1"/>
    <s v="CUST-798"/>
    <x v="1"/>
    <x v="1"/>
    <x v="1"/>
    <x v="9"/>
    <x v="1"/>
    <n v="4"/>
    <n v="1899"/>
    <n v="0.1"/>
    <n v="189.9"/>
    <n v="7596"/>
    <n v="7406.1"/>
    <x v="3"/>
    <x v="0"/>
    <n v="40"/>
    <n v="0.97500000000000009"/>
    <n v="0"/>
  </r>
  <r>
    <s v="ORD-6115"/>
    <d v="2025-12-29T00:00:00"/>
    <x v="4"/>
    <s v="CUST-808"/>
    <x v="6"/>
    <x v="6"/>
    <x v="2"/>
    <x v="13"/>
    <x v="2"/>
    <n v="1"/>
    <n v="449"/>
    <n v="0.15"/>
    <n v="67.349999999999994"/>
    <n v="449"/>
    <n v="381.65"/>
    <x v="3"/>
    <x v="0"/>
    <n v="40"/>
    <n v="0.85"/>
    <n v="0"/>
  </r>
  <r>
    <s v="ORD-6116"/>
    <d v="2025-06-26T00:00:00"/>
    <x v="11"/>
    <s v="CUST-656"/>
    <x v="6"/>
    <x v="6"/>
    <x v="2"/>
    <x v="6"/>
    <x v="0"/>
    <n v="2"/>
    <n v="1599"/>
    <n v="0.1"/>
    <n v="159.9"/>
    <n v="3198"/>
    <n v="3038.1"/>
    <x v="1"/>
    <x v="0"/>
    <n v="80"/>
    <n v="0.95"/>
    <n v="0"/>
  </r>
  <r>
    <s v="ORD-6117"/>
    <d v="2025-02-04T00:00:00"/>
    <x v="9"/>
    <s v="CUST-348"/>
    <x v="2"/>
    <x v="2"/>
    <x v="2"/>
    <x v="1"/>
    <x v="1"/>
    <n v="1"/>
    <n v="3999"/>
    <n v="0.05"/>
    <n v="199.95000000000002"/>
    <n v="3999"/>
    <n v="3799.05"/>
    <x v="3"/>
    <x v="2"/>
    <n v="40"/>
    <n v="0.95000000000000007"/>
    <n v="0"/>
  </r>
  <r>
    <s v="ORD-6118"/>
    <d v="2025-09-25T00:00:00"/>
    <x v="3"/>
    <s v="CUST-341"/>
    <x v="6"/>
    <x v="6"/>
    <x v="2"/>
    <x v="15"/>
    <x v="3"/>
    <n v="1"/>
    <n v="299"/>
    <n v="0.15"/>
    <n v="44.85"/>
    <n v="299"/>
    <n v="254.15"/>
    <x v="0"/>
    <x v="0"/>
    <n v="80"/>
    <n v="0.85"/>
    <n v="0"/>
  </r>
  <r>
    <s v="ORD-6119"/>
    <d v="2025-01-23T00:00:00"/>
    <x v="7"/>
    <s v="CUST-252"/>
    <x v="1"/>
    <x v="1"/>
    <x v="1"/>
    <x v="5"/>
    <x v="0"/>
    <n v="1"/>
    <n v="2299"/>
    <n v="0.15"/>
    <n v="344.84999999999997"/>
    <n v="2299"/>
    <n v="1954.15"/>
    <x v="0"/>
    <x v="0"/>
    <n v="60"/>
    <n v="0.85000000000000009"/>
    <n v="0"/>
  </r>
  <r>
    <s v="ORD-6120"/>
    <d v="2025-08-15T00:00:00"/>
    <x v="0"/>
    <s v="CUST-472"/>
    <x v="6"/>
    <x v="6"/>
    <x v="2"/>
    <x v="9"/>
    <x v="1"/>
    <n v="1"/>
    <n v="1899"/>
    <n v="0.1"/>
    <n v="189.9"/>
    <n v="1899"/>
    <n v="1709.1"/>
    <x v="3"/>
    <x v="0"/>
    <n v="80"/>
    <n v="0.89999999999999991"/>
    <n v="0"/>
  </r>
  <r>
    <s v="ORD-6121"/>
    <d v="2025-11-15T00:00:00"/>
    <x v="10"/>
    <s v="CUST-620"/>
    <x v="8"/>
    <x v="1"/>
    <x v="1"/>
    <x v="22"/>
    <x v="2"/>
    <n v="1"/>
    <n v="3299"/>
    <n v="0.1"/>
    <n v="329.90000000000003"/>
    <n v="3299"/>
    <n v="2969.1"/>
    <x v="0"/>
    <x v="0"/>
    <n v="0"/>
    <n v="0.9"/>
    <n v="0"/>
  </r>
  <r>
    <s v="ORD-6122"/>
    <d v="2025-01-13T00:00:00"/>
    <x v="7"/>
    <s v="CUST-674"/>
    <x v="1"/>
    <x v="1"/>
    <x v="1"/>
    <x v="0"/>
    <x v="0"/>
    <n v="3"/>
    <n v="1799"/>
    <n v="0.15"/>
    <n v="269.84999999999997"/>
    <n v="5397"/>
    <n v="5127.1499999999996"/>
    <x v="0"/>
    <x v="0"/>
    <n v="40"/>
    <n v="0.95"/>
    <n v="0"/>
  </r>
  <r>
    <s v="ORD-6123"/>
    <d v="2025-06-28T00:00:00"/>
    <x v="11"/>
    <s v="CUST-316"/>
    <x v="8"/>
    <x v="1"/>
    <x v="1"/>
    <x v="6"/>
    <x v="0"/>
    <n v="1"/>
    <n v="1599"/>
    <n v="0.1"/>
    <n v="159.9"/>
    <n v="1599"/>
    <n v="1439.1"/>
    <x v="0"/>
    <x v="0"/>
    <n v="60"/>
    <n v="0.89999999999999991"/>
    <n v="0"/>
  </r>
  <r>
    <s v="ORD-6124"/>
    <d v="2025-03-14T00:00:00"/>
    <x v="1"/>
    <s v="CUST-294"/>
    <x v="9"/>
    <x v="8"/>
    <x v="1"/>
    <x v="0"/>
    <x v="0"/>
    <n v="2"/>
    <n v="1799"/>
    <n v="0"/>
    <n v="0"/>
    <n v="3598"/>
    <n v="3598"/>
    <x v="0"/>
    <x v="0"/>
    <n v="80"/>
    <n v="1"/>
    <n v="0"/>
  </r>
  <r>
    <s v="ORD-6125"/>
    <d v="2025-05-02T00:00:00"/>
    <x v="8"/>
    <s v="CUST-339"/>
    <x v="1"/>
    <x v="1"/>
    <x v="1"/>
    <x v="4"/>
    <x v="3"/>
    <n v="2"/>
    <n v="349"/>
    <n v="0.05"/>
    <n v="17.45"/>
    <n v="698"/>
    <n v="680.55"/>
    <x v="3"/>
    <x v="0"/>
    <n v="0"/>
    <n v="0.97499999999999998"/>
    <n v="0"/>
  </r>
  <r>
    <s v="ORD-6126"/>
    <d v="2025-10-10T00:00:00"/>
    <x v="2"/>
    <s v="CUST-382"/>
    <x v="4"/>
    <x v="4"/>
    <x v="2"/>
    <x v="11"/>
    <x v="2"/>
    <n v="1"/>
    <n v="5499"/>
    <n v="0"/>
    <n v="0"/>
    <n v="5499"/>
    <n v="5499"/>
    <x v="3"/>
    <x v="0"/>
    <n v="40"/>
    <n v="1"/>
    <n v="0"/>
  </r>
  <r>
    <s v="ORD-6127"/>
    <d v="2025-10-06T00:00:00"/>
    <x v="2"/>
    <s v="CUST-426"/>
    <x v="1"/>
    <x v="1"/>
    <x v="1"/>
    <x v="10"/>
    <x v="0"/>
    <n v="2"/>
    <n v="599"/>
    <n v="0.1"/>
    <n v="59.900000000000006"/>
    <n v="1198"/>
    <n v="1138.0999999999999"/>
    <x v="2"/>
    <x v="0"/>
    <n v="80"/>
    <n v="0.95"/>
    <n v="0"/>
  </r>
  <r>
    <s v="ORD-6128"/>
    <d v="2025-04-21T00:00:00"/>
    <x v="6"/>
    <s v="CUST-544"/>
    <x v="7"/>
    <x v="7"/>
    <x v="1"/>
    <x v="11"/>
    <x v="2"/>
    <n v="1"/>
    <n v="5499"/>
    <n v="0.15"/>
    <n v="824.85"/>
    <n v="5499"/>
    <n v="4674.1499999999996"/>
    <x v="2"/>
    <x v="1"/>
    <n v="60"/>
    <n v="0.85"/>
    <n v="0"/>
  </r>
  <r>
    <s v="ORD-6129"/>
    <d v="2025-09-25T00:00:00"/>
    <x v="3"/>
    <s v="CUST-534"/>
    <x v="3"/>
    <x v="3"/>
    <x v="3"/>
    <x v="18"/>
    <x v="4"/>
    <n v="1"/>
    <n v="1299"/>
    <n v="0.2"/>
    <n v="259.8"/>
    <n v="1299"/>
    <n v="1039.2"/>
    <x v="3"/>
    <x v="0"/>
    <n v="60"/>
    <n v="0.8"/>
    <n v="0"/>
  </r>
  <r>
    <s v="ORD-6130"/>
    <d v="2025-11-10T00:00:00"/>
    <x v="10"/>
    <s v="CUST-565"/>
    <x v="4"/>
    <x v="4"/>
    <x v="2"/>
    <x v="21"/>
    <x v="4"/>
    <n v="2"/>
    <n v="699"/>
    <n v="0.15"/>
    <n v="104.85"/>
    <n v="1398"/>
    <n v="1293.1500000000001"/>
    <x v="3"/>
    <x v="0"/>
    <n v="80"/>
    <n v="0.92500000000000004"/>
    <n v="0"/>
  </r>
  <r>
    <s v="ORD-6131"/>
    <d v="2025-10-26T00:00:00"/>
    <x v="2"/>
    <s v="CUST-742"/>
    <x v="2"/>
    <x v="2"/>
    <x v="2"/>
    <x v="12"/>
    <x v="1"/>
    <n v="1"/>
    <n v="799"/>
    <n v="0.25"/>
    <n v="199.75"/>
    <n v="799"/>
    <n v="599.25"/>
    <x v="0"/>
    <x v="0"/>
    <n v="60"/>
    <n v="0.75"/>
    <n v="0"/>
  </r>
  <r>
    <s v="ORD-6132"/>
    <d v="2025-01-23T00:00:00"/>
    <x v="7"/>
    <s v="CUST-543"/>
    <x v="9"/>
    <x v="8"/>
    <x v="1"/>
    <x v="16"/>
    <x v="4"/>
    <n v="3"/>
    <n v="1599"/>
    <n v="0.2"/>
    <n v="319.8"/>
    <n v="4797"/>
    <n v="4477.2"/>
    <x v="3"/>
    <x v="0"/>
    <n v="0"/>
    <n v="0.93333333333333335"/>
    <n v="0"/>
  </r>
  <r>
    <s v="ORD-6133"/>
    <d v="2025-12-31T00:00:00"/>
    <x v="4"/>
    <s v="CUST-696"/>
    <x v="1"/>
    <x v="1"/>
    <x v="1"/>
    <x v="21"/>
    <x v="4"/>
    <n v="2"/>
    <n v="699"/>
    <n v="0.1"/>
    <n v="69.900000000000006"/>
    <n v="1398"/>
    <n v="1328.1"/>
    <x v="3"/>
    <x v="0"/>
    <n v="40"/>
    <n v="0.95"/>
    <n v="0"/>
  </r>
  <r>
    <s v="ORD-6134"/>
    <d v="2025-12-01T00:00:00"/>
    <x v="4"/>
    <s v="CUST-519"/>
    <x v="1"/>
    <x v="1"/>
    <x v="1"/>
    <x v="3"/>
    <x v="0"/>
    <n v="2"/>
    <n v="899"/>
    <n v="0.25"/>
    <n v="224.75"/>
    <n v="1798"/>
    <n v="1573.25"/>
    <x v="0"/>
    <x v="0"/>
    <n v="60"/>
    <n v="0.875"/>
    <n v="0"/>
  </r>
  <r>
    <s v="ORD-6135"/>
    <d v="2025-12-19T00:00:00"/>
    <x v="4"/>
    <s v="CUST-786"/>
    <x v="4"/>
    <x v="4"/>
    <x v="2"/>
    <x v="15"/>
    <x v="3"/>
    <n v="4"/>
    <n v="299"/>
    <n v="0.2"/>
    <n v="59.800000000000004"/>
    <n v="1196"/>
    <n v="1136.2"/>
    <x v="3"/>
    <x v="0"/>
    <n v="80"/>
    <n v="0.95000000000000007"/>
    <n v="0"/>
  </r>
  <r>
    <s v="ORD-6136"/>
    <d v="2025-07-11T00:00:00"/>
    <x v="5"/>
    <s v="CUST-637"/>
    <x v="9"/>
    <x v="8"/>
    <x v="1"/>
    <x v="12"/>
    <x v="1"/>
    <n v="1"/>
    <n v="799"/>
    <n v="0.1"/>
    <n v="79.900000000000006"/>
    <n v="799"/>
    <n v="719.1"/>
    <x v="2"/>
    <x v="0"/>
    <n v="60"/>
    <n v="0.9"/>
    <n v="0"/>
  </r>
  <r>
    <s v="ORD-6137"/>
    <d v="2025-04-28T00:00:00"/>
    <x v="6"/>
    <s v="CUST-334"/>
    <x v="6"/>
    <x v="6"/>
    <x v="2"/>
    <x v="2"/>
    <x v="2"/>
    <n v="1"/>
    <n v="2799"/>
    <n v="0.2"/>
    <n v="559.80000000000007"/>
    <n v="2799"/>
    <n v="2239.1999999999998"/>
    <x v="0"/>
    <x v="0"/>
    <n v="0"/>
    <n v="0.79999999999999993"/>
    <n v="0"/>
  </r>
  <r>
    <s v="ORD-6138"/>
    <d v="2025-04-11T00:00:00"/>
    <x v="6"/>
    <s v="CUST-672"/>
    <x v="6"/>
    <x v="6"/>
    <x v="2"/>
    <x v="11"/>
    <x v="2"/>
    <n v="4"/>
    <n v="5499"/>
    <n v="0"/>
    <n v="0"/>
    <n v="21996"/>
    <n v="21996"/>
    <x v="3"/>
    <x v="0"/>
    <n v="80"/>
    <n v="1"/>
    <n v="0"/>
  </r>
  <r>
    <s v="ORD-6139"/>
    <d v="2025-01-17T00:00:00"/>
    <x v="7"/>
    <s v="CUST-832"/>
    <x v="3"/>
    <x v="3"/>
    <x v="3"/>
    <x v="13"/>
    <x v="2"/>
    <n v="2"/>
    <n v="449"/>
    <n v="0"/>
    <n v="0"/>
    <n v="898"/>
    <n v="898"/>
    <x v="3"/>
    <x v="0"/>
    <n v="80"/>
    <n v="1"/>
    <n v="0"/>
  </r>
  <r>
    <s v="ORD-6140"/>
    <d v="2025-03-28T00:00:00"/>
    <x v="1"/>
    <s v="CUST-775"/>
    <x v="0"/>
    <x v="0"/>
    <x v="0"/>
    <x v="0"/>
    <x v="0"/>
    <n v="1"/>
    <n v="1799"/>
    <n v="0.2"/>
    <n v="359.8"/>
    <n v="1799"/>
    <n v="1439.2"/>
    <x v="0"/>
    <x v="0"/>
    <n v="80"/>
    <n v="0.8"/>
    <n v="0"/>
  </r>
  <r>
    <s v="ORD-6141"/>
    <d v="2025-05-15T00:00:00"/>
    <x v="8"/>
    <s v="CUST-800"/>
    <x v="8"/>
    <x v="1"/>
    <x v="1"/>
    <x v="12"/>
    <x v="1"/>
    <n v="1"/>
    <n v="799"/>
    <n v="0"/>
    <n v="0"/>
    <n v="799"/>
    <n v="799"/>
    <x v="0"/>
    <x v="0"/>
    <n v="0"/>
    <n v="1"/>
    <n v="0"/>
  </r>
  <r>
    <s v="ORD-6142"/>
    <d v="2025-05-15T00:00:00"/>
    <x v="8"/>
    <s v="CUST-523"/>
    <x v="1"/>
    <x v="1"/>
    <x v="1"/>
    <x v="6"/>
    <x v="0"/>
    <n v="3"/>
    <n v="1599"/>
    <n v="0.2"/>
    <n v="319.8"/>
    <n v="4797"/>
    <n v="4477.2"/>
    <x v="0"/>
    <x v="0"/>
    <n v="0"/>
    <n v="0.93333333333333335"/>
    <n v="0"/>
  </r>
  <r>
    <s v="ORD-6143"/>
    <d v="2025-01-20T00:00:00"/>
    <x v="7"/>
    <s v="CUST-442"/>
    <x v="1"/>
    <x v="1"/>
    <x v="1"/>
    <x v="0"/>
    <x v="0"/>
    <n v="1"/>
    <n v="1799"/>
    <n v="0"/>
    <n v="0"/>
    <n v="1799"/>
    <n v="1799"/>
    <x v="0"/>
    <x v="0"/>
    <n v="0"/>
    <n v="1"/>
    <n v="0"/>
  </r>
  <r>
    <s v="ORD-6144"/>
    <d v="2025-03-25T00:00:00"/>
    <x v="1"/>
    <s v="CUST-321"/>
    <x v="8"/>
    <x v="1"/>
    <x v="1"/>
    <x v="7"/>
    <x v="1"/>
    <n v="1"/>
    <n v="1299"/>
    <n v="0.2"/>
    <n v="259.8"/>
    <n v="1299"/>
    <n v="1039.2"/>
    <x v="3"/>
    <x v="1"/>
    <n v="60"/>
    <n v="0.8"/>
    <n v="0"/>
  </r>
  <r>
    <s v="ORD-6145"/>
    <d v="2025-04-02T00:00:00"/>
    <x v="6"/>
    <s v="CUST-512"/>
    <x v="0"/>
    <x v="0"/>
    <x v="0"/>
    <x v="22"/>
    <x v="2"/>
    <n v="3"/>
    <n v="3299"/>
    <n v="0.1"/>
    <n v="329.90000000000003"/>
    <n v="9897"/>
    <n v="9567.1"/>
    <x v="3"/>
    <x v="0"/>
    <n v="80"/>
    <n v="0.96666666666666667"/>
    <n v="0"/>
  </r>
  <r>
    <s v="ORD-6146"/>
    <d v="2025-05-15T00:00:00"/>
    <x v="8"/>
    <s v="CUST-260"/>
    <x v="2"/>
    <x v="2"/>
    <x v="2"/>
    <x v="15"/>
    <x v="3"/>
    <n v="4"/>
    <n v="299"/>
    <n v="0"/>
    <n v="0"/>
    <n v="1196"/>
    <n v="1196"/>
    <x v="3"/>
    <x v="0"/>
    <n v="0"/>
    <n v="1"/>
    <n v="0"/>
  </r>
  <r>
    <s v="ORD-6147"/>
    <d v="2025-01-11T00:00:00"/>
    <x v="7"/>
    <s v="CUST-573"/>
    <x v="6"/>
    <x v="6"/>
    <x v="2"/>
    <x v="21"/>
    <x v="4"/>
    <n v="2"/>
    <n v="699"/>
    <n v="0.25"/>
    <n v="174.75"/>
    <n v="1398"/>
    <n v="1223.25"/>
    <x v="3"/>
    <x v="0"/>
    <n v="0"/>
    <n v="0.875"/>
    <n v="0"/>
  </r>
  <r>
    <s v="ORD-6148"/>
    <d v="2025-10-08T00:00:00"/>
    <x v="2"/>
    <s v="CUST-513"/>
    <x v="8"/>
    <x v="1"/>
    <x v="1"/>
    <x v="9"/>
    <x v="1"/>
    <n v="2"/>
    <n v="1899"/>
    <n v="0.25"/>
    <n v="474.75"/>
    <n v="3798"/>
    <n v="3323.25"/>
    <x v="3"/>
    <x v="1"/>
    <n v="0"/>
    <n v="0.875"/>
    <n v="0"/>
  </r>
  <r>
    <s v="ORD-6149"/>
    <d v="2025-09-27T00:00:00"/>
    <x v="3"/>
    <s v="CUST-853"/>
    <x v="8"/>
    <x v="1"/>
    <x v="1"/>
    <x v="22"/>
    <x v="2"/>
    <n v="2"/>
    <n v="3299"/>
    <n v="0"/>
    <n v="0"/>
    <n v="6598"/>
    <n v="6598"/>
    <x v="1"/>
    <x v="0"/>
    <n v="60"/>
    <n v="1"/>
    <n v="0"/>
  </r>
  <r>
    <s v="ORD-6150"/>
    <d v="2025-10-16T00:00:00"/>
    <x v="2"/>
    <s v="CUST-310"/>
    <x v="4"/>
    <x v="4"/>
    <x v="2"/>
    <x v="13"/>
    <x v="2"/>
    <n v="3"/>
    <n v="449"/>
    <n v="0.1"/>
    <n v="44.900000000000006"/>
    <n v="1347"/>
    <n v="1302.0999999999999"/>
    <x v="3"/>
    <x v="0"/>
    <n v="0"/>
    <n v="0.96666666666666656"/>
    <n v="0"/>
  </r>
  <r>
    <s v="ORD-6151"/>
    <d v="2025-05-11T00:00:00"/>
    <x v="8"/>
    <s v="CUST-449"/>
    <x v="4"/>
    <x v="4"/>
    <x v="2"/>
    <x v="15"/>
    <x v="3"/>
    <n v="1"/>
    <n v="299"/>
    <n v="0"/>
    <n v="0"/>
    <n v="299"/>
    <n v="299"/>
    <x v="3"/>
    <x v="0"/>
    <n v="40"/>
    <n v="1"/>
    <n v="0"/>
  </r>
  <r>
    <s v="ORD-6152"/>
    <d v="2025-12-16T00:00:00"/>
    <x v="4"/>
    <s v="CUST-745"/>
    <x v="0"/>
    <x v="0"/>
    <x v="0"/>
    <x v="2"/>
    <x v="2"/>
    <n v="2"/>
    <n v="2799"/>
    <n v="0.1"/>
    <n v="279.90000000000003"/>
    <n v="5598"/>
    <n v="5318.1"/>
    <x v="3"/>
    <x v="0"/>
    <n v="40"/>
    <n v="0.95000000000000007"/>
    <n v="0"/>
  </r>
  <r>
    <s v="ORD-6153"/>
    <d v="2025-08-17T00:00:00"/>
    <x v="0"/>
    <s v="CUST-760"/>
    <x v="2"/>
    <x v="2"/>
    <x v="2"/>
    <x v="9"/>
    <x v="1"/>
    <n v="3"/>
    <n v="1899"/>
    <n v="0"/>
    <n v="0"/>
    <n v="5697"/>
    <n v="5697"/>
    <x v="2"/>
    <x v="0"/>
    <n v="0"/>
    <n v="1"/>
    <n v="0"/>
  </r>
  <r>
    <s v="ORD-6154"/>
    <d v="2025-06-25T00:00:00"/>
    <x v="11"/>
    <s v="CUST-552"/>
    <x v="9"/>
    <x v="8"/>
    <x v="1"/>
    <x v="4"/>
    <x v="3"/>
    <n v="1"/>
    <n v="349"/>
    <n v="0.1"/>
    <n v="34.9"/>
    <n v="349"/>
    <n v="314.10000000000002"/>
    <x v="3"/>
    <x v="0"/>
    <n v="40"/>
    <n v="0.9"/>
    <n v="0"/>
  </r>
  <r>
    <s v="ORD-6155"/>
    <d v="2025-10-20T00:00:00"/>
    <x v="2"/>
    <s v="CUST-651"/>
    <x v="3"/>
    <x v="3"/>
    <x v="3"/>
    <x v="0"/>
    <x v="0"/>
    <n v="1"/>
    <n v="1799"/>
    <n v="0.1"/>
    <n v="179.9"/>
    <n v="1799"/>
    <n v="1619.1"/>
    <x v="3"/>
    <x v="0"/>
    <n v="80"/>
    <n v="0.89999999999999991"/>
    <n v="0"/>
  </r>
  <r>
    <s v="ORD-6156"/>
    <d v="2025-12-25T00:00:00"/>
    <x v="4"/>
    <s v="CUST-341"/>
    <x v="7"/>
    <x v="7"/>
    <x v="1"/>
    <x v="2"/>
    <x v="2"/>
    <n v="1"/>
    <n v="2799"/>
    <n v="0.25"/>
    <n v="699.75"/>
    <n v="2799"/>
    <n v="2099.25"/>
    <x v="1"/>
    <x v="0"/>
    <n v="40"/>
    <n v="0.75"/>
    <n v="0"/>
  </r>
  <r>
    <s v="ORD-6157"/>
    <d v="2025-01-30T00:00:00"/>
    <x v="7"/>
    <s v="CUST-519"/>
    <x v="5"/>
    <x v="5"/>
    <x v="3"/>
    <x v="15"/>
    <x v="3"/>
    <n v="1"/>
    <n v="299"/>
    <n v="0.05"/>
    <n v="14.950000000000001"/>
    <n v="299"/>
    <n v="284.05"/>
    <x v="0"/>
    <x v="0"/>
    <n v="40"/>
    <n v="0.95000000000000007"/>
    <n v="0"/>
  </r>
  <r>
    <s v="ORD-6158"/>
    <d v="2025-11-20T00:00:00"/>
    <x v="10"/>
    <s v="CUST-314"/>
    <x v="3"/>
    <x v="3"/>
    <x v="3"/>
    <x v="7"/>
    <x v="1"/>
    <n v="2"/>
    <n v="1299"/>
    <n v="0"/>
    <n v="0"/>
    <n v="2598"/>
    <n v="2598"/>
    <x v="2"/>
    <x v="0"/>
    <n v="80"/>
    <n v="1"/>
    <n v="0"/>
  </r>
  <r>
    <s v="ORD-6159"/>
    <d v="2025-08-03T00:00:00"/>
    <x v="0"/>
    <s v="CUST-591"/>
    <x v="8"/>
    <x v="1"/>
    <x v="1"/>
    <x v="16"/>
    <x v="4"/>
    <n v="4"/>
    <n v="1599"/>
    <n v="0"/>
    <n v="0"/>
    <n v="6396"/>
    <n v="6396"/>
    <x v="1"/>
    <x v="0"/>
    <n v="40"/>
    <n v="1"/>
    <n v="0"/>
  </r>
  <r>
    <s v="ORD-6160"/>
    <d v="2025-11-28T00:00:00"/>
    <x v="10"/>
    <s v="CUST-601"/>
    <x v="4"/>
    <x v="4"/>
    <x v="2"/>
    <x v="17"/>
    <x v="1"/>
    <n v="1"/>
    <n v="2199"/>
    <n v="0.2"/>
    <n v="439.8"/>
    <n v="2199"/>
    <n v="1759.2"/>
    <x v="3"/>
    <x v="0"/>
    <n v="60"/>
    <n v="0.8"/>
    <n v="0"/>
  </r>
  <r>
    <s v="ORD-6161"/>
    <d v="2025-11-08T00:00:00"/>
    <x v="10"/>
    <s v="CUST-435"/>
    <x v="6"/>
    <x v="6"/>
    <x v="2"/>
    <x v="5"/>
    <x v="0"/>
    <n v="2"/>
    <n v="2299"/>
    <n v="0"/>
    <n v="0"/>
    <n v="4598"/>
    <n v="4598"/>
    <x v="3"/>
    <x v="0"/>
    <n v="60"/>
    <n v="1"/>
    <n v="0"/>
  </r>
  <r>
    <s v="ORD-6162"/>
    <d v="2025-03-05T00:00:00"/>
    <x v="1"/>
    <s v="CUST-483"/>
    <x v="8"/>
    <x v="1"/>
    <x v="1"/>
    <x v="4"/>
    <x v="3"/>
    <n v="3"/>
    <n v="349"/>
    <n v="0"/>
    <n v="0"/>
    <n v="1047"/>
    <n v="1047"/>
    <x v="3"/>
    <x v="0"/>
    <n v="60"/>
    <n v="1"/>
    <n v="0"/>
  </r>
  <r>
    <s v="ORD-6163"/>
    <d v="2025-04-07T00:00:00"/>
    <x v="6"/>
    <s v="CUST-202"/>
    <x v="2"/>
    <x v="2"/>
    <x v="2"/>
    <x v="21"/>
    <x v="4"/>
    <n v="1"/>
    <n v="699"/>
    <n v="0.15"/>
    <n v="104.85"/>
    <n v="699"/>
    <n v="594.15"/>
    <x v="3"/>
    <x v="0"/>
    <n v="80"/>
    <n v="0.85"/>
    <n v="0"/>
  </r>
  <r>
    <s v="ORD-6164"/>
    <d v="2025-10-17T00:00:00"/>
    <x v="2"/>
    <s v="CUST-318"/>
    <x v="9"/>
    <x v="8"/>
    <x v="1"/>
    <x v="1"/>
    <x v="1"/>
    <n v="3"/>
    <n v="3999"/>
    <n v="0.25"/>
    <n v="999.75"/>
    <n v="11997"/>
    <n v="10997.25"/>
    <x v="2"/>
    <x v="0"/>
    <n v="0"/>
    <n v="0.91666666666666663"/>
    <n v="0"/>
  </r>
  <r>
    <s v="ORD-6165"/>
    <d v="2025-01-16T00:00:00"/>
    <x v="7"/>
    <s v="CUST-425"/>
    <x v="3"/>
    <x v="3"/>
    <x v="3"/>
    <x v="11"/>
    <x v="2"/>
    <n v="1"/>
    <n v="5499"/>
    <n v="0"/>
    <n v="0"/>
    <n v="5499"/>
    <n v="5499"/>
    <x v="3"/>
    <x v="0"/>
    <n v="80"/>
    <n v="1"/>
    <n v="0"/>
  </r>
  <r>
    <s v="ORD-6166"/>
    <d v="2025-09-25T00:00:00"/>
    <x v="3"/>
    <s v="CUST-219"/>
    <x v="3"/>
    <x v="3"/>
    <x v="3"/>
    <x v="0"/>
    <x v="0"/>
    <n v="1"/>
    <n v="1799"/>
    <n v="0.1"/>
    <n v="179.9"/>
    <n v="1799"/>
    <n v="1619.1"/>
    <x v="3"/>
    <x v="0"/>
    <n v="0"/>
    <n v="0.89999999999999991"/>
    <n v="0"/>
  </r>
  <r>
    <s v="ORD-6167"/>
    <d v="2025-10-27T00:00:00"/>
    <x v="2"/>
    <s v="CUST-437"/>
    <x v="8"/>
    <x v="1"/>
    <x v="1"/>
    <x v="3"/>
    <x v="0"/>
    <n v="2"/>
    <n v="899"/>
    <n v="0.15"/>
    <n v="134.85"/>
    <n v="1798"/>
    <n v="1663.15"/>
    <x v="2"/>
    <x v="2"/>
    <n v="60"/>
    <n v="0.92500000000000004"/>
    <n v="0"/>
  </r>
  <r>
    <s v="ORD-6168"/>
    <d v="2025-12-10T00:00:00"/>
    <x v="4"/>
    <s v="CUST-509"/>
    <x v="5"/>
    <x v="5"/>
    <x v="3"/>
    <x v="21"/>
    <x v="4"/>
    <n v="1"/>
    <n v="699"/>
    <n v="0.2"/>
    <n v="139.80000000000001"/>
    <n v="699"/>
    <n v="559.20000000000005"/>
    <x v="0"/>
    <x v="0"/>
    <n v="40"/>
    <n v="0.8"/>
    <n v="0"/>
  </r>
  <r>
    <s v="ORD-6169"/>
    <d v="2025-11-24T00:00:00"/>
    <x v="10"/>
    <s v="CUST-805"/>
    <x v="3"/>
    <x v="3"/>
    <x v="3"/>
    <x v="2"/>
    <x v="2"/>
    <n v="1"/>
    <n v="2799"/>
    <n v="0.2"/>
    <n v="559.80000000000007"/>
    <n v="2799"/>
    <n v="2239.1999999999998"/>
    <x v="0"/>
    <x v="0"/>
    <n v="40"/>
    <n v="0.79999999999999993"/>
    <n v="0"/>
  </r>
  <r>
    <s v="ORD-6170"/>
    <d v="2025-02-26T00:00:00"/>
    <x v="9"/>
    <s v="CUST-610"/>
    <x v="3"/>
    <x v="3"/>
    <x v="3"/>
    <x v="16"/>
    <x v="4"/>
    <n v="1"/>
    <n v="1599"/>
    <n v="0.05"/>
    <n v="79.95"/>
    <n v="1599"/>
    <n v="1519.05"/>
    <x v="2"/>
    <x v="0"/>
    <n v="60"/>
    <n v="0.95"/>
    <n v="0"/>
  </r>
  <r>
    <s v="ORD-6171"/>
    <d v="2025-09-05T00:00:00"/>
    <x v="3"/>
    <s v="CUST-360"/>
    <x v="1"/>
    <x v="1"/>
    <x v="1"/>
    <x v="1"/>
    <x v="1"/>
    <n v="2"/>
    <n v="3999"/>
    <n v="0"/>
    <n v="0"/>
    <n v="7998"/>
    <n v="7998"/>
    <x v="3"/>
    <x v="0"/>
    <n v="80"/>
    <n v="1"/>
    <n v="0"/>
  </r>
  <r>
    <s v="ORD-6172"/>
    <d v="2025-03-02T00:00:00"/>
    <x v="1"/>
    <s v="CUST-357"/>
    <x v="8"/>
    <x v="1"/>
    <x v="1"/>
    <x v="12"/>
    <x v="1"/>
    <n v="3"/>
    <n v="799"/>
    <n v="0"/>
    <n v="0"/>
    <n v="2397"/>
    <n v="2397"/>
    <x v="1"/>
    <x v="0"/>
    <n v="60"/>
    <n v="1"/>
    <n v="0"/>
  </r>
  <r>
    <s v="ORD-6173"/>
    <d v="2025-12-14T00:00:00"/>
    <x v="4"/>
    <s v="CUST-734"/>
    <x v="7"/>
    <x v="7"/>
    <x v="1"/>
    <x v="7"/>
    <x v="1"/>
    <n v="2"/>
    <n v="1299"/>
    <n v="0.2"/>
    <n v="259.8"/>
    <n v="2598"/>
    <n v="2338.1999999999998"/>
    <x v="3"/>
    <x v="0"/>
    <n v="40"/>
    <n v="0.89999999999999991"/>
    <n v="0"/>
  </r>
  <r>
    <s v="ORD-6174"/>
    <d v="2025-01-04T00:00:00"/>
    <x v="7"/>
    <s v="CUST-724"/>
    <x v="1"/>
    <x v="1"/>
    <x v="1"/>
    <x v="14"/>
    <x v="4"/>
    <n v="2"/>
    <n v="399"/>
    <n v="0.1"/>
    <n v="39.900000000000006"/>
    <n v="798"/>
    <n v="758.1"/>
    <x v="3"/>
    <x v="0"/>
    <n v="0"/>
    <n v="0.95000000000000007"/>
    <n v="0"/>
  </r>
  <r>
    <s v="ORD-6175"/>
    <d v="2025-02-15T00:00:00"/>
    <x v="9"/>
    <s v="CUST-787"/>
    <x v="4"/>
    <x v="4"/>
    <x v="2"/>
    <x v="7"/>
    <x v="1"/>
    <n v="1"/>
    <n v="1299"/>
    <n v="0"/>
    <n v="0"/>
    <n v="1299"/>
    <n v="1299"/>
    <x v="3"/>
    <x v="0"/>
    <n v="40"/>
    <n v="1"/>
    <n v="0"/>
  </r>
  <r>
    <s v="ORD-6176"/>
    <d v="2025-04-14T00:00:00"/>
    <x v="6"/>
    <s v="CUST-299"/>
    <x v="4"/>
    <x v="4"/>
    <x v="2"/>
    <x v="9"/>
    <x v="1"/>
    <n v="4"/>
    <n v="1899"/>
    <n v="0.15"/>
    <n v="284.84999999999997"/>
    <n v="7596"/>
    <n v="7311.15"/>
    <x v="3"/>
    <x v="0"/>
    <n v="80"/>
    <n v="0.96249999999999991"/>
    <n v="0"/>
  </r>
  <r>
    <s v="ORD-6177"/>
    <d v="2025-09-24T00:00:00"/>
    <x v="3"/>
    <s v="CUST-378"/>
    <x v="6"/>
    <x v="6"/>
    <x v="2"/>
    <x v="5"/>
    <x v="0"/>
    <n v="1"/>
    <n v="2299"/>
    <n v="0"/>
    <n v="0"/>
    <n v="2299"/>
    <n v="2299"/>
    <x v="0"/>
    <x v="0"/>
    <n v="0"/>
    <n v="1"/>
    <n v="0"/>
  </r>
  <r>
    <s v="ORD-6178"/>
    <d v="2025-10-26T00:00:00"/>
    <x v="2"/>
    <s v="CUST-299"/>
    <x v="1"/>
    <x v="1"/>
    <x v="1"/>
    <x v="8"/>
    <x v="1"/>
    <n v="1"/>
    <n v="2499"/>
    <n v="0.1"/>
    <n v="249.9"/>
    <n v="2499"/>
    <n v="2249.1"/>
    <x v="2"/>
    <x v="0"/>
    <n v="60"/>
    <n v="0.89999999999999991"/>
    <n v="0"/>
  </r>
  <r>
    <s v="ORD-6179"/>
    <d v="2025-07-21T00:00:00"/>
    <x v="5"/>
    <s v="CUST-888"/>
    <x v="4"/>
    <x v="4"/>
    <x v="2"/>
    <x v="17"/>
    <x v="1"/>
    <n v="5"/>
    <n v="2199"/>
    <n v="0"/>
    <n v="0"/>
    <n v="10995"/>
    <n v="10995"/>
    <x v="3"/>
    <x v="0"/>
    <n v="0"/>
    <n v="1"/>
    <n v="0"/>
  </r>
  <r>
    <s v="ORD-6180"/>
    <d v="2025-07-17T00:00:00"/>
    <x v="5"/>
    <s v="CUST-494"/>
    <x v="1"/>
    <x v="1"/>
    <x v="1"/>
    <x v="12"/>
    <x v="1"/>
    <n v="1"/>
    <n v="799"/>
    <n v="0.2"/>
    <n v="159.80000000000001"/>
    <n v="799"/>
    <n v="639.20000000000005"/>
    <x v="3"/>
    <x v="0"/>
    <n v="80"/>
    <n v="0.8"/>
    <n v="0"/>
  </r>
  <r>
    <s v="ORD-6181"/>
    <d v="2025-09-01T00:00:00"/>
    <x v="3"/>
    <s v="CUST-628"/>
    <x v="0"/>
    <x v="0"/>
    <x v="0"/>
    <x v="4"/>
    <x v="3"/>
    <n v="1"/>
    <n v="349"/>
    <n v="0.05"/>
    <n v="17.45"/>
    <n v="349"/>
    <n v="331.55"/>
    <x v="3"/>
    <x v="0"/>
    <n v="60"/>
    <n v="0.95000000000000007"/>
    <n v="0"/>
  </r>
  <r>
    <s v="ORD-6182"/>
    <d v="2025-07-04T00:00:00"/>
    <x v="5"/>
    <s v="CUST-416"/>
    <x v="3"/>
    <x v="3"/>
    <x v="3"/>
    <x v="11"/>
    <x v="2"/>
    <n v="2"/>
    <n v="5499"/>
    <n v="0"/>
    <n v="0"/>
    <n v="10998"/>
    <n v="10998"/>
    <x v="0"/>
    <x v="0"/>
    <n v="40"/>
    <n v="1"/>
    <n v="0"/>
  </r>
  <r>
    <s v="ORD-6183"/>
    <d v="2025-07-31T00:00:00"/>
    <x v="5"/>
    <s v="CUST-526"/>
    <x v="2"/>
    <x v="2"/>
    <x v="2"/>
    <x v="16"/>
    <x v="4"/>
    <n v="2"/>
    <n v="1599"/>
    <n v="0.05"/>
    <n v="79.95"/>
    <n v="3198"/>
    <n v="3118.05"/>
    <x v="3"/>
    <x v="0"/>
    <n v="60"/>
    <n v="0.97500000000000009"/>
    <n v="0"/>
  </r>
  <r>
    <s v="ORD-6184"/>
    <d v="2025-04-09T00:00:00"/>
    <x v="6"/>
    <s v="CUST-515"/>
    <x v="0"/>
    <x v="0"/>
    <x v="0"/>
    <x v="1"/>
    <x v="1"/>
    <n v="3"/>
    <n v="3999"/>
    <n v="0.15"/>
    <n v="599.85"/>
    <n v="11997"/>
    <n v="11397.15"/>
    <x v="2"/>
    <x v="0"/>
    <n v="80"/>
    <n v="0.95"/>
    <n v="0"/>
  </r>
  <r>
    <s v="ORD-6185"/>
    <d v="2025-07-14T00:00:00"/>
    <x v="5"/>
    <s v="CUST-389"/>
    <x v="1"/>
    <x v="1"/>
    <x v="1"/>
    <x v="1"/>
    <x v="1"/>
    <n v="2"/>
    <n v="3999"/>
    <n v="0.15"/>
    <n v="599.85"/>
    <n v="7998"/>
    <n v="7398.15"/>
    <x v="2"/>
    <x v="0"/>
    <n v="60"/>
    <n v="0.92499999999999993"/>
    <n v="0"/>
  </r>
  <r>
    <s v="ORD-6186"/>
    <d v="2025-09-11T00:00:00"/>
    <x v="3"/>
    <s v="CUST-506"/>
    <x v="1"/>
    <x v="1"/>
    <x v="1"/>
    <x v="6"/>
    <x v="0"/>
    <n v="1"/>
    <n v="1599"/>
    <n v="0"/>
    <n v="0"/>
    <n v="1599"/>
    <n v="1599"/>
    <x v="2"/>
    <x v="0"/>
    <n v="60"/>
    <n v="1"/>
    <n v="0"/>
  </r>
  <r>
    <s v="ORD-6187"/>
    <d v="2025-07-24T00:00:00"/>
    <x v="5"/>
    <s v="CUST-307"/>
    <x v="3"/>
    <x v="3"/>
    <x v="3"/>
    <x v="1"/>
    <x v="1"/>
    <n v="1"/>
    <n v="3999"/>
    <n v="0.25"/>
    <n v="999.75"/>
    <n v="3999"/>
    <n v="2999.25"/>
    <x v="2"/>
    <x v="0"/>
    <n v="0"/>
    <n v="0.75"/>
    <n v="0"/>
  </r>
  <r>
    <s v="ORD-6188"/>
    <d v="2025-02-18T00:00:00"/>
    <x v="9"/>
    <s v="CUST-871"/>
    <x v="8"/>
    <x v="1"/>
    <x v="1"/>
    <x v="1"/>
    <x v="1"/>
    <n v="1"/>
    <n v="3999"/>
    <n v="0"/>
    <n v="0"/>
    <n v="3999"/>
    <n v="3999"/>
    <x v="0"/>
    <x v="0"/>
    <n v="80"/>
    <n v="1"/>
    <n v="0"/>
  </r>
  <r>
    <s v="ORD-6189"/>
    <d v="2025-07-29T00:00:00"/>
    <x v="5"/>
    <s v="CUST-249"/>
    <x v="3"/>
    <x v="3"/>
    <x v="3"/>
    <x v="19"/>
    <x v="2"/>
    <n v="1"/>
    <n v="1499"/>
    <n v="0.2"/>
    <n v="299.8"/>
    <n v="1499"/>
    <n v="1199.2"/>
    <x v="3"/>
    <x v="0"/>
    <n v="0"/>
    <n v="0.8"/>
    <n v="0"/>
  </r>
  <r>
    <s v="ORD-6190"/>
    <d v="2025-11-02T00:00:00"/>
    <x v="10"/>
    <s v="CUST-727"/>
    <x v="1"/>
    <x v="1"/>
    <x v="1"/>
    <x v="14"/>
    <x v="4"/>
    <n v="1"/>
    <n v="399"/>
    <n v="0.2"/>
    <n v="79.800000000000011"/>
    <n v="399"/>
    <n v="319.2"/>
    <x v="2"/>
    <x v="0"/>
    <n v="0"/>
    <n v="0.79999999999999993"/>
    <n v="0"/>
  </r>
  <r>
    <s v="ORD-6191"/>
    <d v="2025-11-16T00:00:00"/>
    <x v="10"/>
    <s v="CUST-800"/>
    <x v="3"/>
    <x v="3"/>
    <x v="3"/>
    <x v="12"/>
    <x v="1"/>
    <n v="2"/>
    <n v="799"/>
    <n v="0.25"/>
    <n v="199.75"/>
    <n v="1598"/>
    <n v="1398.25"/>
    <x v="0"/>
    <x v="0"/>
    <n v="80"/>
    <n v="0.875"/>
    <n v="0"/>
  </r>
  <r>
    <s v="ORD-6192"/>
    <d v="2025-05-29T00:00:00"/>
    <x v="8"/>
    <s v="CUST-512"/>
    <x v="5"/>
    <x v="5"/>
    <x v="3"/>
    <x v="17"/>
    <x v="1"/>
    <n v="1"/>
    <n v="2199"/>
    <n v="0.15"/>
    <n v="329.84999999999997"/>
    <n v="2199"/>
    <n v="1869.15"/>
    <x v="2"/>
    <x v="0"/>
    <n v="40"/>
    <n v="0.85000000000000009"/>
    <n v="0"/>
  </r>
  <r>
    <s v="ORD-6193"/>
    <d v="2025-04-17T00:00:00"/>
    <x v="6"/>
    <s v="CUST-729"/>
    <x v="4"/>
    <x v="4"/>
    <x v="2"/>
    <x v="0"/>
    <x v="0"/>
    <n v="5"/>
    <n v="1799"/>
    <n v="0.25"/>
    <n v="449.75"/>
    <n v="8995"/>
    <n v="8545.25"/>
    <x v="0"/>
    <x v="0"/>
    <n v="60"/>
    <n v="0.95"/>
    <n v="0"/>
  </r>
  <r>
    <s v="ORD-6194"/>
    <d v="2025-05-06T00:00:00"/>
    <x v="8"/>
    <s v="CUST-478"/>
    <x v="8"/>
    <x v="1"/>
    <x v="1"/>
    <x v="10"/>
    <x v="0"/>
    <n v="1"/>
    <n v="599"/>
    <n v="0.15"/>
    <n v="89.85"/>
    <n v="599"/>
    <n v="509.15"/>
    <x v="1"/>
    <x v="0"/>
    <n v="60"/>
    <n v="0.85"/>
    <n v="0"/>
  </r>
  <r>
    <s v="ORD-6195"/>
    <d v="2025-11-06T00:00:00"/>
    <x v="10"/>
    <s v="CUST-488"/>
    <x v="2"/>
    <x v="2"/>
    <x v="2"/>
    <x v="9"/>
    <x v="1"/>
    <n v="2"/>
    <n v="1899"/>
    <n v="0.15"/>
    <n v="284.84999999999997"/>
    <n v="3798"/>
    <n v="3513.15"/>
    <x v="3"/>
    <x v="0"/>
    <n v="60"/>
    <n v="0.92500000000000004"/>
    <n v="0"/>
  </r>
  <r>
    <s v="ORD-6196"/>
    <d v="2025-08-24T00:00:00"/>
    <x v="0"/>
    <s v="CUST-530"/>
    <x v="6"/>
    <x v="6"/>
    <x v="2"/>
    <x v="9"/>
    <x v="1"/>
    <n v="5"/>
    <n v="1899"/>
    <n v="0.15"/>
    <n v="284.84999999999997"/>
    <n v="9495"/>
    <n v="9210.15"/>
    <x v="0"/>
    <x v="0"/>
    <n v="60"/>
    <n v="0.97"/>
    <n v="0"/>
  </r>
  <r>
    <s v="ORD-6197"/>
    <d v="2025-08-24T00:00:00"/>
    <x v="0"/>
    <s v="CUST-617"/>
    <x v="3"/>
    <x v="3"/>
    <x v="3"/>
    <x v="10"/>
    <x v="0"/>
    <n v="2"/>
    <n v="599"/>
    <n v="0.25"/>
    <n v="149.75"/>
    <n v="1198"/>
    <n v="1048.25"/>
    <x v="3"/>
    <x v="0"/>
    <n v="60"/>
    <n v="0.875"/>
    <n v="0"/>
  </r>
  <r>
    <s v="ORD-6198"/>
    <d v="2025-08-03T00:00:00"/>
    <x v="0"/>
    <s v="CUST-594"/>
    <x v="2"/>
    <x v="2"/>
    <x v="2"/>
    <x v="3"/>
    <x v="0"/>
    <n v="1"/>
    <n v="899"/>
    <n v="0"/>
    <n v="0"/>
    <n v="899"/>
    <n v="899"/>
    <x v="0"/>
    <x v="0"/>
    <n v="80"/>
    <n v="1"/>
    <n v="0"/>
  </r>
  <r>
    <s v="ORD-6199"/>
    <d v="2025-03-13T00:00:00"/>
    <x v="1"/>
    <s v="CUST-580"/>
    <x v="0"/>
    <x v="0"/>
    <x v="0"/>
    <x v="17"/>
    <x v="1"/>
    <n v="2"/>
    <n v="2199"/>
    <n v="0.2"/>
    <n v="439.8"/>
    <n v="4398"/>
    <n v="3958.2"/>
    <x v="3"/>
    <x v="0"/>
    <n v="80"/>
    <n v="0.89999999999999991"/>
    <n v="0"/>
  </r>
  <r>
    <s v="ORD-6200"/>
    <d v="2025-09-21T00:00:00"/>
    <x v="3"/>
    <s v="CUST-606"/>
    <x v="2"/>
    <x v="2"/>
    <x v="2"/>
    <x v="0"/>
    <x v="0"/>
    <n v="1"/>
    <n v="1799"/>
    <n v="0"/>
    <n v="0"/>
    <n v="1799"/>
    <n v="1799"/>
    <x v="2"/>
    <x v="0"/>
    <n v="0"/>
    <n v="1"/>
    <n v="0"/>
  </r>
  <r>
    <s v="ORD-6201"/>
    <d v="2025-06-21T00:00:00"/>
    <x v="11"/>
    <s v="CUST-305"/>
    <x v="1"/>
    <x v="1"/>
    <x v="1"/>
    <x v="11"/>
    <x v="2"/>
    <n v="1"/>
    <n v="5499"/>
    <n v="0.2"/>
    <n v="1099.8"/>
    <n v="5499"/>
    <n v="4399.2"/>
    <x v="3"/>
    <x v="0"/>
    <n v="80"/>
    <n v="0.79999999999999993"/>
    <n v="0"/>
  </r>
  <r>
    <s v="ORD-6202"/>
    <d v="2025-10-20T00:00:00"/>
    <x v="2"/>
    <s v="CUST-221"/>
    <x v="4"/>
    <x v="4"/>
    <x v="2"/>
    <x v="14"/>
    <x v="4"/>
    <n v="5"/>
    <n v="399"/>
    <n v="0.15"/>
    <n v="59.849999999999994"/>
    <n v="1995"/>
    <n v="1935.15"/>
    <x v="0"/>
    <x v="0"/>
    <n v="80"/>
    <n v="0.97000000000000008"/>
    <n v="0"/>
  </r>
  <r>
    <s v="ORD-6203"/>
    <d v="2025-03-05T00:00:00"/>
    <x v="1"/>
    <s v="CUST-245"/>
    <x v="9"/>
    <x v="8"/>
    <x v="1"/>
    <x v="14"/>
    <x v="4"/>
    <n v="1"/>
    <n v="399"/>
    <n v="0.05"/>
    <n v="19.950000000000003"/>
    <n v="399"/>
    <n v="379.05"/>
    <x v="0"/>
    <x v="0"/>
    <n v="60"/>
    <n v="0.95000000000000007"/>
    <n v="0"/>
  </r>
  <r>
    <s v="ORD-6204"/>
    <d v="2025-07-23T00:00:00"/>
    <x v="5"/>
    <s v="CUST-303"/>
    <x v="1"/>
    <x v="1"/>
    <x v="1"/>
    <x v="8"/>
    <x v="1"/>
    <n v="1"/>
    <n v="2499"/>
    <n v="0.1"/>
    <n v="249.9"/>
    <n v="2499"/>
    <n v="2249.1"/>
    <x v="2"/>
    <x v="0"/>
    <n v="60"/>
    <n v="0.89999999999999991"/>
    <n v="0"/>
  </r>
  <r>
    <s v="ORD-6205"/>
    <d v="2025-02-19T00:00:00"/>
    <x v="9"/>
    <s v="CUST-756"/>
    <x v="8"/>
    <x v="1"/>
    <x v="1"/>
    <x v="22"/>
    <x v="2"/>
    <n v="2"/>
    <n v="3299"/>
    <n v="0.05"/>
    <n v="164.95000000000002"/>
    <n v="6598"/>
    <n v="6433.05"/>
    <x v="2"/>
    <x v="0"/>
    <n v="40"/>
    <n v="0.97499999999999998"/>
    <n v="0"/>
  </r>
  <r>
    <s v="ORD-6206"/>
    <d v="2025-05-08T00:00:00"/>
    <x v="8"/>
    <s v="CUST-746"/>
    <x v="4"/>
    <x v="4"/>
    <x v="2"/>
    <x v="0"/>
    <x v="0"/>
    <n v="1"/>
    <n v="1799"/>
    <n v="0.05"/>
    <n v="89.95"/>
    <n v="1799"/>
    <n v="1709.05"/>
    <x v="2"/>
    <x v="0"/>
    <n v="80"/>
    <n v="0.95"/>
    <n v="0"/>
  </r>
  <r>
    <s v="ORD-6207"/>
    <d v="2025-09-10T00:00:00"/>
    <x v="3"/>
    <s v="CUST-407"/>
    <x v="0"/>
    <x v="0"/>
    <x v="0"/>
    <x v="3"/>
    <x v="0"/>
    <n v="2"/>
    <n v="899"/>
    <n v="0.05"/>
    <n v="44.95"/>
    <n v="1798"/>
    <n v="1753.05"/>
    <x v="3"/>
    <x v="0"/>
    <n v="40"/>
    <n v="0.97499999999999998"/>
    <n v="0"/>
  </r>
  <r>
    <s v="ORD-6208"/>
    <d v="2025-09-27T00:00:00"/>
    <x v="3"/>
    <s v="CUST-429"/>
    <x v="9"/>
    <x v="8"/>
    <x v="1"/>
    <x v="1"/>
    <x v="1"/>
    <n v="2"/>
    <n v="3999"/>
    <n v="0.05"/>
    <n v="199.95000000000002"/>
    <n v="7998"/>
    <n v="7798.05"/>
    <x v="1"/>
    <x v="0"/>
    <n v="40"/>
    <n v="0.97499999999999998"/>
    <n v="0"/>
  </r>
  <r>
    <s v="ORD-6209"/>
    <d v="2025-07-27T00:00:00"/>
    <x v="5"/>
    <s v="CUST-232"/>
    <x v="2"/>
    <x v="2"/>
    <x v="2"/>
    <x v="14"/>
    <x v="4"/>
    <n v="1"/>
    <n v="399"/>
    <n v="0.1"/>
    <n v="39.900000000000006"/>
    <n v="399"/>
    <n v="359.1"/>
    <x v="2"/>
    <x v="0"/>
    <n v="40"/>
    <n v="0.9"/>
    <n v="0"/>
  </r>
  <r>
    <s v="ORD-6210"/>
    <d v="2025-03-16T00:00:00"/>
    <x v="1"/>
    <s v="CUST-490"/>
    <x v="7"/>
    <x v="7"/>
    <x v="1"/>
    <x v="11"/>
    <x v="2"/>
    <n v="1"/>
    <n v="5499"/>
    <n v="0"/>
    <n v="0"/>
    <n v="5499"/>
    <n v="5499"/>
    <x v="0"/>
    <x v="0"/>
    <n v="40"/>
    <n v="1"/>
    <n v="0"/>
  </r>
  <r>
    <s v="ORD-6211"/>
    <d v="2025-06-21T00:00:00"/>
    <x v="11"/>
    <s v="CUST-444"/>
    <x v="0"/>
    <x v="0"/>
    <x v="0"/>
    <x v="18"/>
    <x v="4"/>
    <n v="2"/>
    <n v="1299"/>
    <n v="0"/>
    <n v="0"/>
    <n v="2598"/>
    <n v="2598"/>
    <x v="2"/>
    <x v="0"/>
    <n v="40"/>
    <n v="1"/>
    <n v="0"/>
  </r>
  <r>
    <s v="ORD-6212"/>
    <d v="2025-01-20T00:00:00"/>
    <x v="7"/>
    <s v="CUST-299"/>
    <x v="9"/>
    <x v="8"/>
    <x v="1"/>
    <x v="18"/>
    <x v="4"/>
    <n v="3"/>
    <n v="1299"/>
    <n v="0.1"/>
    <n v="129.9"/>
    <n v="3897"/>
    <n v="3767.1"/>
    <x v="0"/>
    <x v="0"/>
    <n v="0"/>
    <n v="0.96666666666666667"/>
    <n v="0"/>
  </r>
  <r>
    <s v="ORD-6213"/>
    <d v="2025-06-14T00:00:00"/>
    <x v="11"/>
    <s v="CUST-882"/>
    <x v="7"/>
    <x v="7"/>
    <x v="1"/>
    <x v="0"/>
    <x v="0"/>
    <n v="1"/>
    <n v="1799"/>
    <n v="0.1"/>
    <n v="179.9"/>
    <n v="1799"/>
    <n v="1619.1"/>
    <x v="3"/>
    <x v="1"/>
    <n v="40"/>
    <n v="0.89999999999999991"/>
    <n v="0"/>
  </r>
  <r>
    <s v="ORD-6214"/>
    <d v="2025-05-19T00:00:00"/>
    <x v="8"/>
    <s v="CUST-836"/>
    <x v="0"/>
    <x v="0"/>
    <x v="0"/>
    <x v="1"/>
    <x v="1"/>
    <n v="5"/>
    <n v="3999"/>
    <n v="0.25"/>
    <n v="999.75"/>
    <n v="19995"/>
    <n v="18995.25"/>
    <x v="0"/>
    <x v="0"/>
    <n v="0"/>
    <n v="0.95"/>
    <n v="0"/>
  </r>
  <r>
    <s v="ORD-6215"/>
    <d v="2025-09-25T00:00:00"/>
    <x v="3"/>
    <s v="CUST-526"/>
    <x v="7"/>
    <x v="7"/>
    <x v="1"/>
    <x v="10"/>
    <x v="0"/>
    <n v="2"/>
    <n v="599"/>
    <n v="0.1"/>
    <n v="59.900000000000006"/>
    <n v="1198"/>
    <n v="1138.0999999999999"/>
    <x v="3"/>
    <x v="0"/>
    <n v="80"/>
    <n v="0.95"/>
    <n v="0"/>
  </r>
  <r>
    <s v="ORD-6216"/>
    <d v="2025-03-30T00:00:00"/>
    <x v="1"/>
    <s v="CUST-617"/>
    <x v="8"/>
    <x v="1"/>
    <x v="1"/>
    <x v="2"/>
    <x v="2"/>
    <n v="1"/>
    <n v="2799"/>
    <n v="0.05"/>
    <n v="139.95000000000002"/>
    <n v="2799"/>
    <n v="2659.05"/>
    <x v="0"/>
    <x v="0"/>
    <n v="60"/>
    <n v="0.95000000000000007"/>
    <n v="0"/>
  </r>
  <r>
    <s v="ORD-6217"/>
    <d v="2025-10-12T00:00:00"/>
    <x v="2"/>
    <s v="CUST-743"/>
    <x v="5"/>
    <x v="5"/>
    <x v="3"/>
    <x v="12"/>
    <x v="1"/>
    <n v="1"/>
    <n v="799"/>
    <n v="0.1"/>
    <n v="79.900000000000006"/>
    <n v="799"/>
    <n v="719.1"/>
    <x v="0"/>
    <x v="0"/>
    <n v="0"/>
    <n v="0.9"/>
    <n v="0"/>
  </r>
  <r>
    <s v="ORD-6218"/>
    <d v="2025-09-06T00:00:00"/>
    <x v="3"/>
    <s v="CUST-245"/>
    <x v="5"/>
    <x v="5"/>
    <x v="3"/>
    <x v="18"/>
    <x v="4"/>
    <n v="1"/>
    <n v="1299"/>
    <n v="0.2"/>
    <n v="259.8"/>
    <n v="1299"/>
    <n v="1039.2"/>
    <x v="2"/>
    <x v="0"/>
    <n v="0"/>
    <n v="0.8"/>
    <n v="0"/>
  </r>
  <r>
    <s v="ORD-6219"/>
    <d v="2025-11-14T00:00:00"/>
    <x v="10"/>
    <s v="CUST-250"/>
    <x v="6"/>
    <x v="6"/>
    <x v="2"/>
    <x v="22"/>
    <x v="2"/>
    <n v="4"/>
    <n v="3299"/>
    <n v="0.15"/>
    <n v="494.84999999999997"/>
    <n v="13196"/>
    <n v="12701.15"/>
    <x v="2"/>
    <x v="0"/>
    <n v="80"/>
    <n v="0.96250000000000002"/>
    <n v="0"/>
  </r>
  <r>
    <s v="ORD-6220"/>
    <d v="2025-04-02T00:00:00"/>
    <x v="6"/>
    <s v="CUST-672"/>
    <x v="5"/>
    <x v="5"/>
    <x v="3"/>
    <x v="1"/>
    <x v="1"/>
    <n v="1"/>
    <n v="3999"/>
    <n v="0.15"/>
    <n v="599.85"/>
    <n v="3999"/>
    <n v="3399.15"/>
    <x v="3"/>
    <x v="0"/>
    <n v="80"/>
    <n v="0.85"/>
    <n v="0"/>
  </r>
  <r>
    <s v="ORD-6221"/>
    <d v="2025-01-09T00:00:00"/>
    <x v="7"/>
    <s v="CUST-457"/>
    <x v="1"/>
    <x v="1"/>
    <x v="1"/>
    <x v="15"/>
    <x v="3"/>
    <n v="1"/>
    <n v="299"/>
    <n v="0.1"/>
    <n v="29.900000000000002"/>
    <n v="299"/>
    <n v="269.10000000000002"/>
    <x v="2"/>
    <x v="0"/>
    <n v="0"/>
    <n v="0.9"/>
    <n v="0"/>
  </r>
  <r>
    <s v="ORD-6222"/>
    <d v="2025-05-05T00:00:00"/>
    <x v="8"/>
    <s v="CUST-727"/>
    <x v="0"/>
    <x v="0"/>
    <x v="0"/>
    <x v="9"/>
    <x v="1"/>
    <n v="4"/>
    <n v="1899"/>
    <n v="0"/>
    <n v="0"/>
    <n v="7596"/>
    <n v="7596"/>
    <x v="2"/>
    <x v="0"/>
    <n v="80"/>
    <n v="1"/>
    <n v="0"/>
  </r>
  <r>
    <s v="ORD-6223"/>
    <d v="2025-03-10T00:00:00"/>
    <x v="1"/>
    <s v="CUST-240"/>
    <x v="1"/>
    <x v="1"/>
    <x v="1"/>
    <x v="2"/>
    <x v="2"/>
    <n v="3"/>
    <n v="2799"/>
    <n v="0.1"/>
    <n v="279.90000000000003"/>
    <n v="8397"/>
    <n v="8117.1"/>
    <x v="2"/>
    <x v="0"/>
    <n v="40"/>
    <n v="0.96666666666666667"/>
    <n v="0"/>
  </r>
  <r>
    <s v="ORD-6224"/>
    <d v="2025-07-01T00:00:00"/>
    <x v="5"/>
    <s v="CUST-586"/>
    <x v="3"/>
    <x v="3"/>
    <x v="3"/>
    <x v="7"/>
    <x v="1"/>
    <n v="2"/>
    <n v="1299"/>
    <n v="0.1"/>
    <n v="129.9"/>
    <n v="2598"/>
    <n v="2468.1"/>
    <x v="3"/>
    <x v="0"/>
    <n v="60"/>
    <n v="0.95"/>
    <n v="0"/>
  </r>
  <r>
    <s v="ORD-6225"/>
    <d v="2025-03-03T00:00:00"/>
    <x v="1"/>
    <s v="CUST-786"/>
    <x v="1"/>
    <x v="1"/>
    <x v="1"/>
    <x v="8"/>
    <x v="1"/>
    <n v="2"/>
    <n v="2499"/>
    <n v="0.1"/>
    <n v="249.9"/>
    <n v="4998"/>
    <n v="4748.1000000000004"/>
    <x v="3"/>
    <x v="0"/>
    <n v="0"/>
    <n v="0.95000000000000007"/>
    <n v="0"/>
  </r>
  <r>
    <s v="ORD-6226"/>
    <d v="2025-06-29T00:00:00"/>
    <x v="11"/>
    <s v="CUST-287"/>
    <x v="2"/>
    <x v="2"/>
    <x v="2"/>
    <x v="19"/>
    <x v="2"/>
    <n v="3"/>
    <n v="1499"/>
    <n v="0"/>
    <n v="0"/>
    <n v="4497"/>
    <n v="4497"/>
    <x v="2"/>
    <x v="0"/>
    <n v="0"/>
    <n v="1"/>
    <n v="0"/>
  </r>
  <r>
    <s v="ORD-6227"/>
    <d v="2025-04-15T00:00:00"/>
    <x v="6"/>
    <s v="CUST-877"/>
    <x v="6"/>
    <x v="6"/>
    <x v="2"/>
    <x v="18"/>
    <x v="4"/>
    <n v="1"/>
    <n v="1299"/>
    <n v="0.1"/>
    <n v="129.9"/>
    <n v="1299"/>
    <n v="1169.0999999999999"/>
    <x v="2"/>
    <x v="0"/>
    <n v="80"/>
    <n v="0.89999999999999991"/>
    <n v="0"/>
  </r>
  <r>
    <s v="ORD-6228"/>
    <d v="2025-07-18T00:00:00"/>
    <x v="5"/>
    <s v="CUST-212"/>
    <x v="6"/>
    <x v="6"/>
    <x v="2"/>
    <x v="15"/>
    <x v="3"/>
    <n v="1"/>
    <n v="299"/>
    <n v="0.1"/>
    <n v="29.900000000000002"/>
    <n v="299"/>
    <n v="269.10000000000002"/>
    <x v="3"/>
    <x v="0"/>
    <n v="80"/>
    <n v="0.9"/>
    <n v="0"/>
  </r>
  <r>
    <s v="ORD-6229"/>
    <d v="2025-10-11T00:00:00"/>
    <x v="2"/>
    <s v="CUST-254"/>
    <x v="1"/>
    <x v="1"/>
    <x v="1"/>
    <x v="9"/>
    <x v="1"/>
    <n v="1"/>
    <n v="1899"/>
    <n v="0.25"/>
    <n v="474.75"/>
    <n v="1899"/>
    <n v="1424.25"/>
    <x v="0"/>
    <x v="0"/>
    <n v="60"/>
    <n v="0.75"/>
    <n v="0"/>
  </r>
  <r>
    <s v="ORD-6230"/>
    <d v="2025-11-29T00:00:00"/>
    <x v="10"/>
    <s v="CUST-757"/>
    <x v="3"/>
    <x v="3"/>
    <x v="3"/>
    <x v="7"/>
    <x v="1"/>
    <n v="1"/>
    <n v="1299"/>
    <n v="0"/>
    <n v="0"/>
    <n v="1299"/>
    <n v="1299"/>
    <x v="0"/>
    <x v="0"/>
    <n v="0"/>
    <n v="1"/>
    <n v="0"/>
  </r>
  <r>
    <s v="ORD-6231"/>
    <d v="2025-08-09T00:00:00"/>
    <x v="0"/>
    <s v="CUST-320"/>
    <x v="3"/>
    <x v="3"/>
    <x v="3"/>
    <x v="18"/>
    <x v="4"/>
    <n v="1"/>
    <n v="1299"/>
    <n v="0.15"/>
    <n v="194.85"/>
    <n v="1299"/>
    <n v="1104.1500000000001"/>
    <x v="3"/>
    <x v="0"/>
    <n v="60"/>
    <n v="0.85000000000000009"/>
    <n v="0"/>
  </r>
  <r>
    <s v="ORD-6232"/>
    <d v="2025-07-11T00:00:00"/>
    <x v="5"/>
    <s v="CUST-250"/>
    <x v="8"/>
    <x v="1"/>
    <x v="1"/>
    <x v="12"/>
    <x v="1"/>
    <n v="2"/>
    <n v="799"/>
    <n v="0.2"/>
    <n v="159.80000000000001"/>
    <n v="1598"/>
    <n v="1438.2"/>
    <x v="2"/>
    <x v="0"/>
    <n v="40"/>
    <n v="0.9"/>
    <n v="0"/>
  </r>
  <r>
    <s v="ORD-6233"/>
    <d v="2025-05-07T00:00:00"/>
    <x v="8"/>
    <s v="CUST-430"/>
    <x v="9"/>
    <x v="8"/>
    <x v="1"/>
    <x v="10"/>
    <x v="0"/>
    <n v="2"/>
    <n v="599"/>
    <n v="0.1"/>
    <n v="59.900000000000006"/>
    <n v="1198"/>
    <n v="1138.0999999999999"/>
    <x v="0"/>
    <x v="0"/>
    <n v="40"/>
    <n v="0.95"/>
    <n v="0"/>
  </r>
  <r>
    <s v="ORD-6234"/>
    <d v="2025-08-08T00:00:00"/>
    <x v="0"/>
    <s v="CUST-680"/>
    <x v="6"/>
    <x v="6"/>
    <x v="2"/>
    <x v="4"/>
    <x v="3"/>
    <n v="3"/>
    <n v="349"/>
    <n v="0"/>
    <n v="0"/>
    <n v="1047"/>
    <n v="1047"/>
    <x v="0"/>
    <x v="0"/>
    <n v="0"/>
    <n v="1"/>
    <n v="0"/>
  </r>
  <r>
    <s v="ORD-6235"/>
    <d v="2025-07-07T00:00:00"/>
    <x v="5"/>
    <s v="CUST-428"/>
    <x v="1"/>
    <x v="1"/>
    <x v="1"/>
    <x v="8"/>
    <x v="1"/>
    <n v="1"/>
    <n v="2499"/>
    <n v="0.25"/>
    <n v="624.75"/>
    <n v="2499"/>
    <n v="1874.25"/>
    <x v="3"/>
    <x v="0"/>
    <n v="40"/>
    <n v="0.75"/>
    <n v="0"/>
  </r>
  <r>
    <s v="ORD-6236"/>
    <d v="2025-12-11T00:00:00"/>
    <x v="4"/>
    <s v="CUST-676"/>
    <x v="6"/>
    <x v="6"/>
    <x v="2"/>
    <x v="9"/>
    <x v="1"/>
    <n v="2"/>
    <n v="1899"/>
    <n v="0"/>
    <n v="0"/>
    <n v="3798"/>
    <n v="3798"/>
    <x v="3"/>
    <x v="0"/>
    <n v="0"/>
    <n v="1"/>
    <n v="0"/>
  </r>
  <r>
    <s v="ORD-6237"/>
    <d v="2025-01-13T00:00:00"/>
    <x v="7"/>
    <s v="CUST-499"/>
    <x v="4"/>
    <x v="4"/>
    <x v="2"/>
    <x v="8"/>
    <x v="1"/>
    <n v="3"/>
    <n v="2499"/>
    <n v="0.25"/>
    <n v="624.75"/>
    <n v="7497"/>
    <n v="6872.25"/>
    <x v="3"/>
    <x v="0"/>
    <n v="80"/>
    <n v="0.91666666666666663"/>
    <n v="0"/>
  </r>
  <r>
    <s v="ORD-6238"/>
    <d v="2025-07-03T00:00:00"/>
    <x v="5"/>
    <s v="CUST-659"/>
    <x v="4"/>
    <x v="4"/>
    <x v="2"/>
    <x v="1"/>
    <x v="1"/>
    <n v="2"/>
    <n v="3999"/>
    <n v="0.05"/>
    <n v="199.95000000000002"/>
    <n v="7998"/>
    <n v="7798.05"/>
    <x v="3"/>
    <x v="0"/>
    <n v="80"/>
    <n v="0.97499999999999998"/>
    <n v="0"/>
  </r>
  <r>
    <s v="ORD-6239"/>
    <d v="2025-11-19T00:00:00"/>
    <x v="10"/>
    <s v="CUST-648"/>
    <x v="1"/>
    <x v="1"/>
    <x v="1"/>
    <x v="5"/>
    <x v="0"/>
    <n v="1"/>
    <n v="2299"/>
    <n v="0"/>
    <n v="0"/>
    <n v="2299"/>
    <n v="2299"/>
    <x v="3"/>
    <x v="0"/>
    <n v="60"/>
    <n v="1"/>
    <n v="0"/>
  </r>
  <r>
    <s v="ORD-6240"/>
    <d v="2025-09-24T00:00:00"/>
    <x v="3"/>
    <s v="CUST-479"/>
    <x v="4"/>
    <x v="4"/>
    <x v="2"/>
    <x v="18"/>
    <x v="4"/>
    <n v="2"/>
    <n v="1299"/>
    <n v="0.1"/>
    <n v="129.9"/>
    <n v="2598"/>
    <n v="2468.1"/>
    <x v="2"/>
    <x v="0"/>
    <n v="40"/>
    <n v="0.95"/>
    <n v="0"/>
  </r>
  <r>
    <s v="ORD-6241"/>
    <d v="2025-12-29T00:00:00"/>
    <x v="4"/>
    <s v="CUST-533"/>
    <x v="1"/>
    <x v="1"/>
    <x v="1"/>
    <x v="13"/>
    <x v="2"/>
    <n v="1"/>
    <n v="449"/>
    <n v="0.1"/>
    <n v="44.900000000000006"/>
    <n v="449"/>
    <n v="404.1"/>
    <x v="0"/>
    <x v="0"/>
    <n v="0"/>
    <n v="0.9"/>
    <n v="0"/>
  </r>
  <r>
    <s v="ORD-6242"/>
    <d v="2025-06-11T00:00:00"/>
    <x v="11"/>
    <s v="CUST-349"/>
    <x v="8"/>
    <x v="1"/>
    <x v="1"/>
    <x v="6"/>
    <x v="0"/>
    <n v="5"/>
    <n v="1599"/>
    <n v="0"/>
    <n v="0"/>
    <n v="7995"/>
    <n v="7995"/>
    <x v="3"/>
    <x v="0"/>
    <n v="80"/>
    <n v="1"/>
    <n v="0"/>
  </r>
  <r>
    <s v="ORD-6243"/>
    <d v="2025-06-23T00:00:00"/>
    <x v="11"/>
    <s v="CUST-559"/>
    <x v="3"/>
    <x v="3"/>
    <x v="3"/>
    <x v="7"/>
    <x v="1"/>
    <n v="1"/>
    <n v="1299"/>
    <n v="0.1"/>
    <n v="129.9"/>
    <n v="1299"/>
    <n v="1169.0999999999999"/>
    <x v="2"/>
    <x v="0"/>
    <n v="80"/>
    <n v="0.89999999999999991"/>
    <n v="0"/>
  </r>
  <r>
    <s v="ORD-6244"/>
    <d v="2025-09-18T00:00:00"/>
    <x v="3"/>
    <s v="CUST-743"/>
    <x v="3"/>
    <x v="3"/>
    <x v="3"/>
    <x v="8"/>
    <x v="1"/>
    <n v="2"/>
    <n v="2499"/>
    <n v="0.25"/>
    <n v="624.75"/>
    <n v="4998"/>
    <n v="4373.25"/>
    <x v="3"/>
    <x v="0"/>
    <n v="40"/>
    <n v="0.875"/>
    <n v="0"/>
  </r>
  <r>
    <s v="ORD-6245"/>
    <d v="2025-10-27T00:00:00"/>
    <x v="2"/>
    <s v="CUST-211"/>
    <x v="5"/>
    <x v="5"/>
    <x v="3"/>
    <x v="5"/>
    <x v="0"/>
    <n v="1"/>
    <n v="2299"/>
    <n v="0.15"/>
    <n v="344.84999999999997"/>
    <n v="2299"/>
    <n v="1954.15"/>
    <x v="1"/>
    <x v="0"/>
    <n v="80"/>
    <n v="0.85000000000000009"/>
    <n v="0"/>
  </r>
  <r>
    <s v="ORD-6246"/>
    <d v="2025-01-21T00:00:00"/>
    <x v="7"/>
    <s v="CUST-813"/>
    <x v="3"/>
    <x v="3"/>
    <x v="3"/>
    <x v="5"/>
    <x v="0"/>
    <n v="1"/>
    <n v="2299"/>
    <n v="0.25"/>
    <n v="574.75"/>
    <n v="2299"/>
    <n v="1724.25"/>
    <x v="3"/>
    <x v="0"/>
    <n v="0"/>
    <n v="0.75"/>
    <n v="0"/>
  </r>
  <r>
    <s v="ORD-6247"/>
    <d v="2025-09-15T00:00:00"/>
    <x v="3"/>
    <s v="CUST-753"/>
    <x v="0"/>
    <x v="0"/>
    <x v="0"/>
    <x v="19"/>
    <x v="2"/>
    <n v="3"/>
    <n v="1499"/>
    <n v="0"/>
    <n v="0"/>
    <n v="4497"/>
    <n v="4497"/>
    <x v="3"/>
    <x v="0"/>
    <n v="80"/>
    <n v="1"/>
    <n v="0"/>
  </r>
  <r>
    <s v="ORD-6248"/>
    <d v="2025-04-07T00:00:00"/>
    <x v="6"/>
    <s v="CUST-289"/>
    <x v="8"/>
    <x v="1"/>
    <x v="1"/>
    <x v="8"/>
    <x v="1"/>
    <n v="1"/>
    <n v="2499"/>
    <n v="0.05"/>
    <n v="124.95"/>
    <n v="2499"/>
    <n v="2374.0500000000002"/>
    <x v="2"/>
    <x v="2"/>
    <n v="80"/>
    <n v="0.95000000000000007"/>
    <n v="0"/>
  </r>
  <r>
    <s v="ORD-6249"/>
    <d v="2025-12-11T00:00:00"/>
    <x v="4"/>
    <s v="CUST-381"/>
    <x v="4"/>
    <x v="4"/>
    <x v="2"/>
    <x v="16"/>
    <x v="4"/>
    <n v="1"/>
    <n v="1599"/>
    <n v="0.05"/>
    <n v="79.95"/>
    <n v="1599"/>
    <n v="1519.05"/>
    <x v="3"/>
    <x v="0"/>
    <n v="60"/>
    <n v="0.95"/>
    <n v="0"/>
  </r>
  <r>
    <s v="ORD-6250"/>
    <d v="2025-07-07T00:00:00"/>
    <x v="5"/>
    <s v="CUST-846"/>
    <x v="8"/>
    <x v="1"/>
    <x v="1"/>
    <x v="7"/>
    <x v="1"/>
    <n v="1"/>
    <n v="1299"/>
    <n v="0"/>
    <n v="0"/>
    <n v="1299"/>
    <n v="1299"/>
    <x v="0"/>
    <x v="0"/>
    <n v="0"/>
    <n v="1"/>
    <n v="0"/>
  </r>
  <r>
    <s v="ORD-6251"/>
    <d v="2025-12-26T00:00:00"/>
    <x v="4"/>
    <s v="CUST-655"/>
    <x v="2"/>
    <x v="2"/>
    <x v="2"/>
    <x v="15"/>
    <x v="3"/>
    <n v="2"/>
    <n v="299"/>
    <n v="0"/>
    <n v="0"/>
    <n v="598"/>
    <n v="598"/>
    <x v="3"/>
    <x v="0"/>
    <n v="0"/>
    <n v="1"/>
    <n v="0"/>
  </r>
  <r>
    <s v="ORD-6252"/>
    <d v="2025-05-31T00:00:00"/>
    <x v="8"/>
    <s v="CUST-659"/>
    <x v="8"/>
    <x v="1"/>
    <x v="1"/>
    <x v="11"/>
    <x v="2"/>
    <n v="1"/>
    <n v="5499"/>
    <n v="0.1"/>
    <n v="549.9"/>
    <n v="5499"/>
    <n v="4949.1000000000004"/>
    <x v="3"/>
    <x v="0"/>
    <n v="80"/>
    <n v="0.9"/>
    <n v="0"/>
  </r>
  <r>
    <s v="ORD-6253"/>
    <d v="2025-01-23T00:00:00"/>
    <x v="7"/>
    <s v="CUST-321"/>
    <x v="2"/>
    <x v="2"/>
    <x v="2"/>
    <x v="8"/>
    <x v="1"/>
    <n v="3"/>
    <n v="2499"/>
    <n v="0.25"/>
    <n v="624.75"/>
    <n v="7497"/>
    <n v="6872.25"/>
    <x v="3"/>
    <x v="0"/>
    <n v="40"/>
    <n v="0.91666666666666663"/>
    <n v="0"/>
  </r>
  <r>
    <s v="ORD-6254"/>
    <d v="2025-08-31T00:00:00"/>
    <x v="0"/>
    <s v="CUST-423"/>
    <x v="6"/>
    <x v="6"/>
    <x v="2"/>
    <x v="17"/>
    <x v="1"/>
    <n v="1"/>
    <n v="2199"/>
    <n v="0.15"/>
    <n v="329.84999999999997"/>
    <n v="2199"/>
    <n v="1869.15"/>
    <x v="3"/>
    <x v="1"/>
    <n v="60"/>
    <n v="0.85000000000000009"/>
    <n v="0"/>
  </r>
  <r>
    <s v="ORD-6255"/>
    <d v="2025-07-16T00:00:00"/>
    <x v="5"/>
    <s v="CUST-503"/>
    <x v="8"/>
    <x v="1"/>
    <x v="1"/>
    <x v="21"/>
    <x v="4"/>
    <n v="1"/>
    <n v="699"/>
    <n v="0.1"/>
    <n v="69.900000000000006"/>
    <n v="699"/>
    <n v="629.1"/>
    <x v="0"/>
    <x v="0"/>
    <n v="40"/>
    <n v="0.9"/>
    <n v="0"/>
  </r>
  <r>
    <s v="ORD-6256"/>
    <d v="2025-10-17T00:00:00"/>
    <x v="2"/>
    <s v="CUST-820"/>
    <x v="1"/>
    <x v="1"/>
    <x v="1"/>
    <x v="13"/>
    <x v="2"/>
    <n v="5"/>
    <n v="449"/>
    <n v="0.05"/>
    <n v="22.450000000000003"/>
    <n v="2245"/>
    <n v="2222.5500000000002"/>
    <x v="0"/>
    <x v="0"/>
    <n v="80"/>
    <n v="0.9900000000000001"/>
    <n v="0"/>
  </r>
  <r>
    <s v="ORD-6257"/>
    <d v="2025-09-23T00:00:00"/>
    <x v="3"/>
    <s v="CUST-307"/>
    <x v="4"/>
    <x v="4"/>
    <x v="2"/>
    <x v="4"/>
    <x v="3"/>
    <n v="1"/>
    <n v="349"/>
    <n v="0.1"/>
    <n v="34.9"/>
    <n v="349"/>
    <n v="314.10000000000002"/>
    <x v="2"/>
    <x v="0"/>
    <n v="80"/>
    <n v="0.9"/>
    <n v="0"/>
  </r>
  <r>
    <s v="ORD-6258"/>
    <d v="2025-05-13T00:00:00"/>
    <x v="8"/>
    <s v="CUST-369"/>
    <x v="1"/>
    <x v="1"/>
    <x v="1"/>
    <x v="1"/>
    <x v="1"/>
    <n v="1"/>
    <n v="3999"/>
    <n v="0.15"/>
    <n v="599.85"/>
    <n v="3999"/>
    <n v="3399.15"/>
    <x v="1"/>
    <x v="0"/>
    <n v="40"/>
    <n v="0.85"/>
    <n v="0"/>
  </r>
  <r>
    <s v="ORD-6259"/>
    <d v="2025-09-28T00:00:00"/>
    <x v="3"/>
    <s v="CUST-302"/>
    <x v="2"/>
    <x v="2"/>
    <x v="2"/>
    <x v="7"/>
    <x v="1"/>
    <n v="2"/>
    <n v="1299"/>
    <n v="0.2"/>
    <n v="259.8"/>
    <n v="2598"/>
    <n v="2338.1999999999998"/>
    <x v="1"/>
    <x v="0"/>
    <n v="0"/>
    <n v="0.89999999999999991"/>
    <n v="0"/>
  </r>
  <r>
    <s v="ORD-6260"/>
    <d v="2025-06-26T00:00:00"/>
    <x v="11"/>
    <s v="CUST-854"/>
    <x v="9"/>
    <x v="8"/>
    <x v="1"/>
    <x v="20"/>
    <x v="3"/>
    <n v="1"/>
    <n v="499"/>
    <n v="0.1"/>
    <n v="49.900000000000006"/>
    <n v="499"/>
    <n v="449.1"/>
    <x v="3"/>
    <x v="0"/>
    <n v="40"/>
    <n v="0.9"/>
    <n v="0"/>
  </r>
  <r>
    <s v="ORD-6261"/>
    <d v="2025-12-25T00:00:00"/>
    <x v="4"/>
    <s v="CUST-526"/>
    <x v="1"/>
    <x v="1"/>
    <x v="1"/>
    <x v="9"/>
    <x v="1"/>
    <n v="1"/>
    <n v="1899"/>
    <n v="0.25"/>
    <n v="474.75"/>
    <n v="1899"/>
    <n v="1424.25"/>
    <x v="3"/>
    <x v="2"/>
    <n v="80"/>
    <n v="0.75"/>
    <n v="0"/>
  </r>
  <r>
    <s v="ORD-6262"/>
    <d v="2025-05-27T00:00:00"/>
    <x v="8"/>
    <s v="CUST-563"/>
    <x v="9"/>
    <x v="8"/>
    <x v="1"/>
    <x v="0"/>
    <x v="0"/>
    <n v="1"/>
    <n v="1799"/>
    <n v="0.2"/>
    <n v="359.8"/>
    <n v="1799"/>
    <n v="1439.2"/>
    <x v="2"/>
    <x v="0"/>
    <n v="0"/>
    <n v="0.8"/>
    <n v="0"/>
  </r>
  <r>
    <s v="ORD-6263"/>
    <d v="2025-02-20T00:00:00"/>
    <x v="9"/>
    <s v="CUST-584"/>
    <x v="0"/>
    <x v="0"/>
    <x v="0"/>
    <x v="8"/>
    <x v="1"/>
    <n v="1"/>
    <n v="2499"/>
    <n v="0.1"/>
    <n v="249.9"/>
    <n v="2499"/>
    <n v="2249.1"/>
    <x v="3"/>
    <x v="0"/>
    <n v="40"/>
    <n v="0.89999999999999991"/>
    <n v="0"/>
  </r>
  <r>
    <s v="ORD-6264"/>
    <d v="2025-02-28T00:00:00"/>
    <x v="9"/>
    <s v="CUST-724"/>
    <x v="1"/>
    <x v="1"/>
    <x v="1"/>
    <x v="5"/>
    <x v="0"/>
    <n v="1"/>
    <n v="2299"/>
    <n v="0.15"/>
    <n v="344.84999999999997"/>
    <n v="2299"/>
    <n v="1954.15"/>
    <x v="3"/>
    <x v="0"/>
    <n v="80"/>
    <n v="0.85000000000000009"/>
    <n v="0"/>
  </r>
  <r>
    <s v="ORD-6265"/>
    <d v="2025-02-20T00:00:00"/>
    <x v="9"/>
    <s v="CUST-217"/>
    <x v="4"/>
    <x v="4"/>
    <x v="2"/>
    <x v="22"/>
    <x v="2"/>
    <n v="2"/>
    <n v="3299"/>
    <n v="0.05"/>
    <n v="164.95000000000002"/>
    <n v="6598"/>
    <n v="6433.05"/>
    <x v="2"/>
    <x v="0"/>
    <n v="80"/>
    <n v="0.97499999999999998"/>
    <n v="0"/>
  </r>
  <r>
    <s v="ORD-6266"/>
    <d v="2025-03-24T00:00:00"/>
    <x v="1"/>
    <s v="CUST-526"/>
    <x v="3"/>
    <x v="3"/>
    <x v="3"/>
    <x v="4"/>
    <x v="3"/>
    <n v="1"/>
    <n v="349"/>
    <n v="0.15"/>
    <n v="52.35"/>
    <n v="349"/>
    <n v="296.64999999999998"/>
    <x v="3"/>
    <x v="0"/>
    <n v="40"/>
    <n v="0.85"/>
    <n v="0"/>
  </r>
  <r>
    <s v="ORD-6267"/>
    <d v="2025-12-17T00:00:00"/>
    <x v="4"/>
    <s v="CUST-578"/>
    <x v="8"/>
    <x v="1"/>
    <x v="1"/>
    <x v="12"/>
    <x v="1"/>
    <n v="4"/>
    <n v="799"/>
    <n v="0.2"/>
    <n v="159.80000000000001"/>
    <n v="3196"/>
    <n v="3036.2"/>
    <x v="1"/>
    <x v="0"/>
    <n v="40"/>
    <n v="0.95"/>
    <n v="0"/>
  </r>
  <r>
    <s v="ORD-6268"/>
    <d v="2025-08-12T00:00:00"/>
    <x v="0"/>
    <s v="CUST-731"/>
    <x v="9"/>
    <x v="8"/>
    <x v="1"/>
    <x v="1"/>
    <x v="1"/>
    <n v="3"/>
    <n v="3999"/>
    <n v="0.1"/>
    <n v="399.90000000000003"/>
    <n v="11997"/>
    <n v="11597.1"/>
    <x v="2"/>
    <x v="0"/>
    <n v="60"/>
    <n v="0.96666666666666667"/>
    <n v="0"/>
  </r>
  <r>
    <s v="ORD-6269"/>
    <d v="2025-05-21T00:00:00"/>
    <x v="8"/>
    <s v="CUST-250"/>
    <x v="0"/>
    <x v="0"/>
    <x v="0"/>
    <x v="15"/>
    <x v="3"/>
    <n v="3"/>
    <n v="299"/>
    <n v="0"/>
    <n v="0"/>
    <n v="897"/>
    <n v="897"/>
    <x v="1"/>
    <x v="0"/>
    <n v="40"/>
    <n v="1"/>
    <n v="0"/>
  </r>
  <r>
    <s v="ORD-6270"/>
    <d v="2025-10-19T00:00:00"/>
    <x v="2"/>
    <s v="CUST-761"/>
    <x v="4"/>
    <x v="4"/>
    <x v="2"/>
    <x v="2"/>
    <x v="2"/>
    <n v="3"/>
    <n v="2799"/>
    <n v="0.25"/>
    <n v="699.75"/>
    <n v="8397"/>
    <n v="7697.25"/>
    <x v="3"/>
    <x v="0"/>
    <n v="40"/>
    <n v="0.91666666666666663"/>
    <n v="0"/>
  </r>
  <r>
    <s v="ORD-6271"/>
    <d v="2025-09-14T00:00:00"/>
    <x v="3"/>
    <s v="CUST-893"/>
    <x v="0"/>
    <x v="0"/>
    <x v="0"/>
    <x v="12"/>
    <x v="1"/>
    <n v="2"/>
    <n v="799"/>
    <n v="0.15"/>
    <n v="119.85"/>
    <n v="1598"/>
    <n v="1478.15"/>
    <x v="3"/>
    <x v="0"/>
    <n v="60"/>
    <n v="0.92500000000000004"/>
    <n v="0"/>
  </r>
  <r>
    <s v="ORD-6272"/>
    <d v="2025-02-20T00:00:00"/>
    <x v="9"/>
    <s v="CUST-893"/>
    <x v="6"/>
    <x v="6"/>
    <x v="2"/>
    <x v="10"/>
    <x v="0"/>
    <n v="1"/>
    <n v="599"/>
    <n v="0"/>
    <n v="0"/>
    <n v="599"/>
    <n v="599"/>
    <x v="2"/>
    <x v="0"/>
    <n v="40"/>
    <n v="1"/>
    <n v="0"/>
  </r>
  <r>
    <s v="ORD-6273"/>
    <d v="2025-01-22T00:00:00"/>
    <x v="7"/>
    <s v="CUST-449"/>
    <x v="8"/>
    <x v="1"/>
    <x v="1"/>
    <x v="12"/>
    <x v="1"/>
    <n v="2"/>
    <n v="799"/>
    <n v="0"/>
    <n v="0"/>
    <n v="1598"/>
    <n v="1598"/>
    <x v="3"/>
    <x v="0"/>
    <n v="60"/>
    <n v="1"/>
    <n v="0"/>
  </r>
  <r>
    <s v="ORD-6274"/>
    <d v="2025-11-15T00:00:00"/>
    <x v="10"/>
    <s v="CUST-802"/>
    <x v="6"/>
    <x v="6"/>
    <x v="2"/>
    <x v="12"/>
    <x v="1"/>
    <n v="1"/>
    <n v="799"/>
    <n v="0.2"/>
    <n v="159.80000000000001"/>
    <n v="799"/>
    <n v="639.20000000000005"/>
    <x v="3"/>
    <x v="0"/>
    <n v="60"/>
    <n v="0.8"/>
    <n v="0"/>
  </r>
  <r>
    <s v="ORD-6275"/>
    <d v="2025-11-23T00:00:00"/>
    <x v="10"/>
    <s v="CUST-744"/>
    <x v="8"/>
    <x v="1"/>
    <x v="1"/>
    <x v="21"/>
    <x v="4"/>
    <n v="1"/>
    <n v="699"/>
    <n v="0.2"/>
    <n v="139.80000000000001"/>
    <n v="699"/>
    <n v="559.20000000000005"/>
    <x v="2"/>
    <x v="0"/>
    <n v="0"/>
    <n v="0.8"/>
    <n v="0"/>
  </r>
  <r>
    <s v="ORD-6276"/>
    <d v="2025-06-14T00:00:00"/>
    <x v="11"/>
    <s v="CUST-261"/>
    <x v="7"/>
    <x v="7"/>
    <x v="1"/>
    <x v="19"/>
    <x v="2"/>
    <n v="1"/>
    <n v="1499"/>
    <n v="0.15"/>
    <n v="224.85"/>
    <n v="1499"/>
    <n v="1274.1500000000001"/>
    <x v="2"/>
    <x v="0"/>
    <n v="80"/>
    <n v="0.85000000000000009"/>
    <n v="0"/>
  </r>
  <r>
    <s v="ORD-6277"/>
    <d v="2025-10-28T00:00:00"/>
    <x v="2"/>
    <s v="CUST-378"/>
    <x v="4"/>
    <x v="4"/>
    <x v="2"/>
    <x v="1"/>
    <x v="1"/>
    <n v="5"/>
    <n v="3999"/>
    <n v="0.2"/>
    <n v="799.80000000000007"/>
    <n v="19995"/>
    <n v="19195.2"/>
    <x v="2"/>
    <x v="0"/>
    <n v="80"/>
    <n v="0.96000000000000008"/>
    <n v="0"/>
  </r>
  <r>
    <s v="ORD-6278"/>
    <d v="2025-06-27T00:00:00"/>
    <x v="11"/>
    <s v="CUST-637"/>
    <x v="0"/>
    <x v="0"/>
    <x v="0"/>
    <x v="8"/>
    <x v="1"/>
    <n v="1"/>
    <n v="2499"/>
    <n v="0"/>
    <n v="0"/>
    <n v="2499"/>
    <n v="2499"/>
    <x v="2"/>
    <x v="0"/>
    <n v="0"/>
    <n v="1"/>
    <n v="0"/>
  </r>
  <r>
    <s v="ORD-6279"/>
    <d v="2025-11-06T00:00:00"/>
    <x v="10"/>
    <s v="CUST-245"/>
    <x v="5"/>
    <x v="5"/>
    <x v="3"/>
    <x v="17"/>
    <x v="1"/>
    <n v="1"/>
    <n v="2199"/>
    <n v="0.2"/>
    <n v="439.8"/>
    <n v="2199"/>
    <n v="1759.2"/>
    <x v="0"/>
    <x v="0"/>
    <n v="80"/>
    <n v="0.8"/>
    <n v="0"/>
  </r>
  <r>
    <s v="ORD-6280"/>
    <d v="2025-02-23T00:00:00"/>
    <x v="9"/>
    <s v="CUST-693"/>
    <x v="4"/>
    <x v="4"/>
    <x v="2"/>
    <x v="6"/>
    <x v="0"/>
    <n v="1"/>
    <n v="1599"/>
    <n v="0.05"/>
    <n v="79.95"/>
    <n v="1599"/>
    <n v="1519.05"/>
    <x v="2"/>
    <x v="1"/>
    <n v="0"/>
    <n v="0.95"/>
    <n v="0"/>
  </r>
  <r>
    <s v="ORD-6281"/>
    <d v="2025-07-06T00:00:00"/>
    <x v="5"/>
    <s v="CUST-605"/>
    <x v="1"/>
    <x v="1"/>
    <x v="1"/>
    <x v="1"/>
    <x v="1"/>
    <n v="1"/>
    <n v="3999"/>
    <n v="0.25"/>
    <n v="999.75"/>
    <n v="3999"/>
    <n v="2999.25"/>
    <x v="0"/>
    <x v="0"/>
    <n v="40"/>
    <n v="0.75"/>
    <n v="0"/>
  </r>
  <r>
    <s v="ORD-6282"/>
    <d v="2025-06-25T00:00:00"/>
    <x v="11"/>
    <s v="CUST-238"/>
    <x v="4"/>
    <x v="4"/>
    <x v="2"/>
    <x v="8"/>
    <x v="1"/>
    <n v="1"/>
    <n v="2499"/>
    <n v="0.1"/>
    <n v="249.9"/>
    <n v="2499"/>
    <n v="2249.1"/>
    <x v="0"/>
    <x v="0"/>
    <n v="60"/>
    <n v="0.89999999999999991"/>
    <n v="0"/>
  </r>
  <r>
    <s v="ORD-6283"/>
    <d v="2025-01-23T00:00:00"/>
    <x v="7"/>
    <s v="CUST-566"/>
    <x v="6"/>
    <x v="6"/>
    <x v="2"/>
    <x v="9"/>
    <x v="1"/>
    <n v="3"/>
    <n v="1899"/>
    <n v="0.2"/>
    <n v="379.8"/>
    <n v="5697"/>
    <n v="5317.2"/>
    <x v="1"/>
    <x v="1"/>
    <n v="40"/>
    <n v="0.93333333333333335"/>
    <n v="0"/>
  </r>
  <r>
    <s v="ORD-6284"/>
    <d v="2025-02-16T00:00:00"/>
    <x v="9"/>
    <s v="CUST-572"/>
    <x v="4"/>
    <x v="4"/>
    <x v="2"/>
    <x v="0"/>
    <x v="0"/>
    <n v="1"/>
    <n v="1799"/>
    <n v="0.2"/>
    <n v="359.8"/>
    <n v="1799"/>
    <n v="1439.2"/>
    <x v="3"/>
    <x v="0"/>
    <n v="40"/>
    <n v="0.8"/>
    <n v="0"/>
  </r>
  <r>
    <s v="ORD-6285"/>
    <d v="2025-06-10T00:00:00"/>
    <x v="11"/>
    <s v="CUST-776"/>
    <x v="2"/>
    <x v="2"/>
    <x v="2"/>
    <x v="10"/>
    <x v="0"/>
    <n v="2"/>
    <n v="599"/>
    <n v="0.25"/>
    <n v="149.75"/>
    <n v="1198"/>
    <n v="1048.25"/>
    <x v="3"/>
    <x v="0"/>
    <n v="40"/>
    <n v="0.875"/>
    <n v="0"/>
  </r>
  <r>
    <s v="ORD-6286"/>
    <d v="2025-04-22T00:00:00"/>
    <x v="6"/>
    <s v="CUST-896"/>
    <x v="9"/>
    <x v="8"/>
    <x v="1"/>
    <x v="11"/>
    <x v="2"/>
    <n v="1"/>
    <n v="5499"/>
    <n v="0.25"/>
    <n v="1374.75"/>
    <n v="5499"/>
    <n v="4124.25"/>
    <x v="1"/>
    <x v="0"/>
    <n v="0"/>
    <n v="0.75"/>
    <n v="0"/>
  </r>
  <r>
    <s v="ORD-6287"/>
    <d v="2025-06-23T00:00:00"/>
    <x v="11"/>
    <s v="CUST-350"/>
    <x v="6"/>
    <x v="6"/>
    <x v="2"/>
    <x v="20"/>
    <x v="3"/>
    <n v="3"/>
    <n v="499"/>
    <n v="0.15"/>
    <n v="74.849999999999994"/>
    <n v="1497"/>
    <n v="1422.15"/>
    <x v="3"/>
    <x v="0"/>
    <n v="0"/>
    <n v="0.95000000000000007"/>
    <n v="0"/>
  </r>
  <r>
    <s v="ORD-6288"/>
    <d v="2025-12-03T00:00:00"/>
    <x v="4"/>
    <s v="CUST-232"/>
    <x v="3"/>
    <x v="3"/>
    <x v="3"/>
    <x v="17"/>
    <x v="1"/>
    <n v="1"/>
    <n v="2199"/>
    <n v="0"/>
    <n v="0"/>
    <n v="2199"/>
    <n v="2199"/>
    <x v="3"/>
    <x v="1"/>
    <n v="60"/>
    <n v="1"/>
    <n v="0"/>
  </r>
  <r>
    <s v="ORD-6289"/>
    <d v="2025-09-15T00:00:00"/>
    <x v="3"/>
    <s v="CUST-397"/>
    <x v="8"/>
    <x v="1"/>
    <x v="1"/>
    <x v="1"/>
    <x v="1"/>
    <n v="3"/>
    <n v="3999"/>
    <n v="0.25"/>
    <n v="999.75"/>
    <n v="11997"/>
    <n v="10997.25"/>
    <x v="0"/>
    <x v="0"/>
    <n v="0"/>
    <n v="0.91666666666666663"/>
    <n v="0"/>
  </r>
  <r>
    <s v="ORD-6290"/>
    <d v="2025-01-07T00:00:00"/>
    <x v="7"/>
    <s v="CUST-737"/>
    <x v="8"/>
    <x v="1"/>
    <x v="1"/>
    <x v="17"/>
    <x v="1"/>
    <n v="1"/>
    <n v="2199"/>
    <n v="0"/>
    <n v="0"/>
    <n v="2199"/>
    <n v="2199"/>
    <x v="2"/>
    <x v="0"/>
    <n v="40"/>
    <n v="1"/>
    <n v="0"/>
  </r>
  <r>
    <s v="ORD-6291"/>
    <d v="2025-04-30T00:00:00"/>
    <x v="6"/>
    <s v="CUST-392"/>
    <x v="6"/>
    <x v="6"/>
    <x v="2"/>
    <x v="10"/>
    <x v="0"/>
    <n v="1"/>
    <n v="599"/>
    <n v="0"/>
    <n v="0"/>
    <n v="599"/>
    <n v="599"/>
    <x v="3"/>
    <x v="0"/>
    <n v="80"/>
    <n v="1"/>
    <n v="0"/>
  </r>
  <r>
    <s v="ORD-6292"/>
    <d v="2025-01-02T00:00:00"/>
    <x v="7"/>
    <s v="CUST-817"/>
    <x v="4"/>
    <x v="4"/>
    <x v="2"/>
    <x v="6"/>
    <x v="0"/>
    <n v="1"/>
    <n v="1599"/>
    <n v="0.05"/>
    <n v="79.95"/>
    <n v="1599"/>
    <n v="1519.05"/>
    <x v="3"/>
    <x v="0"/>
    <n v="40"/>
    <n v="0.95"/>
    <n v="0"/>
  </r>
  <r>
    <s v="ORD-6293"/>
    <d v="2025-06-08T00:00:00"/>
    <x v="11"/>
    <s v="CUST-826"/>
    <x v="1"/>
    <x v="1"/>
    <x v="1"/>
    <x v="3"/>
    <x v="0"/>
    <n v="2"/>
    <n v="899"/>
    <n v="0.2"/>
    <n v="179.8"/>
    <n v="1798"/>
    <n v="1618.2"/>
    <x v="3"/>
    <x v="0"/>
    <n v="80"/>
    <n v="0.9"/>
    <n v="0"/>
  </r>
  <r>
    <s v="ORD-6294"/>
    <d v="2025-08-25T00:00:00"/>
    <x v="0"/>
    <s v="CUST-203"/>
    <x v="1"/>
    <x v="1"/>
    <x v="1"/>
    <x v="14"/>
    <x v="4"/>
    <n v="2"/>
    <n v="399"/>
    <n v="0.1"/>
    <n v="39.900000000000006"/>
    <n v="798"/>
    <n v="758.1"/>
    <x v="3"/>
    <x v="0"/>
    <n v="80"/>
    <n v="0.95000000000000007"/>
    <n v="0"/>
  </r>
  <r>
    <s v="ORD-6295"/>
    <d v="2025-03-06T00:00:00"/>
    <x v="1"/>
    <s v="CUST-460"/>
    <x v="0"/>
    <x v="0"/>
    <x v="0"/>
    <x v="0"/>
    <x v="0"/>
    <n v="1"/>
    <n v="1799"/>
    <n v="0"/>
    <n v="0"/>
    <n v="1799"/>
    <n v="1799"/>
    <x v="3"/>
    <x v="0"/>
    <n v="40"/>
    <n v="1"/>
    <n v="0"/>
  </r>
  <r>
    <s v="ORD-6296"/>
    <d v="2025-04-22T00:00:00"/>
    <x v="6"/>
    <s v="CUST-683"/>
    <x v="4"/>
    <x v="4"/>
    <x v="2"/>
    <x v="4"/>
    <x v="3"/>
    <n v="2"/>
    <n v="349"/>
    <n v="0.25"/>
    <n v="87.25"/>
    <n v="698"/>
    <n v="610.75"/>
    <x v="3"/>
    <x v="0"/>
    <n v="40"/>
    <n v="0.875"/>
    <n v="0"/>
  </r>
  <r>
    <s v="ORD-6297"/>
    <d v="2025-07-02T00:00:00"/>
    <x v="5"/>
    <s v="CUST-368"/>
    <x v="4"/>
    <x v="4"/>
    <x v="2"/>
    <x v="12"/>
    <x v="1"/>
    <n v="4"/>
    <n v="799"/>
    <n v="0"/>
    <n v="0"/>
    <n v="3196"/>
    <n v="3196"/>
    <x v="3"/>
    <x v="0"/>
    <n v="40"/>
    <n v="1"/>
    <n v="0"/>
  </r>
  <r>
    <s v="ORD-6298"/>
    <d v="2025-07-12T00:00:00"/>
    <x v="5"/>
    <s v="CUST-282"/>
    <x v="3"/>
    <x v="3"/>
    <x v="3"/>
    <x v="6"/>
    <x v="0"/>
    <n v="1"/>
    <n v="1599"/>
    <n v="0.15"/>
    <n v="239.85"/>
    <n v="1599"/>
    <n v="1359.15"/>
    <x v="3"/>
    <x v="0"/>
    <n v="40"/>
    <n v="0.85000000000000009"/>
    <n v="0"/>
  </r>
  <r>
    <s v="ORD-6299"/>
    <d v="2025-07-04T00:00:00"/>
    <x v="5"/>
    <s v="CUST-700"/>
    <x v="0"/>
    <x v="0"/>
    <x v="0"/>
    <x v="22"/>
    <x v="2"/>
    <n v="2"/>
    <n v="3299"/>
    <n v="0.1"/>
    <n v="329.90000000000003"/>
    <n v="6598"/>
    <n v="6268.1"/>
    <x v="0"/>
    <x v="0"/>
    <n v="40"/>
    <n v="0.95000000000000007"/>
    <n v="0"/>
  </r>
  <r>
    <s v="ORD-6300"/>
    <d v="2025-07-27T00:00:00"/>
    <x v="5"/>
    <s v="CUST-638"/>
    <x v="3"/>
    <x v="3"/>
    <x v="3"/>
    <x v="19"/>
    <x v="2"/>
    <n v="1"/>
    <n v="1499"/>
    <n v="0.2"/>
    <n v="299.8"/>
    <n v="1499"/>
    <n v="1199.2"/>
    <x v="1"/>
    <x v="0"/>
    <n v="60"/>
    <n v="0.8"/>
    <n v="0"/>
  </r>
  <r>
    <s v="ORD-6301"/>
    <d v="2025-02-01T00:00:00"/>
    <x v="9"/>
    <s v="CUST-889"/>
    <x v="1"/>
    <x v="1"/>
    <x v="1"/>
    <x v="10"/>
    <x v="0"/>
    <n v="2"/>
    <n v="599"/>
    <n v="0.15"/>
    <n v="89.85"/>
    <n v="1198"/>
    <n v="1108.1500000000001"/>
    <x v="2"/>
    <x v="0"/>
    <n v="0"/>
    <n v="0.92500000000000004"/>
    <n v="0"/>
  </r>
  <r>
    <s v="ORD-6302"/>
    <d v="2025-04-18T00:00:00"/>
    <x v="6"/>
    <s v="CUST-650"/>
    <x v="3"/>
    <x v="3"/>
    <x v="3"/>
    <x v="20"/>
    <x v="3"/>
    <n v="1"/>
    <n v="499"/>
    <n v="0.15"/>
    <n v="74.849999999999994"/>
    <n v="499"/>
    <n v="424.15"/>
    <x v="0"/>
    <x v="0"/>
    <n v="0"/>
    <n v="0.85"/>
    <n v="0"/>
  </r>
  <r>
    <s v="ORD-6303"/>
    <d v="2025-06-02T00:00:00"/>
    <x v="11"/>
    <s v="CUST-267"/>
    <x v="3"/>
    <x v="3"/>
    <x v="3"/>
    <x v="5"/>
    <x v="0"/>
    <n v="1"/>
    <n v="2299"/>
    <n v="0.15"/>
    <n v="344.84999999999997"/>
    <n v="2299"/>
    <n v="1954.15"/>
    <x v="3"/>
    <x v="1"/>
    <n v="40"/>
    <n v="0.85000000000000009"/>
    <n v="0"/>
  </r>
  <r>
    <s v="ORD-6304"/>
    <d v="2025-11-27T00:00:00"/>
    <x v="10"/>
    <s v="CUST-671"/>
    <x v="1"/>
    <x v="1"/>
    <x v="1"/>
    <x v="3"/>
    <x v="0"/>
    <n v="1"/>
    <n v="899"/>
    <n v="0.1"/>
    <n v="89.9"/>
    <n v="899"/>
    <n v="809.1"/>
    <x v="2"/>
    <x v="0"/>
    <n v="60"/>
    <n v="0.9"/>
    <n v="0"/>
  </r>
  <r>
    <s v="ORD-6305"/>
    <d v="2025-08-24T00:00:00"/>
    <x v="0"/>
    <s v="CUST-711"/>
    <x v="7"/>
    <x v="7"/>
    <x v="1"/>
    <x v="7"/>
    <x v="1"/>
    <n v="1"/>
    <n v="1299"/>
    <n v="0.15"/>
    <n v="194.85"/>
    <n v="1299"/>
    <n v="1104.1500000000001"/>
    <x v="2"/>
    <x v="0"/>
    <n v="80"/>
    <n v="0.85000000000000009"/>
    <n v="0"/>
  </r>
  <r>
    <s v="ORD-6306"/>
    <d v="2025-07-11T00:00:00"/>
    <x v="5"/>
    <s v="CUST-332"/>
    <x v="9"/>
    <x v="8"/>
    <x v="1"/>
    <x v="13"/>
    <x v="2"/>
    <n v="4"/>
    <n v="449"/>
    <n v="0"/>
    <n v="0"/>
    <n v="1796"/>
    <n v="1796"/>
    <x v="0"/>
    <x v="0"/>
    <n v="40"/>
    <n v="1"/>
    <n v="0"/>
  </r>
  <r>
    <s v="ORD-6307"/>
    <d v="2025-03-26T00:00:00"/>
    <x v="1"/>
    <s v="CUST-754"/>
    <x v="4"/>
    <x v="4"/>
    <x v="2"/>
    <x v="1"/>
    <x v="1"/>
    <n v="1"/>
    <n v="3999"/>
    <n v="0"/>
    <n v="0"/>
    <n v="3999"/>
    <n v="3999"/>
    <x v="3"/>
    <x v="0"/>
    <n v="40"/>
    <n v="1"/>
    <n v="0"/>
  </r>
  <r>
    <s v="ORD-6308"/>
    <d v="2025-06-19T00:00:00"/>
    <x v="11"/>
    <s v="CUST-723"/>
    <x v="4"/>
    <x v="4"/>
    <x v="2"/>
    <x v="9"/>
    <x v="1"/>
    <n v="1"/>
    <n v="1899"/>
    <n v="0.1"/>
    <n v="189.9"/>
    <n v="1899"/>
    <n v="1709.1"/>
    <x v="0"/>
    <x v="0"/>
    <n v="80"/>
    <n v="0.89999999999999991"/>
    <n v="0"/>
  </r>
  <r>
    <s v="ORD-6309"/>
    <d v="2025-06-18T00:00:00"/>
    <x v="11"/>
    <s v="CUST-816"/>
    <x v="3"/>
    <x v="3"/>
    <x v="3"/>
    <x v="5"/>
    <x v="0"/>
    <n v="1"/>
    <n v="2299"/>
    <n v="0.05"/>
    <n v="114.95"/>
    <n v="2299"/>
    <n v="2184.0500000000002"/>
    <x v="2"/>
    <x v="0"/>
    <n v="80"/>
    <n v="0.95000000000000007"/>
    <n v="0"/>
  </r>
  <r>
    <s v="ORD-6310"/>
    <d v="2025-08-01T00:00:00"/>
    <x v="0"/>
    <s v="CUST-264"/>
    <x v="3"/>
    <x v="3"/>
    <x v="3"/>
    <x v="12"/>
    <x v="1"/>
    <n v="1"/>
    <n v="799"/>
    <n v="0"/>
    <n v="0"/>
    <n v="799"/>
    <n v="799"/>
    <x v="0"/>
    <x v="0"/>
    <n v="80"/>
    <n v="1"/>
    <n v="0"/>
  </r>
  <r>
    <s v="ORD-6311"/>
    <d v="2025-11-26T00:00:00"/>
    <x v="10"/>
    <s v="CUST-334"/>
    <x v="1"/>
    <x v="1"/>
    <x v="1"/>
    <x v="11"/>
    <x v="2"/>
    <n v="1"/>
    <n v="5499"/>
    <n v="0.15"/>
    <n v="824.85"/>
    <n v="5499"/>
    <n v="4674.1499999999996"/>
    <x v="3"/>
    <x v="0"/>
    <n v="40"/>
    <n v="0.85"/>
    <n v="0"/>
  </r>
  <r>
    <s v="ORD-6312"/>
    <d v="2025-06-01T00:00:00"/>
    <x v="11"/>
    <s v="CUST-251"/>
    <x v="1"/>
    <x v="1"/>
    <x v="1"/>
    <x v="12"/>
    <x v="1"/>
    <n v="2"/>
    <n v="799"/>
    <n v="0.1"/>
    <n v="79.900000000000006"/>
    <n v="1598"/>
    <n v="1518.1"/>
    <x v="0"/>
    <x v="0"/>
    <n v="40"/>
    <n v="0.95"/>
    <n v="0"/>
  </r>
  <r>
    <s v="ORD-6313"/>
    <d v="2025-08-25T00:00:00"/>
    <x v="0"/>
    <s v="CUST-786"/>
    <x v="4"/>
    <x v="4"/>
    <x v="2"/>
    <x v="5"/>
    <x v="0"/>
    <n v="3"/>
    <n v="2299"/>
    <n v="0.15"/>
    <n v="344.84999999999997"/>
    <n v="6897"/>
    <n v="6552.15"/>
    <x v="2"/>
    <x v="0"/>
    <n v="40"/>
    <n v="0.95"/>
    <n v="0"/>
  </r>
  <r>
    <s v="ORD-6314"/>
    <d v="2025-08-26T00:00:00"/>
    <x v="0"/>
    <s v="CUST-758"/>
    <x v="4"/>
    <x v="4"/>
    <x v="2"/>
    <x v="4"/>
    <x v="3"/>
    <n v="1"/>
    <n v="349"/>
    <n v="0.15"/>
    <n v="52.35"/>
    <n v="349"/>
    <n v="296.64999999999998"/>
    <x v="2"/>
    <x v="0"/>
    <n v="80"/>
    <n v="0.85"/>
    <n v="0"/>
  </r>
  <r>
    <s v="ORD-6315"/>
    <d v="2025-01-18T00:00:00"/>
    <x v="7"/>
    <s v="CUST-455"/>
    <x v="1"/>
    <x v="1"/>
    <x v="1"/>
    <x v="18"/>
    <x v="4"/>
    <n v="1"/>
    <n v="1299"/>
    <n v="0"/>
    <n v="0"/>
    <n v="1299"/>
    <n v="1299"/>
    <x v="2"/>
    <x v="0"/>
    <n v="0"/>
    <n v="1"/>
    <n v="0"/>
  </r>
  <r>
    <s v="ORD-6316"/>
    <d v="2025-01-26T00:00:00"/>
    <x v="7"/>
    <s v="CUST-371"/>
    <x v="5"/>
    <x v="5"/>
    <x v="3"/>
    <x v="17"/>
    <x v="1"/>
    <n v="3"/>
    <n v="2199"/>
    <n v="0.2"/>
    <n v="439.8"/>
    <n v="6597"/>
    <n v="6157.2"/>
    <x v="0"/>
    <x v="0"/>
    <n v="0"/>
    <n v="0.93333333333333335"/>
    <n v="0"/>
  </r>
  <r>
    <s v="ORD-6317"/>
    <d v="2025-02-11T00:00:00"/>
    <x v="9"/>
    <s v="CUST-640"/>
    <x v="1"/>
    <x v="1"/>
    <x v="1"/>
    <x v="6"/>
    <x v="0"/>
    <n v="1"/>
    <n v="1599"/>
    <n v="0.15"/>
    <n v="239.85"/>
    <n v="1599"/>
    <n v="1359.15"/>
    <x v="0"/>
    <x v="0"/>
    <n v="40"/>
    <n v="0.85000000000000009"/>
    <n v="0"/>
  </r>
  <r>
    <s v="ORD-6318"/>
    <d v="2025-12-28T00:00:00"/>
    <x v="4"/>
    <s v="CUST-896"/>
    <x v="6"/>
    <x v="6"/>
    <x v="2"/>
    <x v="22"/>
    <x v="2"/>
    <n v="1"/>
    <n v="3299"/>
    <n v="0.15"/>
    <n v="494.84999999999997"/>
    <n v="3299"/>
    <n v="2804.15"/>
    <x v="0"/>
    <x v="0"/>
    <n v="0"/>
    <n v="0.85"/>
    <n v="0"/>
  </r>
  <r>
    <s v="ORD-6319"/>
    <d v="2025-03-31T00:00:00"/>
    <x v="1"/>
    <s v="CUST-437"/>
    <x v="7"/>
    <x v="7"/>
    <x v="1"/>
    <x v="18"/>
    <x v="4"/>
    <n v="1"/>
    <n v="1299"/>
    <n v="0.2"/>
    <n v="259.8"/>
    <n v="1299"/>
    <n v="1039.2"/>
    <x v="0"/>
    <x v="0"/>
    <n v="60"/>
    <n v="0.8"/>
    <n v="0"/>
  </r>
  <r>
    <s v="ORD-6320"/>
    <d v="2025-01-13T00:00:00"/>
    <x v="7"/>
    <s v="CUST-677"/>
    <x v="3"/>
    <x v="3"/>
    <x v="3"/>
    <x v="9"/>
    <x v="1"/>
    <n v="1"/>
    <n v="1899"/>
    <n v="0.15"/>
    <n v="284.84999999999997"/>
    <n v="1899"/>
    <n v="1614.15"/>
    <x v="1"/>
    <x v="0"/>
    <n v="40"/>
    <n v="0.85000000000000009"/>
    <n v="0"/>
  </r>
  <r>
    <s v="ORD-6321"/>
    <d v="2025-10-19T00:00:00"/>
    <x v="2"/>
    <s v="CUST-572"/>
    <x v="2"/>
    <x v="2"/>
    <x v="2"/>
    <x v="5"/>
    <x v="0"/>
    <n v="1"/>
    <n v="2299"/>
    <n v="0.25"/>
    <n v="574.75"/>
    <n v="2299"/>
    <n v="1724.25"/>
    <x v="2"/>
    <x v="0"/>
    <n v="80"/>
    <n v="0.75"/>
    <n v="0"/>
  </r>
  <r>
    <s v="ORD-6322"/>
    <d v="2025-09-02T00:00:00"/>
    <x v="3"/>
    <s v="CUST-541"/>
    <x v="9"/>
    <x v="8"/>
    <x v="1"/>
    <x v="2"/>
    <x v="2"/>
    <n v="2"/>
    <n v="2799"/>
    <n v="0.1"/>
    <n v="279.90000000000003"/>
    <n v="5598"/>
    <n v="5318.1"/>
    <x v="2"/>
    <x v="0"/>
    <n v="40"/>
    <n v="0.95000000000000007"/>
    <n v="0"/>
  </r>
  <r>
    <s v="ORD-6323"/>
    <d v="2025-09-18T00:00:00"/>
    <x v="3"/>
    <s v="CUST-819"/>
    <x v="0"/>
    <x v="0"/>
    <x v="0"/>
    <x v="20"/>
    <x v="3"/>
    <n v="1"/>
    <n v="499"/>
    <n v="0.2"/>
    <n v="99.800000000000011"/>
    <n v="499"/>
    <n v="399.2"/>
    <x v="1"/>
    <x v="0"/>
    <n v="40"/>
    <n v="0.79999999999999993"/>
    <n v="0"/>
  </r>
  <r>
    <s v="ORD-6324"/>
    <d v="2025-08-21T00:00:00"/>
    <x v="0"/>
    <s v="CUST-355"/>
    <x v="7"/>
    <x v="7"/>
    <x v="1"/>
    <x v="3"/>
    <x v="0"/>
    <n v="1"/>
    <n v="899"/>
    <n v="0.15"/>
    <n v="134.85"/>
    <n v="899"/>
    <n v="764.15"/>
    <x v="0"/>
    <x v="0"/>
    <n v="0"/>
    <n v="0.85"/>
    <n v="0"/>
  </r>
  <r>
    <s v="ORD-6325"/>
    <d v="2025-02-10T00:00:00"/>
    <x v="9"/>
    <s v="CUST-708"/>
    <x v="7"/>
    <x v="7"/>
    <x v="1"/>
    <x v="17"/>
    <x v="1"/>
    <n v="2"/>
    <n v="2199"/>
    <n v="0.05"/>
    <n v="109.95"/>
    <n v="4398"/>
    <n v="4288.05"/>
    <x v="3"/>
    <x v="0"/>
    <n v="40"/>
    <n v="0.97500000000000009"/>
    <n v="0"/>
  </r>
  <r>
    <s v="ORD-6326"/>
    <d v="2025-08-22T00:00:00"/>
    <x v="0"/>
    <s v="CUST-241"/>
    <x v="8"/>
    <x v="1"/>
    <x v="1"/>
    <x v="13"/>
    <x v="2"/>
    <n v="1"/>
    <n v="449"/>
    <n v="0.1"/>
    <n v="44.900000000000006"/>
    <n v="449"/>
    <n v="404.1"/>
    <x v="2"/>
    <x v="2"/>
    <n v="0"/>
    <n v="0.9"/>
    <n v="0"/>
  </r>
  <r>
    <s v="ORD-6327"/>
    <d v="2025-12-20T00:00:00"/>
    <x v="4"/>
    <s v="CUST-808"/>
    <x v="8"/>
    <x v="1"/>
    <x v="1"/>
    <x v="19"/>
    <x v="2"/>
    <n v="2"/>
    <n v="1499"/>
    <n v="0.1"/>
    <n v="149.9"/>
    <n v="2998"/>
    <n v="2848.1"/>
    <x v="3"/>
    <x v="0"/>
    <n v="80"/>
    <n v="0.95"/>
    <n v="0"/>
  </r>
  <r>
    <s v="ORD-6328"/>
    <d v="2025-09-19T00:00:00"/>
    <x v="3"/>
    <s v="CUST-239"/>
    <x v="1"/>
    <x v="1"/>
    <x v="1"/>
    <x v="13"/>
    <x v="2"/>
    <n v="1"/>
    <n v="449"/>
    <n v="0.2"/>
    <n v="89.800000000000011"/>
    <n v="449"/>
    <n v="359.2"/>
    <x v="3"/>
    <x v="0"/>
    <n v="0"/>
    <n v="0.79999999999999993"/>
    <n v="0"/>
  </r>
  <r>
    <s v="ORD-6329"/>
    <d v="2025-11-06T00:00:00"/>
    <x v="10"/>
    <s v="CUST-823"/>
    <x v="6"/>
    <x v="6"/>
    <x v="2"/>
    <x v="18"/>
    <x v="4"/>
    <n v="1"/>
    <n v="1299"/>
    <n v="0.1"/>
    <n v="129.9"/>
    <n v="1299"/>
    <n v="1169.0999999999999"/>
    <x v="0"/>
    <x v="0"/>
    <n v="60"/>
    <n v="0.89999999999999991"/>
    <n v="0"/>
  </r>
  <r>
    <s v="ORD-6330"/>
    <d v="2025-01-23T00:00:00"/>
    <x v="7"/>
    <s v="CUST-802"/>
    <x v="2"/>
    <x v="2"/>
    <x v="2"/>
    <x v="12"/>
    <x v="1"/>
    <n v="3"/>
    <n v="799"/>
    <n v="0.1"/>
    <n v="79.900000000000006"/>
    <n v="2397"/>
    <n v="2317.1"/>
    <x v="3"/>
    <x v="1"/>
    <n v="40"/>
    <n v="0.96666666666666667"/>
    <n v="0"/>
  </r>
  <r>
    <s v="ORD-6331"/>
    <d v="2025-01-12T00:00:00"/>
    <x v="7"/>
    <s v="CUST-765"/>
    <x v="1"/>
    <x v="1"/>
    <x v="1"/>
    <x v="17"/>
    <x v="1"/>
    <n v="1"/>
    <n v="2199"/>
    <n v="0"/>
    <n v="0"/>
    <n v="2199"/>
    <n v="2199"/>
    <x v="3"/>
    <x v="0"/>
    <n v="0"/>
    <n v="1"/>
    <n v="0"/>
  </r>
  <r>
    <s v="ORD-6332"/>
    <d v="2025-09-23T00:00:00"/>
    <x v="3"/>
    <s v="CUST-877"/>
    <x v="4"/>
    <x v="4"/>
    <x v="2"/>
    <x v="11"/>
    <x v="2"/>
    <n v="1"/>
    <n v="5499"/>
    <n v="0.1"/>
    <n v="549.9"/>
    <n v="5499"/>
    <n v="4949.1000000000004"/>
    <x v="3"/>
    <x v="2"/>
    <n v="40"/>
    <n v="0.9"/>
    <n v="0"/>
  </r>
  <r>
    <s v="ORD-6333"/>
    <d v="2025-06-15T00:00:00"/>
    <x v="11"/>
    <s v="CUST-781"/>
    <x v="3"/>
    <x v="3"/>
    <x v="3"/>
    <x v="0"/>
    <x v="0"/>
    <n v="1"/>
    <n v="1799"/>
    <n v="0.05"/>
    <n v="89.95"/>
    <n v="1799"/>
    <n v="1709.05"/>
    <x v="3"/>
    <x v="0"/>
    <n v="60"/>
    <n v="0.95"/>
    <n v="0"/>
  </r>
  <r>
    <s v="ORD-6334"/>
    <d v="2025-09-28T00:00:00"/>
    <x v="3"/>
    <s v="CUST-733"/>
    <x v="8"/>
    <x v="1"/>
    <x v="1"/>
    <x v="6"/>
    <x v="0"/>
    <n v="2"/>
    <n v="1599"/>
    <n v="0"/>
    <n v="0"/>
    <n v="3198"/>
    <n v="3198"/>
    <x v="3"/>
    <x v="0"/>
    <n v="80"/>
    <n v="1"/>
    <n v="0"/>
  </r>
  <r>
    <s v="ORD-6335"/>
    <d v="2025-10-20T00:00:00"/>
    <x v="2"/>
    <s v="CUST-732"/>
    <x v="1"/>
    <x v="1"/>
    <x v="1"/>
    <x v="8"/>
    <x v="1"/>
    <n v="1"/>
    <n v="2499"/>
    <n v="0"/>
    <n v="0"/>
    <n v="2499"/>
    <n v="2499"/>
    <x v="0"/>
    <x v="0"/>
    <n v="0"/>
    <n v="1"/>
    <n v="0"/>
  </r>
  <r>
    <s v="ORD-6336"/>
    <d v="2025-07-12T00:00:00"/>
    <x v="5"/>
    <s v="CUST-407"/>
    <x v="0"/>
    <x v="0"/>
    <x v="0"/>
    <x v="8"/>
    <x v="1"/>
    <n v="2"/>
    <n v="2499"/>
    <n v="0.25"/>
    <n v="624.75"/>
    <n v="4998"/>
    <n v="4373.25"/>
    <x v="1"/>
    <x v="0"/>
    <n v="80"/>
    <n v="0.875"/>
    <n v="0"/>
  </r>
  <r>
    <s v="ORD-6337"/>
    <d v="2025-09-09T00:00:00"/>
    <x v="3"/>
    <s v="CUST-295"/>
    <x v="1"/>
    <x v="1"/>
    <x v="1"/>
    <x v="13"/>
    <x v="2"/>
    <n v="1"/>
    <n v="449"/>
    <n v="0.05"/>
    <n v="22.450000000000003"/>
    <n v="449"/>
    <n v="426.55"/>
    <x v="0"/>
    <x v="0"/>
    <n v="80"/>
    <n v="0.95000000000000007"/>
    <n v="0"/>
  </r>
  <r>
    <s v="ORD-6338"/>
    <d v="2025-09-09T00:00:00"/>
    <x v="3"/>
    <s v="CUST-654"/>
    <x v="8"/>
    <x v="1"/>
    <x v="1"/>
    <x v="13"/>
    <x v="2"/>
    <n v="1"/>
    <n v="449"/>
    <n v="0.05"/>
    <n v="22.450000000000003"/>
    <n v="449"/>
    <n v="426.55"/>
    <x v="3"/>
    <x v="2"/>
    <n v="60"/>
    <n v="0.95000000000000007"/>
    <n v="0"/>
  </r>
  <r>
    <s v="ORD-6339"/>
    <d v="2025-08-10T00:00:00"/>
    <x v="0"/>
    <s v="CUST-510"/>
    <x v="7"/>
    <x v="7"/>
    <x v="1"/>
    <x v="14"/>
    <x v="4"/>
    <n v="1"/>
    <n v="399"/>
    <n v="0"/>
    <n v="0"/>
    <n v="399"/>
    <n v="399"/>
    <x v="1"/>
    <x v="2"/>
    <n v="60"/>
    <n v="1"/>
    <n v="0"/>
  </r>
  <r>
    <s v="ORD-6340"/>
    <d v="2025-05-11T00:00:00"/>
    <x v="8"/>
    <s v="CUST-732"/>
    <x v="9"/>
    <x v="8"/>
    <x v="1"/>
    <x v="12"/>
    <x v="1"/>
    <n v="2"/>
    <n v="799"/>
    <n v="0.1"/>
    <n v="79.900000000000006"/>
    <n v="1598"/>
    <n v="1518.1"/>
    <x v="2"/>
    <x v="0"/>
    <n v="60"/>
    <n v="0.95"/>
    <n v="0"/>
  </r>
  <r>
    <s v="ORD-6341"/>
    <d v="2025-12-29T00:00:00"/>
    <x v="4"/>
    <s v="CUST-445"/>
    <x v="6"/>
    <x v="6"/>
    <x v="2"/>
    <x v="0"/>
    <x v="0"/>
    <n v="2"/>
    <n v="1799"/>
    <n v="0"/>
    <n v="0"/>
    <n v="3598"/>
    <n v="3598"/>
    <x v="2"/>
    <x v="0"/>
    <n v="60"/>
    <n v="1"/>
    <n v="0"/>
  </r>
  <r>
    <s v="ORD-6342"/>
    <d v="2025-01-25T00:00:00"/>
    <x v="7"/>
    <s v="CUST-717"/>
    <x v="9"/>
    <x v="8"/>
    <x v="1"/>
    <x v="8"/>
    <x v="1"/>
    <n v="1"/>
    <n v="2499"/>
    <n v="0.2"/>
    <n v="499.8"/>
    <n v="2499"/>
    <n v="1999.2"/>
    <x v="0"/>
    <x v="0"/>
    <n v="80"/>
    <n v="0.8"/>
    <n v="0"/>
  </r>
  <r>
    <s v="ORD-6343"/>
    <d v="2025-06-07T00:00:00"/>
    <x v="11"/>
    <s v="CUST-896"/>
    <x v="1"/>
    <x v="1"/>
    <x v="1"/>
    <x v="1"/>
    <x v="1"/>
    <n v="1"/>
    <n v="3999"/>
    <n v="0.2"/>
    <n v="799.80000000000007"/>
    <n v="3999"/>
    <n v="3199.2"/>
    <x v="2"/>
    <x v="0"/>
    <n v="40"/>
    <n v="0.79999999999999993"/>
    <n v="0"/>
  </r>
  <r>
    <s v="ORD-6344"/>
    <d v="2025-10-02T00:00:00"/>
    <x v="2"/>
    <s v="CUST-753"/>
    <x v="5"/>
    <x v="5"/>
    <x v="3"/>
    <x v="20"/>
    <x v="3"/>
    <n v="1"/>
    <n v="499"/>
    <n v="0.15"/>
    <n v="74.849999999999994"/>
    <n v="499"/>
    <n v="424.15"/>
    <x v="3"/>
    <x v="0"/>
    <n v="60"/>
    <n v="0.85"/>
    <n v="0"/>
  </r>
  <r>
    <s v="ORD-6345"/>
    <d v="2025-12-30T00:00:00"/>
    <x v="4"/>
    <s v="CUST-202"/>
    <x v="6"/>
    <x v="6"/>
    <x v="2"/>
    <x v="9"/>
    <x v="1"/>
    <n v="1"/>
    <n v="1899"/>
    <n v="0.1"/>
    <n v="189.9"/>
    <n v="1899"/>
    <n v="1709.1"/>
    <x v="3"/>
    <x v="0"/>
    <n v="60"/>
    <n v="0.89999999999999991"/>
    <n v="0"/>
  </r>
  <r>
    <s v="ORD-6346"/>
    <d v="2025-01-02T00:00:00"/>
    <x v="7"/>
    <s v="CUST-324"/>
    <x v="1"/>
    <x v="1"/>
    <x v="1"/>
    <x v="4"/>
    <x v="3"/>
    <n v="2"/>
    <n v="349"/>
    <n v="0.15"/>
    <n v="52.35"/>
    <n v="698"/>
    <n v="645.65"/>
    <x v="3"/>
    <x v="2"/>
    <n v="0"/>
    <n v="0.92499999999999993"/>
    <n v="0"/>
  </r>
  <r>
    <s v="ORD-6347"/>
    <d v="2025-09-03T00:00:00"/>
    <x v="3"/>
    <s v="CUST-671"/>
    <x v="8"/>
    <x v="1"/>
    <x v="1"/>
    <x v="2"/>
    <x v="2"/>
    <n v="1"/>
    <n v="2799"/>
    <n v="0.1"/>
    <n v="279.90000000000003"/>
    <n v="2799"/>
    <n v="2519.1"/>
    <x v="3"/>
    <x v="0"/>
    <n v="80"/>
    <n v="0.9"/>
    <n v="0"/>
  </r>
  <r>
    <s v="ORD-6348"/>
    <d v="2025-02-04T00:00:00"/>
    <x v="9"/>
    <s v="CUST-228"/>
    <x v="4"/>
    <x v="4"/>
    <x v="2"/>
    <x v="6"/>
    <x v="0"/>
    <n v="2"/>
    <n v="1599"/>
    <n v="0.15"/>
    <n v="239.85"/>
    <n v="3198"/>
    <n v="2958.15"/>
    <x v="0"/>
    <x v="0"/>
    <n v="80"/>
    <n v="0.92500000000000004"/>
    <n v="0"/>
  </r>
  <r>
    <s v="ORD-6349"/>
    <d v="2025-05-10T00:00:00"/>
    <x v="8"/>
    <s v="CUST-366"/>
    <x v="1"/>
    <x v="1"/>
    <x v="1"/>
    <x v="8"/>
    <x v="1"/>
    <n v="1"/>
    <n v="2499"/>
    <n v="0.2"/>
    <n v="499.8"/>
    <n v="2499"/>
    <n v="1999.2"/>
    <x v="3"/>
    <x v="1"/>
    <n v="0"/>
    <n v="0.8"/>
    <n v="0"/>
  </r>
  <r>
    <s v="ORD-6350"/>
    <d v="2025-12-01T00:00:00"/>
    <x v="4"/>
    <s v="CUST-686"/>
    <x v="4"/>
    <x v="4"/>
    <x v="2"/>
    <x v="13"/>
    <x v="2"/>
    <n v="1"/>
    <n v="449"/>
    <n v="0.1"/>
    <n v="44.900000000000006"/>
    <n v="449"/>
    <n v="404.1"/>
    <x v="2"/>
    <x v="0"/>
    <n v="60"/>
    <n v="0.9"/>
    <n v="0"/>
  </r>
  <r>
    <s v="ORD-6351"/>
    <d v="2025-01-11T00:00:00"/>
    <x v="7"/>
    <s v="CUST-371"/>
    <x v="0"/>
    <x v="0"/>
    <x v="0"/>
    <x v="17"/>
    <x v="1"/>
    <n v="3"/>
    <n v="2199"/>
    <n v="0.15"/>
    <n v="329.84999999999997"/>
    <n v="6597"/>
    <n v="6267.15"/>
    <x v="3"/>
    <x v="1"/>
    <n v="0"/>
    <n v="0.95"/>
    <n v="0"/>
  </r>
  <r>
    <s v="ORD-6352"/>
    <d v="2025-06-01T00:00:00"/>
    <x v="11"/>
    <s v="CUST-308"/>
    <x v="6"/>
    <x v="6"/>
    <x v="2"/>
    <x v="9"/>
    <x v="1"/>
    <n v="2"/>
    <n v="1899"/>
    <n v="0.1"/>
    <n v="189.9"/>
    <n v="3798"/>
    <n v="3608.1"/>
    <x v="3"/>
    <x v="0"/>
    <n v="60"/>
    <n v="0.95"/>
    <n v="0"/>
  </r>
  <r>
    <s v="ORD-6353"/>
    <d v="2025-10-13T00:00:00"/>
    <x v="2"/>
    <s v="CUST-695"/>
    <x v="4"/>
    <x v="4"/>
    <x v="2"/>
    <x v="17"/>
    <x v="1"/>
    <n v="1"/>
    <n v="2199"/>
    <n v="0.25"/>
    <n v="549.75"/>
    <n v="2199"/>
    <n v="1649.25"/>
    <x v="2"/>
    <x v="0"/>
    <n v="60"/>
    <n v="0.75"/>
    <n v="0"/>
  </r>
  <r>
    <s v="ORD-6354"/>
    <d v="2025-01-22T00:00:00"/>
    <x v="7"/>
    <s v="CUST-498"/>
    <x v="0"/>
    <x v="0"/>
    <x v="0"/>
    <x v="10"/>
    <x v="0"/>
    <n v="1"/>
    <n v="599"/>
    <n v="0.05"/>
    <n v="29.950000000000003"/>
    <n v="599"/>
    <n v="569.04999999999995"/>
    <x v="0"/>
    <x v="1"/>
    <n v="60"/>
    <n v="0.95"/>
    <n v="0"/>
  </r>
  <r>
    <s v="ORD-6355"/>
    <d v="2025-08-17T00:00:00"/>
    <x v="0"/>
    <s v="CUST-293"/>
    <x v="9"/>
    <x v="8"/>
    <x v="1"/>
    <x v="19"/>
    <x v="2"/>
    <n v="1"/>
    <n v="1499"/>
    <n v="0.25"/>
    <n v="374.75"/>
    <n v="1499"/>
    <n v="1124.25"/>
    <x v="1"/>
    <x v="0"/>
    <n v="60"/>
    <n v="0.75"/>
    <n v="0"/>
  </r>
  <r>
    <s v="ORD-6356"/>
    <d v="2025-06-19T00:00:00"/>
    <x v="11"/>
    <s v="CUST-326"/>
    <x v="0"/>
    <x v="0"/>
    <x v="0"/>
    <x v="10"/>
    <x v="0"/>
    <n v="5"/>
    <n v="599"/>
    <n v="0.2"/>
    <n v="119.80000000000001"/>
    <n v="2995"/>
    <n v="2875.2"/>
    <x v="3"/>
    <x v="0"/>
    <n v="80"/>
    <n v="0.96"/>
    <n v="0"/>
  </r>
  <r>
    <s v="ORD-6357"/>
    <d v="2025-04-13T00:00:00"/>
    <x v="6"/>
    <s v="CUST-499"/>
    <x v="2"/>
    <x v="2"/>
    <x v="2"/>
    <x v="12"/>
    <x v="1"/>
    <n v="1"/>
    <n v="799"/>
    <n v="0.1"/>
    <n v="79.900000000000006"/>
    <n v="799"/>
    <n v="719.1"/>
    <x v="0"/>
    <x v="0"/>
    <n v="80"/>
    <n v="0.9"/>
    <n v="0"/>
  </r>
  <r>
    <s v="ORD-6358"/>
    <d v="2025-12-02T00:00:00"/>
    <x v="4"/>
    <s v="CUST-226"/>
    <x v="4"/>
    <x v="4"/>
    <x v="2"/>
    <x v="16"/>
    <x v="4"/>
    <n v="1"/>
    <n v="1599"/>
    <n v="0.15"/>
    <n v="239.85"/>
    <n v="1599"/>
    <n v="1359.15"/>
    <x v="3"/>
    <x v="0"/>
    <n v="60"/>
    <n v="0.85000000000000009"/>
    <n v="0"/>
  </r>
  <r>
    <s v="ORD-6359"/>
    <d v="2025-10-26T00:00:00"/>
    <x v="2"/>
    <s v="CUST-845"/>
    <x v="2"/>
    <x v="2"/>
    <x v="2"/>
    <x v="0"/>
    <x v="0"/>
    <n v="1"/>
    <n v="1799"/>
    <n v="0.15"/>
    <n v="269.84999999999997"/>
    <n v="1799"/>
    <n v="1529.15"/>
    <x v="3"/>
    <x v="0"/>
    <n v="80"/>
    <n v="0.85000000000000009"/>
    <n v="0"/>
  </r>
  <r>
    <s v="ORD-6360"/>
    <d v="2025-10-14T00:00:00"/>
    <x v="2"/>
    <s v="CUST-264"/>
    <x v="3"/>
    <x v="3"/>
    <x v="3"/>
    <x v="18"/>
    <x v="4"/>
    <n v="2"/>
    <n v="1299"/>
    <n v="0.1"/>
    <n v="129.9"/>
    <n v="2598"/>
    <n v="2468.1"/>
    <x v="1"/>
    <x v="0"/>
    <n v="40"/>
    <n v="0.95"/>
    <n v="0"/>
  </r>
  <r>
    <s v="ORD-6361"/>
    <d v="2025-12-02T00:00:00"/>
    <x v="4"/>
    <s v="CUST-465"/>
    <x v="8"/>
    <x v="1"/>
    <x v="1"/>
    <x v="3"/>
    <x v="0"/>
    <n v="3"/>
    <n v="899"/>
    <n v="0.1"/>
    <n v="89.9"/>
    <n v="2697"/>
    <n v="2607.1"/>
    <x v="3"/>
    <x v="0"/>
    <n v="80"/>
    <n v="0.96666666666666667"/>
    <n v="0"/>
  </r>
  <r>
    <s v="ORD-6362"/>
    <d v="2025-07-29T00:00:00"/>
    <x v="5"/>
    <s v="CUST-484"/>
    <x v="7"/>
    <x v="7"/>
    <x v="1"/>
    <x v="8"/>
    <x v="1"/>
    <n v="1"/>
    <n v="2499"/>
    <n v="0.15"/>
    <n v="374.84999999999997"/>
    <n v="2499"/>
    <n v="2124.15"/>
    <x v="3"/>
    <x v="0"/>
    <n v="0"/>
    <n v="0.85000000000000009"/>
    <n v="0"/>
  </r>
  <r>
    <s v="ORD-6363"/>
    <d v="2025-04-24T00:00:00"/>
    <x v="6"/>
    <s v="CUST-295"/>
    <x v="4"/>
    <x v="4"/>
    <x v="2"/>
    <x v="3"/>
    <x v="0"/>
    <n v="4"/>
    <n v="899"/>
    <n v="0.1"/>
    <n v="89.9"/>
    <n v="3596"/>
    <n v="3506.1"/>
    <x v="2"/>
    <x v="0"/>
    <n v="40"/>
    <n v="0.97499999999999998"/>
    <n v="0"/>
  </r>
  <r>
    <s v="ORD-6364"/>
    <d v="2025-08-14T00:00:00"/>
    <x v="0"/>
    <s v="CUST-464"/>
    <x v="7"/>
    <x v="7"/>
    <x v="1"/>
    <x v="8"/>
    <x v="1"/>
    <n v="1"/>
    <n v="2499"/>
    <n v="0"/>
    <n v="0"/>
    <n v="2499"/>
    <n v="2499"/>
    <x v="2"/>
    <x v="0"/>
    <n v="80"/>
    <n v="1"/>
    <n v="0"/>
  </r>
  <r>
    <s v="ORD-6365"/>
    <d v="2025-12-15T00:00:00"/>
    <x v="4"/>
    <s v="CUST-592"/>
    <x v="6"/>
    <x v="6"/>
    <x v="2"/>
    <x v="5"/>
    <x v="0"/>
    <n v="1"/>
    <n v="2299"/>
    <n v="0.1"/>
    <n v="229.9"/>
    <n v="2299"/>
    <n v="2069.1"/>
    <x v="3"/>
    <x v="0"/>
    <n v="40"/>
    <n v="0.89999999999999991"/>
    <n v="0"/>
  </r>
  <r>
    <s v="ORD-6366"/>
    <d v="2025-10-01T00:00:00"/>
    <x v="2"/>
    <s v="CUST-546"/>
    <x v="4"/>
    <x v="4"/>
    <x v="2"/>
    <x v="9"/>
    <x v="1"/>
    <n v="1"/>
    <n v="1899"/>
    <n v="0.1"/>
    <n v="189.9"/>
    <n v="1899"/>
    <n v="1709.1"/>
    <x v="3"/>
    <x v="0"/>
    <n v="60"/>
    <n v="0.89999999999999991"/>
    <n v="0"/>
  </r>
  <r>
    <s v="ORD-6367"/>
    <d v="2025-07-20T00:00:00"/>
    <x v="5"/>
    <s v="CUST-688"/>
    <x v="4"/>
    <x v="4"/>
    <x v="2"/>
    <x v="12"/>
    <x v="1"/>
    <n v="1"/>
    <n v="799"/>
    <n v="0.1"/>
    <n v="79.900000000000006"/>
    <n v="799"/>
    <n v="719.1"/>
    <x v="1"/>
    <x v="0"/>
    <n v="0"/>
    <n v="0.9"/>
    <n v="0"/>
  </r>
  <r>
    <s v="ORD-6368"/>
    <d v="2025-07-17T00:00:00"/>
    <x v="5"/>
    <s v="CUST-855"/>
    <x v="5"/>
    <x v="5"/>
    <x v="3"/>
    <x v="16"/>
    <x v="4"/>
    <n v="1"/>
    <n v="1599"/>
    <n v="0.15"/>
    <n v="239.85"/>
    <n v="1599"/>
    <n v="1359.15"/>
    <x v="0"/>
    <x v="0"/>
    <n v="40"/>
    <n v="0.85000000000000009"/>
    <n v="0"/>
  </r>
  <r>
    <s v="ORD-6369"/>
    <d v="2025-04-18T00:00:00"/>
    <x v="6"/>
    <s v="CUST-734"/>
    <x v="8"/>
    <x v="1"/>
    <x v="1"/>
    <x v="1"/>
    <x v="1"/>
    <n v="1"/>
    <n v="3999"/>
    <n v="0"/>
    <n v="0"/>
    <n v="3999"/>
    <n v="3999"/>
    <x v="2"/>
    <x v="1"/>
    <n v="0"/>
    <n v="1"/>
    <n v="0"/>
  </r>
  <r>
    <s v="ORD-6370"/>
    <d v="2025-03-06T00:00:00"/>
    <x v="1"/>
    <s v="CUST-853"/>
    <x v="1"/>
    <x v="1"/>
    <x v="1"/>
    <x v="9"/>
    <x v="1"/>
    <n v="1"/>
    <n v="1899"/>
    <n v="0.05"/>
    <n v="94.95"/>
    <n v="1899"/>
    <n v="1804.05"/>
    <x v="3"/>
    <x v="1"/>
    <n v="80"/>
    <n v="0.95"/>
    <n v="0"/>
  </r>
  <r>
    <s v="ORD-6371"/>
    <d v="2025-04-10T00:00:00"/>
    <x v="6"/>
    <s v="CUST-239"/>
    <x v="1"/>
    <x v="1"/>
    <x v="1"/>
    <x v="1"/>
    <x v="1"/>
    <n v="2"/>
    <n v="3999"/>
    <n v="0.05"/>
    <n v="199.95000000000002"/>
    <n v="7998"/>
    <n v="7798.05"/>
    <x v="0"/>
    <x v="0"/>
    <n v="0"/>
    <n v="0.97499999999999998"/>
    <n v="0"/>
  </r>
  <r>
    <s v="ORD-6372"/>
    <d v="2025-02-21T00:00:00"/>
    <x v="9"/>
    <s v="CUST-690"/>
    <x v="1"/>
    <x v="1"/>
    <x v="1"/>
    <x v="21"/>
    <x v="4"/>
    <n v="1"/>
    <n v="699"/>
    <n v="0"/>
    <n v="0"/>
    <n v="699"/>
    <n v="699"/>
    <x v="1"/>
    <x v="2"/>
    <n v="40"/>
    <n v="1"/>
    <n v="0"/>
  </r>
  <r>
    <s v="ORD-6373"/>
    <d v="2025-12-04T00:00:00"/>
    <x v="4"/>
    <s v="CUST-451"/>
    <x v="3"/>
    <x v="3"/>
    <x v="3"/>
    <x v="19"/>
    <x v="2"/>
    <n v="1"/>
    <n v="1499"/>
    <n v="0.1"/>
    <n v="149.9"/>
    <n v="1499"/>
    <n v="1349.1"/>
    <x v="0"/>
    <x v="2"/>
    <n v="0"/>
    <n v="0.89999999999999991"/>
    <n v="0"/>
  </r>
  <r>
    <s v="ORD-6374"/>
    <d v="2025-11-08T00:00:00"/>
    <x v="10"/>
    <s v="CUST-324"/>
    <x v="10"/>
    <x v="9"/>
    <x v="4"/>
    <x v="1"/>
    <x v="1"/>
    <n v="1"/>
    <n v="3999"/>
    <n v="0.05"/>
    <n v="199.95000000000002"/>
    <n v="3999"/>
    <n v="3799.05"/>
    <x v="3"/>
    <x v="0"/>
    <n v="0"/>
    <n v="0.95000000000000007"/>
    <n v="0"/>
  </r>
  <r>
    <s v="ORD-6375"/>
    <d v="2025-01-28T00:00:00"/>
    <x v="7"/>
    <s v="CUST-373"/>
    <x v="0"/>
    <x v="0"/>
    <x v="0"/>
    <x v="6"/>
    <x v="0"/>
    <n v="1"/>
    <n v="1599"/>
    <n v="0.2"/>
    <n v="319.8"/>
    <n v="1599"/>
    <n v="1279.2"/>
    <x v="1"/>
    <x v="0"/>
    <n v="40"/>
    <n v="0.8"/>
    <n v="0"/>
  </r>
  <r>
    <s v="ORD-6376"/>
    <d v="2025-01-21T00:00:00"/>
    <x v="7"/>
    <s v="CUST-896"/>
    <x v="1"/>
    <x v="1"/>
    <x v="1"/>
    <x v="2"/>
    <x v="2"/>
    <n v="1"/>
    <n v="2799"/>
    <n v="0"/>
    <n v="0"/>
    <n v="2799"/>
    <n v="2799"/>
    <x v="0"/>
    <x v="2"/>
    <n v="40"/>
    <n v="1"/>
    <n v="0"/>
  </r>
  <r>
    <s v="ORD-6377"/>
    <d v="2025-04-13T00:00:00"/>
    <x v="6"/>
    <s v="CUST-629"/>
    <x v="1"/>
    <x v="1"/>
    <x v="1"/>
    <x v="1"/>
    <x v="1"/>
    <n v="1"/>
    <n v="3999"/>
    <n v="0.1"/>
    <n v="399.90000000000003"/>
    <n v="3999"/>
    <n v="3599.1"/>
    <x v="0"/>
    <x v="0"/>
    <n v="40"/>
    <n v="0.9"/>
    <n v="0"/>
  </r>
  <r>
    <s v="ORD-6378"/>
    <d v="2025-02-23T00:00:00"/>
    <x v="9"/>
    <s v="CUST-244"/>
    <x v="7"/>
    <x v="7"/>
    <x v="1"/>
    <x v="9"/>
    <x v="1"/>
    <n v="1"/>
    <n v="1899"/>
    <n v="0"/>
    <n v="0"/>
    <n v="1899"/>
    <n v="1899"/>
    <x v="0"/>
    <x v="0"/>
    <n v="0"/>
    <n v="1"/>
    <n v="0"/>
  </r>
  <r>
    <s v="ORD-6379"/>
    <d v="2025-06-12T00:00:00"/>
    <x v="11"/>
    <s v="CUST-669"/>
    <x v="1"/>
    <x v="1"/>
    <x v="1"/>
    <x v="7"/>
    <x v="1"/>
    <n v="2"/>
    <n v="1299"/>
    <n v="0.2"/>
    <n v="259.8"/>
    <n v="2598"/>
    <n v="2338.1999999999998"/>
    <x v="3"/>
    <x v="0"/>
    <n v="40"/>
    <n v="0.89999999999999991"/>
    <n v="0"/>
  </r>
  <r>
    <s v="ORD-6380"/>
    <d v="2025-11-18T00:00:00"/>
    <x v="10"/>
    <s v="CUST-330"/>
    <x v="3"/>
    <x v="3"/>
    <x v="3"/>
    <x v="2"/>
    <x v="2"/>
    <n v="3"/>
    <n v="2799"/>
    <n v="0.25"/>
    <n v="699.75"/>
    <n v="8397"/>
    <n v="7697.25"/>
    <x v="2"/>
    <x v="1"/>
    <n v="40"/>
    <n v="0.91666666666666663"/>
    <n v="0"/>
  </r>
  <r>
    <s v="ORD-6381"/>
    <d v="2025-04-01T00:00:00"/>
    <x v="6"/>
    <s v="CUST-849"/>
    <x v="1"/>
    <x v="1"/>
    <x v="1"/>
    <x v="9"/>
    <x v="1"/>
    <n v="1"/>
    <n v="1899"/>
    <n v="0.25"/>
    <n v="474.75"/>
    <n v="1899"/>
    <n v="1424.25"/>
    <x v="0"/>
    <x v="0"/>
    <n v="60"/>
    <n v="0.75"/>
    <n v="0"/>
  </r>
  <r>
    <s v="ORD-6382"/>
    <d v="2025-05-22T00:00:00"/>
    <x v="8"/>
    <s v="CUST-236"/>
    <x v="3"/>
    <x v="3"/>
    <x v="3"/>
    <x v="2"/>
    <x v="2"/>
    <n v="1"/>
    <n v="2799"/>
    <n v="0"/>
    <n v="0"/>
    <n v="2799"/>
    <n v="2799"/>
    <x v="3"/>
    <x v="0"/>
    <n v="80"/>
    <n v="1"/>
    <n v="0"/>
  </r>
  <r>
    <s v="ORD-6383"/>
    <d v="2025-09-25T00:00:00"/>
    <x v="3"/>
    <s v="CUST-798"/>
    <x v="3"/>
    <x v="3"/>
    <x v="3"/>
    <x v="3"/>
    <x v="0"/>
    <n v="1"/>
    <n v="899"/>
    <n v="0.15"/>
    <n v="134.85"/>
    <n v="899"/>
    <n v="764.15"/>
    <x v="3"/>
    <x v="0"/>
    <n v="60"/>
    <n v="0.85"/>
    <n v="0"/>
  </r>
  <r>
    <s v="ORD-6384"/>
    <d v="2025-07-16T00:00:00"/>
    <x v="5"/>
    <s v="CUST-891"/>
    <x v="0"/>
    <x v="0"/>
    <x v="0"/>
    <x v="12"/>
    <x v="1"/>
    <n v="1"/>
    <n v="799"/>
    <n v="0.1"/>
    <n v="79.900000000000006"/>
    <n v="799"/>
    <n v="719.1"/>
    <x v="3"/>
    <x v="0"/>
    <n v="80"/>
    <n v="0.9"/>
    <n v="0"/>
  </r>
  <r>
    <s v="ORD-6385"/>
    <d v="2025-04-24T00:00:00"/>
    <x v="6"/>
    <s v="CUST-230"/>
    <x v="2"/>
    <x v="2"/>
    <x v="2"/>
    <x v="5"/>
    <x v="0"/>
    <n v="1"/>
    <n v="2299"/>
    <n v="0"/>
    <n v="0"/>
    <n v="2299"/>
    <n v="2299"/>
    <x v="3"/>
    <x v="0"/>
    <n v="80"/>
    <n v="1"/>
    <n v="0"/>
  </r>
  <r>
    <s v="ORD-6386"/>
    <d v="2025-05-02T00:00:00"/>
    <x v="8"/>
    <s v="CUST-527"/>
    <x v="7"/>
    <x v="7"/>
    <x v="1"/>
    <x v="1"/>
    <x v="1"/>
    <n v="1"/>
    <n v="3999"/>
    <n v="0"/>
    <n v="0"/>
    <n v="3999"/>
    <n v="3999"/>
    <x v="3"/>
    <x v="0"/>
    <n v="40"/>
    <n v="1"/>
    <n v="0"/>
  </r>
  <r>
    <s v="ORD-6387"/>
    <d v="2025-08-03T00:00:00"/>
    <x v="0"/>
    <s v="CUST-680"/>
    <x v="3"/>
    <x v="3"/>
    <x v="3"/>
    <x v="7"/>
    <x v="1"/>
    <n v="1"/>
    <n v="1299"/>
    <n v="0.05"/>
    <n v="64.95"/>
    <n v="1299"/>
    <n v="1234.05"/>
    <x v="0"/>
    <x v="0"/>
    <n v="80"/>
    <n v="0.95"/>
    <n v="0"/>
  </r>
  <r>
    <s v="ORD-6388"/>
    <d v="2025-06-08T00:00:00"/>
    <x v="11"/>
    <s v="CUST-884"/>
    <x v="9"/>
    <x v="8"/>
    <x v="1"/>
    <x v="18"/>
    <x v="4"/>
    <n v="1"/>
    <n v="1299"/>
    <n v="0"/>
    <n v="0"/>
    <n v="1299"/>
    <n v="1299"/>
    <x v="3"/>
    <x v="0"/>
    <n v="40"/>
    <n v="1"/>
    <n v="0"/>
  </r>
  <r>
    <s v="ORD-6389"/>
    <d v="2025-04-28T00:00:00"/>
    <x v="6"/>
    <s v="CUST-899"/>
    <x v="6"/>
    <x v="6"/>
    <x v="2"/>
    <x v="19"/>
    <x v="2"/>
    <n v="1"/>
    <n v="1499"/>
    <n v="0.1"/>
    <n v="149.9"/>
    <n v="1499"/>
    <n v="1349.1"/>
    <x v="2"/>
    <x v="2"/>
    <n v="40"/>
    <n v="0.89999999999999991"/>
    <n v="0"/>
  </r>
  <r>
    <s v="ORD-6390"/>
    <d v="2025-08-19T00:00:00"/>
    <x v="0"/>
    <s v="CUST-821"/>
    <x v="3"/>
    <x v="3"/>
    <x v="3"/>
    <x v="15"/>
    <x v="3"/>
    <n v="1"/>
    <n v="299"/>
    <n v="0"/>
    <n v="0"/>
    <n v="299"/>
    <n v="299"/>
    <x v="3"/>
    <x v="0"/>
    <n v="60"/>
    <n v="1"/>
    <n v="0"/>
  </r>
  <r>
    <s v="ORD-6391"/>
    <d v="2025-09-01T00:00:00"/>
    <x v="3"/>
    <s v="CUST-482"/>
    <x v="3"/>
    <x v="3"/>
    <x v="3"/>
    <x v="13"/>
    <x v="2"/>
    <n v="2"/>
    <n v="449"/>
    <n v="0.1"/>
    <n v="44.900000000000006"/>
    <n v="898"/>
    <n v="853.1"/>
    <x v="3"/>
    <x v="0"/>
    <n v="0"/>
    <n v="0.95000000000000007"/>
    <n v="0"/>
  </r>
  <r>
    <s v="ORD-6392"/>
    <d v="2025-11-07T00:00:00"/>
    <x v="10"/>
    <s v="CUST-446"/>
    <x v="4"/>
    <x v="4"/>
    <x v="2"/>
    <x v="5"/>
    <x v="0"/>
    <n v="4"/>
    <n v="2299"/>
    <n v="0"/>
    <n v="0"/>
    <n v="9196"/>
    <n v="9196"/>
    <x v="2"/>
    <x v="0"/>
    <n v="0"/>
    <n v="1"/>
    <n v="0"/>
  </r>
  <r>
    <s v="ORD-6393"/>
    <d v="2025-07-15T00:00:00"/>
    <x v="5"/>
    <s v="CUST-821"/>
    <x v="1"/>
    <x v="1"/>
    <x v="1"/>
    <x v="9"/>
    <x v="1"/>
    <n v="1"/>
    <n v="1899"/>
    <n v="0"/>
    <n v="0"/>
    <n v="1899"/>
    <n v="1899"/>
    <x v="0"/>
    <x v="1"/>
    <n v="60"/>
    <n v="1"/>
    <n v="0"/>
  </r>
  <r>
    <s v="ORD-6394"/>
    <d v="2025-09-13T00:00:00"/>
    <x v="3"/>
    <s v="CUST-466"/>
    <x v="7"/>
    <x v="7"/>
    <x v="1"/>
    <x v="19"/>
    <x v="2"/>
    <n v="1"/>
    <n v="1499"/>
    <n v="0"/>
    <n v="0"/>
    <n v="1499"/>
    <n v="1499"/>
    <x v="3"/>
    <x v="1"/>
    <n v="80"/>
    <n v="1"/>
    <n v="0"/>
  </r>
  <r>
    <s v="ORD-6395"/>
    <d v="2025-04-25T00:00:00"/>
    <x v="6"/>
    <s v="CUST-287"/>
    <x v="1"/>
    <x v="1"/>
    <x v="1"/>
    <x v="3"/>
    <x v="0"/>
    <n v="1"/>
    <n v="899"/>
    <n v="0.1"/>
    <n v="89.9"/>
    <n v="899"/>
    <n v="809.1"/>
    <x v="2"/>
    <x v="0"/>
    <n v="80"/>
    <n v="0.9"/>
    <n v="0"/>
  </r>
  <r>
    <s v="ORD-6396"/>
    <d v="2025-07-04T00:00:00"/>
    <x v="5"/>
    <s v="CUST-450"/>
    <x v="6"/>
    <x v="6"/>
    <x v="2"/>
    <x v="17"/>
    <x v="1"/>
    <n v="1"/>
    <n v="2199"/>
    <n v="0.25"/>
    <n v="549.75"/>
    <n v="2199"/>
    <n v="1649.25"/>
    <x v="3"/>
    <x v="0"/>
    <n v="60"/>
    <n v="0.75"/>
    <n v="0"/>
  </r>
  <r>
    <s v="ORD-6397"/>
    <d v="2025-06-04T00:00:00"/>
    <x v="11"/>
    <s v="CUST-295"/>
    <x v="1"/>
    <x v="1"/>
    <x v="1"/>
    <x v="7"/>
    <x v="1"/>
    <n v="1"/>
    <n v="1299"/>
    <n v="0.2"/>
    <n v="259.8"/>
    <n v="1299"/>
    <n v="1039.2"/>
    <x v="0"/>
    <x v="0"/>
    <n v="80"/>
    <n v="0.8"/>
    <n v="0"/>
  </r>
  <r>
    <s v="ORD-6398"/>
    <d v="2025-12-23T00:00:00"/>
    <x v="4"/>
    <s v="CUST-554"/>
    <x v="1"/>
    <x v="1"/>
    <x v="1"/>
    <x v="22"/>
    <x v="2"/>
    <n v="1"/>
    <n v="3299"/>
    <n v="0.25"/>
    <n v="824.75"/>
    <n v="3299"/>
    <n v="2474.25"/>
    <x v="0"/>
    <x v="0"/>
    <n v="0"/>
    <n v="0.75"/>
    <n v="0"/>
  </r>
  <r>
    <s v="ORD-6399"/>
    <d v="2025-03-07T00:00:00"/>
    <x v="1"/>
    <s v="CUST-729"/>
    <x v="7"/>
    <x v="7"/>
    <x v="1"/>
    <x v="11"/>
    <x v="2"/>
    <n v="1"/>
    <n v="5499"/>
    <n v="0.25"/>
    <n v="1374.75"/>
    <n v="5499"/>
    <n v="4124.25"/>
    <x v="2"/>
    <x v="0"/>
    <n v="0"/>
    <n v="0.75"/>
    <n v="0"/>
  </r>
  <r>
    <s v="ORD-6400"/>
    <d v="2025-11-21T00:00:00"/>
    <x v="10"/>
    <s v="CUST-386"/>
    <x v="1"/>
    <x v="1"/>
    <x v="1"/>
    <x v="20"/>
    <x v="3"/>
    <n v="1"/>
    <n v="499"/>
    <n v="0.1"/>
    <n v="49.900000000000006"/>
    <n v="499"/>
    <n v="449.1"/>
    <x v="0"/>
    <x v="0"/>
    <n v="60"/>
    <n v="0.9"/>
    <n v="0"/>
  </r>
  <r>
    <s v="ORD-6401"/>
    <d v="2025-07-24T00:00:00"/>
    <x v="5"/>
    <s v="CUST-675"/>
    <x v="3"/>
    <x v="3"/>
    <x v="3"/>
    <x v="4"/>
    <x v="3"/>
    <n v="1"/>
    <n v="349"/>
    <n v="0.05"/>
    <n v="17.45"/>
    <n v="349"/>
    <n v="331.55"/>
    <x v="3"/>
    <x v="0"/>
    <n v="40"/>
    <n v="0.95000000000000007"/>
    <n v="0"/>
  </r>
  <r>
    <s v="ORD-6402"/>
    <d v="2025-01-10T00:00:00"/>
    <x v="7"/>
    <s v="CUST-214"/>
    <x v="1"/>
    <x v="1"/>
    <x v="1"/>
    <x v="15"/>
    <x v="3"/>
    <n v="2"/>
    <n v="299"/>
    <n v="0.1"/>
    <n v="29.900000000000002"/>
    <n v="598"/>
    <n v="568.1"/>
    <x v="0"/>
    <x v="0"/>
    <n v="0"/>
    <n v="0.95000000000000007"/>
    <n v="0"/>
  </r>
  <r>
    <s v="ORD-6403"/>
    <d v="2025-12-23T00:00:00"/>
    <x v="4"/>
    <s v="CUST-712"/>
    <x v="8"/>
    <x v="1"/>
    <x v="1"/>
    <x v="16"/>
    <x v="4"/>
    <n v="3"/>
    <n v="1599"/>
    <n v="0.2"/>
    <n v="319.8"/>
    <n v="4797"/>
    <n v="4477.2"/>
    <x v="2"/>
    <x v="0"/>
    <n v="0"/>
    <n v="0.93333333333333335"/>
    <n v="0"/>
  </r>
  <r>
    <s v="ORD-6404"/>
    <d v="2025-12-25T00:00:00"/>
    <x v="4"/>
    <s v="CUST-839"/>
    <x v="5"/>
    <x v="5"/>
    <x v="3"/>
    <x v="11"/>
    <x v="2"/>
    <n v="1"/>
    <n v="5499"/>
    <n v="0.2"/>
    <n v="1099.8"/>
    <n v="5499"/>
    <n v="4399.2"/>
    <x v="3"/>
    <x v="0"/>
    <n v="40"/>
    <n v="0.79999999999999993"/>
    <n v="0"/>
  </r>
  <r>
    <s v="ORD-6405"/>
    <d v="2025-09-11T00:00:00"/>
    <x v="3"/>
    <s v="CUST-401"/>
    <x v="3"/>
    <x v="3"/>
    <x v="3"/>
    <x v="11"/>
    <x v="2"/>
    <n v="1"/>
    <n v="5499"/>
    <n v="0.1"/>
    <n v="549.9"/>
    <n v="5499"/>
    <n v="4949.1000000000004"/>
    <x v="3"/>
    <x v="0"/>
    <n v="80"/>
    <n v="0.9"/>
    <n v="0"/>
  </r>
  <r>
    <s v="ORD-6406"/>
    <d v="2025-11-17T00:00:00"/>
    <x v="10"/>
    <s v="CUST-270"/>
    <x v="6"/>
    <x v="6"/>
    <x v="2"/>
    <x v="1"/>
    <x v="1"/>
    <n v="1"/>
    <n v="3999"/>
    <n v="0.15"/>
    <n v="599.85"/>
    <n v="3999"/>
    <n v="3399.15"/>
    <x v="3"/>
    <x v="0"/>
    <n v="60"/>
    <n v="0.85"/>
    <n v="0"/>
  </r>
  <r>
    <s v="ORD-6407"/>
    <d v="2025-01-30T00:00:00"/>
    <x v="7"/>
    <s v="CUST-854"/>
    <x v="8"/>
    <x v="1"/>
    <x v="1"/>
    <x v="13"/>
    <x v="2"/>
    <n v="1"/>
    <n v="449"/>
    <n v="0"/>
    <n v="0"/>
    <n v="449"/>
    <n v="449"/>
    <x v="3"/>
    <x v="0"/>
    <n v="60"/>
    <n v="1"/>
    <n v="0"/>
  </r>
  <r>
    <s v="ORD-6408"/>
    <d v="2025-02-14T00:00:00"/>
    <x v="9"/>
    <s v="CUST-591"/>
    <x v="3"/>
    <x v="3"/>
    <x v="3"/>
    <x v="19"/>
    <x v="2"/>
    <n v="1"/>
    <n v="1499"/>
    <n v="0"/>
    <n v="0"/>
    <n v="1499"/>
    <n v="1499"/>
    <x v="2"/>
    <x v="1"/>
    <n v="40"/>
    <n v="1"/>
    <n v="0"/>
  </r>
  <r>
    <s v="ORD-6409"/>
    <d v="2025-07-13T00:00:00"/>
    <x v="5"/>
    <s v="CUST-838"/>
    <x v="3"/>
    <x v="3"/>
    <x v="3"/>
    <x v="14"/>
    <x v="4"/>
    <n v="4"/>
    <n v="399"/>
    <n v="0"/>
    <n v="0"/>
    <n v="1596"/>
    <n v="1596"/>
    <x v="1"/>
    <x v="0"/>
    <n v="80"/>
    <n v="1"/>
    <n v="0"/>
  </r>
  <r>
    <s v="ORD-6410"/>
    <d v="2025-07-08T00:00:00"/>
    <x v="5"/>
    <s v="CUST-417"/>
    <x v="6"/>
    <x v="6"/>
    <x v="2"/>
    <x v="6"/>
    <x v="0"/>
    <n v="1"/>
    <n v="1599"/>
    <n v="0"/>
    <n v="0"/>
    <n v="1599"/>
    <n v="1599"/>
    <x v="3"/>
    <x v="1"/>
    <n v="80"/>
    <n v="1"/>
    <n v="0"/>
  </r>
  <r>
    <s v="ORD-6411"/>
    <d v="2025-11-27T00:00:00"/>
    <x v="10"/>
    <s v="CUST-429"/>
    <x v="1"/>
    <x v="1"/>
    <x v="1"/>
    <x v="21"/>
    <x v="4"/>
    <n v="1"/>
    <n v="699"/>
    <n v="0.2"/>
    <n v="139.80000000000001"/>
    <n v="699"/>
    <n v="559.20000000000005"/>
    <x v="1"/>
    <x v="0"/>
    <n v="40"/>
    <n v="0.8"/>
    <n v="0"/>
  </r>
  <r>
    <s v="ORD-6412"/>
    <d v="2025-07-31T00:00:00"/>
    <x v="5"/>
    <s v="CUST-631"/>
    <x v="9"/>
    <x v="8"/>
    <x v="1"/>
    <x v="8"/>
    <x v="1"/>
    <n v="1"/>
    <n v="2499"/>
    <n v="0.05"/>
    <n v="124.95"/>
    <n v="2499"/>
    <n v="2374.0500000000002"/>
    <x v="0"/>
    <x v="0"/>
    <n v="0"/>
    <n v="0.95000000000000007"/>
    <n v="0"/>
  </r>
  <r>
    <s v="ORD-6413"/>
    <d v="2025-01-16T00:00:00"/>
    <x v="7"/>
    <s v="CUST-825"/>
    <x v="8"/>
    <x v="1"/>
    <x v="1"/>
    <x v="7"/>
    <x v="1"/>
    <n v="1"/>
    <n v="1299"/>
    <n v="0.1"/>
    <n v="129.9"/>
    <n v="1299"/>
    <n v="1169.0999999999999"/>
    <x v="1"/>
    <x v="0"/>
    <n v="40"/>
    <n v="0.89999999999999991"/>
    <n v="0"/>
  </r>
  <r>
    <s v="ORD-6414"/>
    <d v="2025-11-08T00:00:00"/>
    <x v="10"/>
    <s v="CUST-565"/>
    <x v="8"/>
    <x v="1"/>
    <x v="1"/>
    <x v="14"/>
    <x v="4"/>
    <n v="2"/>
    <n v="399"/>
    <n v="0.2"/>
    <n v="79.800000000000011"/>
    <n v="798"/>
    <n v="718.2"/>
    <x v="1"/>
    <x v="0"/>
    <n v="80"/>
    <n v="0.9"/>
    <n v="0"/>
  </r>
  <r>
    <s v="ORD-6415"/>
    <d v="2025-11-26T00:00:00"/>
    <x v="10"/>
    <s v="CUST-702"/>
    <x v="4"/>
    <x v="4"/>
    <x v="2"/>
    <x v="12"/>
    <x v="1"/>
    <n v="3"/>
    <n v="799"/>
    <n v="0.15"/>
    <n v="119.85"/>
    <n v="2397"/>
    <n v="2277.15"/>
    <x v="3"/>
    <x v="0"/>
    <n v="60"/>
    <n v="0.95000000000000007"/>
    <n v="0"/>
  </r>
  <r>
    <s v="ORD-6416"/>
    <d v="2025-03-03T00:00:00"/>
    <x v="1"/>
    <s v="CUST-402"/>
    <x v="2"/>
    <x v="2"/>
    <x v="2"/>
    <x v="16"/>
    <x v="4"/>
    <n v="1"/>
    <n v="1599"/>
    <n v="0.05"/>
    <n v="79.95"/>
    <n v="1599"/>
    <n v="1519.05"/>
    <x v="3"/>
    <x v="0"/>
    <n v="60"/>
    <n v="0.95"/>
    <n v="0"/>
  </r>
  <r>
    <s v="ORD-6417"/>
    <d v="2025-04-25T00:00:00"/>
    <x v="6"/>
    <s v="CUST-316"/>
    <x v="8"/>
    <x v="1"/>
    <x v="1"/>
    <x v="4"/>
    <x v="3"/>
    <n v="2"/>
    <n v="349"/>
    <n v="0"/>
    <n v="0"/>
    <n v="698"/>
    <n v="698"/>
    <x v="3"/>
    <x v="0"/>
    <n v="60"/>
    <n v="1"/>
    <n v="0"/>
  </r>
  <r>
    <s v="ORD-6418"/>
    <d v="2025-08-25T00:00:00"/>
    <x v="0"/>
    <s v="CUST-441"/>
    <x v="2"/>
    <x v="2"/>
    <x v="2"/>
    <x v="14"/>
    <x v="4"/>
    <n v="3"/>
    <n v="399"/>
    <n v="0.25"/>
    <n v="99.75"/>
    <n v="1197"/>
    <n v="1097.25"/>
    <x v="0"/>
    <x v="0"/>
    <n v="80"/>
    <n v="0.91666666666666663"/>
    <n v="0"/>
  </r>
  <r>
    <s v="ORD-6419"/>
    <d v="2025-10-12T00:00:00"/>
    <x v="2"/>
    <s v="CUST-223"/>
    <x v="8"/>
    <x v="1"/>
    <x v="1"/>
    <x v="10"/>
    <x v="0"/>
    <n v="1"/>
    <n v="599"/>
    <n v="0.15"/>
    <n v="89.85"/>
    <n v="599"/>
    <n v="509.15"/>
    <x v="0"/>
    <x v="0"/>
    <n v="60"/>
    <n v="0.85"/>
    <n v="0"/>
  </r>
  <r>
    <s v="ORD-6420"/>
    <d v="2025-02-11T00:00:00"/>
    <x v="9"/>
    <s v="CUST-665"/>
    <x v="0"/>
    <x v="0"/>
    <x v="0"/>
    <x v="11"/>
    <x v="2"/>
    <n v="2"/>
    <n v="5499"/>
    <n v="0.25"/>
    <n v="1374.75"/>
    <n v="10998"/>
    <n v="9623.25"/>
    <x v="3"/>
    <x v="0"/>
    <n v="80"/>
    <n v="0.875"/>
    <n v="0"/>
  </r>
  <r>
    <s v="ORD-6421"/>
    <d v="2025-10-20T00:00:00"/>
    <x v="2"/>
    <s v="CUST-677"/>
    <x v="3"/>
    <x v="3"/>
    <x v="3"/>
    <x v="2"/>
    <x v="2"/>
    <n v="1"/>
    <n v="2799"/>
    <n v="0.1"/>
    <n v="279.90000000000003"/>
    <n v="2799"/>
    <n v="2519.1"/>
    <x v="3"/>
    <x v="0"/>
    <n v="0"/>
    <n v="0.9"/>
    <n v="0"/>
  </r>
  <r>
    <s v="ORD-6422"/>
    <d v="2025-10-31T00:00:00"/>
    <x v="2"/>
    <s v="CUST-524"/>
    <x v="5"/>
    <x v="5"/>
    <x v="3"/>
    <x v="18"/>
    <x v="4"/>
    <n v="1"/>
    <n v="1299"/>
    <n v="0.25"/>
    <n v="324.75"/>
    <n v="1299"/>
    <n v="974.25"/>
    <x v="3"/>
    <x v="0"/>
    <n v="40"/>
    <n v="0.75"/>
    <n v="0"/>
  </r>
  <r>
    <s v="ORD-6423"/>
    <d v="2025-04-30T00:00:00"/>
    <x v="6"/>
    <s v="CUST-440"/>
    <x v="1"/>
    <x v="1"/>
    <x v="1"/>
    <x v="21"/>
    <x v="4"/>
    <n v="3"/>
    <n v="699"/>
    <n v="0"/>
    <n v="0"/>
    <n v="2097"/>
    <n v="2097"/>
    <x v="3"/>
    <x v="0"/>
    <n v="80"/>
    <n v="1"/>
    <n v="0"/>
  </r>
  <r>
    <s v="ORD-6424"/>
    <d v="2025-06-06T00:00:00"/>
    <x v="11"/>
    <s v="CUST-337"/>
    <x v="6"/>
    <x v="6"/>
    <x v="2"/>
    <x v="2"/>
    <x v="2"/>
    <n v="1"/>
    <n v="2799"/>
    <n v="0.15"/>
    <n v="419.84999999999997"/>
    <n v="2799"/>
    <n v="2379.15"/>
    <x v="0"/>
    <x v="0"/>
    <n v="80"/>
    <n v="0.85"/>
    <n v="0"/>
  </r>
  <r>
    <s v="ORD-6425"/>
    <d v="2025-10-19T00:00:00"/>
    <x v="2"/>
    <s v="CUST-519"/>
    <x v="9"/>
    <x v="8"/>
    <x v="1"/>
    <x v="16"/>
    <x v="4"/>
    <n v="1"/>
    <n v="1599"/>
    <n v="0.1"/>
    <n v="159.9"/>
    <n v="1599"/>
    <n v="1439.1"/>
    <x v="1"/>
    <x v="0"/>
    <n v="60"/>
    <n v="0.89999999999999991"/>
    <n v="0"/>
  </r>
  <r>
    <s v="ORD-6426"/>
    <d v="2025-01-29T00:00:00"/>
    <x v="7"/>
    <s v="CUST-803"/>
    <x v="8"/>
    <x v="1"/>
    <x v="1"/>
    <x v="19"/>
    <x v="2"/>
    <n v="2"/>
    <n v="1499"/>
    <n v="0"/>
    <n v="0"/>
    <n v="2998"/>
    <n v="2998"/>
    <x v="0"/>
    <x v="0"/>
    <n v="40"/>
    <n v="1"/>
    <n v="0"/>
  </r>
  <r>
    <s v="ORD-6427"/>
    <d v="2025-07-25T00:00:00"/>
    <x v="5"/>
    <s v="CUST-316"/>
    <x v="1"/>
    <x v="1"/>
    <x v="1"/>
    <x v="22"/>
    <x v="2"/>
    <n v="1"/>
    <n v="3299"/>
    <n v="0.1"/>
    <n v="329.90000000000003"/>
    <n v="3299"/>
    <n v="2969.1"/>
    <x v="0"/>
    <x v="0"/>
    <n v="80"/>
    <n v="0.9"/>
    <n v="0"/>
  </r>
  <r>
    <s v="ORD-6428"/>
    <d v="2025-08-03T00:00:00"/>
    <x v="0"/>
    <s v="CUST-800"/>
    <x v="4"/>
    <x v="4"/>
    <x v="2"/>
    <x v="4"/>
    <x v="3"/>
    <n v="1"/>
    <n v="349"/>
    <n v="0.1"/>
    <n v="34.9"/>
    <n v="349"/>
    <n v="314.10000000000002"/>
    <x v="0"/>
    <x v="0"/>
    <n v="40"/>
    <n v="0.9"/>
    <n v="0"/>
  </r>
  <r>
    <s v="ORD-6429"/>
    <d v="2025-02-03T00:00:00"/>
    <x v="9"/>
    <s v="CUST-724"/>
    <x v="2"/>
    <x v="2"/>
    <x v="2"/>
    <x v="18"/>
    <x v="4"/>
    <n v="1"/>
    <n v="1299"/>
    <n v="0.15"/>
    <n v="194.85"/>
    <n v="1299"/>
    <n v="1104.1500000000001"/>
    <x v="3"/>
    <x v="0"/>
    <n v="40"/>
    <n v="0.85000000000000009"/>
    <n v="0"/>
  </r>
  <r>
    <s v="ORD-6430"/>
    <d v="2025-03-29T00:00:00"/>
    <x v="1"/>
    <s v="CUST-740"/>
    <x v="0"/>
    <x v="0"/>
    <x v="0"/>
    <x v="18"/>
    <x v="4"/>
    <n v="1"/>
    <n v="1299"/>
    <n v="0.1"/>
    <n v="129.9"/>
    <n v="1299"/>
    <n v="1169.0999999999999"/>
    <x v="3"/>
    <x v="0"/>
    <n v="0"/>
    <n v="0.89999999999999991"/>
    <n v="0"/>
  </r>
  <r>
    <s v="ORD-6431"/>
    <d v="2025-06-27T00:00:00"/>
    <x v="11"/>
    <s v="CUST-346"/>
    <x v="2"/>
    <x v="2"/>
    <x v="2"/>
    <x v="19"/>
    <x v="2"/>
    <n v="2"/>
    <n v="1499"/>
    <n v="0.25"/>
    <n v="374.75"/>
    <n v="2998"/>
    <n v="2623.25"/>
    <x v="2"/>
    <x v="0"/>
    <n v="40"/>
    <n v="0.875"/>
    <n v="0"/>
  </r>
  <r>
    <s v="ORD-6432"/>
    <d v="2025-01-15T00:00:00"/>
    <x v="7"/>
    <s v="CUST-726"/>
    <x v="0"/>
    <x v="0"/>
    <x v="0"/>
    <x v="10"/>
    <x v="0"/>
    <n v="1"/>
    <n v="599"/>
    <n v="0.05"/>
    <n v="29.950000000000003"/>
    <n v="599"/>
    <n v="569.04999999999995"/>
    <x v="3"/>
    <x v="2"/>
    <n v="0"/>
    <n v="0.95"/>
    <n v="0"/>
  </r>
  <r>
    <s v="ORD-6433"/>
    <d v="2025-12-23T00:00:00"/>
    <x v="4"/>
    <s v="CUST-274"/>
    <x v="8"/>
    <x v="1"/>
    <x v="1"/>
    <x v="9"/>
    <x v="1"/>
    <n v="1"/>
    <n v="1899"/>
    <n v="0.1"/>
    <n v="189.9"/>
    <n v="1899"/>
    <n v="1709.1"/>
    <x v="2"/>
    <x v="0"/>
    <n v="0"/>
    <n v="0.89999999999999991"/>
    <n v="0"/>
  </r>
  <r>
    <s v="ORD-6434"/>
    <d v="2025-06-17T00:00:00"/>
    <x v="11"/>
    <s v="CUST-668"/>
    <x v="0"/>
    <x v="0"/>
    <x v="0"/>
    <x v="16"/>
    <x v="4"/>
    <n v="3"/>
    <n v="1599"/>
    <n v="0.05"/>
    <n v="79.95"/>
    <n v="4797"/>
    <n v="4717.05"/>
    <x v="3"/>
    <x v="0"/>
    <n v="0"/>
    <n v="0.98333333333333339"/>
    <n v="0"/>
  </r>
  <r>
    <s v="ORD-6435"/>
    <d v="2025-11-09T00:00:00"/>
    <x v="10"/>
    <s v="CUST-389"/>
    <x v="4"/>
    <x v="4"/>
    <x v="2"/>
    <x v="22"/>
    <x v="2"/>
    <n v="2"/>
    <n v="3299"/>
    <n v="0.2"/>
    <n v="659.80000000000007"/>
    <n v="6598"/>
    <n v="5938.2"/>
    <x v="0"/>
    <x v="0"/>
    <n v="60"/>
    <n v="0.9"/>
    <n v="0"/>
  </r>
  <r>
    <s v="ORD-6436"/>
    <d v="2025-02-08T00:00:00"/>
    <x v="9"/>
    <s v="CUST-278"/>
    <x v="1"/>
    <x v="1"/>
    <x v="1"/>
    <x v="21"/>
    <x v="4"/>
    <n v="2"/>
    <n v="699"/>
    <n v="0"/>
    <n v="0"/>
    <n v="1398"/>
    <n v="1398"/>
    <x v="2"/>
    <x v="1"/>
    <n v="60"/>
    <n v="1"/>
    <n v="0"/>
  </r>
  <r>
    <s v="ORD-6437"/>
    <d v="2025-06-09T00:00:00"/>
    <x v="11"/>
    <s v="CUST-582"/>
    <x v="3"/>
    <x v="3"/>
    <x v="3"/>
    <x v="1"/>
    <x v="1"/>
    <n v="3"/>
    <n v="3999"/>
    <n v="0.1"/>
    <n v="399.90000000000003"/>
    <n v="11997"/>
    <n v="11597.1"/>
    <x v="0"/>
    <x v="0"/>
    <n v="60"/>
    <n v="0.96666666666666667"/>
    <n v="0"/>
  </r>
  <r>
    <s v="ORD-6438"/>
    <d v="2025-08-25T00:00:00"/>
    <x v="0"/>
    <s v="CUST-511"/>
    <x v="0"/>
    <x v="0"/>
    <x v="0"/>
    <x v="5"/>
    <x v="0"/>
    <n v="1"/>
    <n v="2299"/>
    <n v="0"/>
    <n v="0"/>
    <n v="2299"/>
    <n v="2299"/>
    <x v="2"/>
    <x v="0"/>
    <n v="80"/>
    <n v="1"/>
    <n v="0"/>
  </r>
  <r>
    <s v="ORD-6439"/>
    <d v="2025-04-04T00:00:00"/>
    <x v="6"/>
    <s v="CUST-483"/>
    <x v="5"/>
    <x v="5"/>
    <x v="3"/>
    <x v="3"/>
    <x v="0"/>
    <n v="1"/>
    <n v="899"/>
    <n v="0.1"/>
    <n v="89.9"/>
    <n v="899"/>
    <n v="809.1"/>
    <x v="2"/>
    <x v="0"/>
    <n v="40"/>
    <n v="0.9"/>
    <n v="0"/>
  </r>
  <r>
    <s v="ORD-6440"/>
    <d v="2025-03-10T00:00:00"/>
    <x v="1"/>
    <s v="CUST-611"/>
    <x v="4"/>
    <x v="4"/>
    <x v="2"/>
    <x v="21"/>
    <x v="4"/>
    <n v="1"/>
    <n v="699"/>
    <n v="0.2"/>
    <n v="139.80000000000001"/>
    <n v="699"/>
    <n v="559.20000000000005"/>
    <x v="3"/>
    <x v="0"/>
    <n v="60"/>
    <n v="0.8"/>
    <n v="0"/>
  </r>
  <r>
    <s v="ORD-6441"/>
    <d v="2025-06-04T00:00:00"/>
    <x v="11"/>
    <s v="CUST-851"/>
    <x v="5"/>
    <x v="5"/>
    <x v="3"/>
    <x v="6"/>
    <x v="0"/>
    <n v="1"/>
    <n v="1599"/>
    <n v="0.1"/>
    <n v="159.9"/>
    <n v="1599"/>
    <n v="1439.1"/>
    <x v="2"/>
    <x v="0"/>
    <n v="40"/>
    <n v="0.89999999999999991"/>
    <n v="0"/>
  </r>
  <r>
    <s v="ORD-6442"/>
    <d v="2025-06-20T00:00:00"/>
    <x v="11"/>
    <s v="CUST-743"/>
    <x v="3"/>
    <x v="3"/>
    <x v="3"/>
    <x v="7"/>
    <x v="1"/>
    <n v="1"/>
    <n v="1299"/>
    <n v="0.15"/>
    <n v="194.85"/>
    <n v="1299"/>
    <n v="1104.1500000000001"/>
    <x v="3"/>
    <x v="0"/>
    <n v="0"/>
    <n v="0.85000000000000009"/>
    <n v="0"/>
  </r>
  <r>
    <s v="ORD-6443"/>
    <d v="2025-10-17T00:00:00"/>
    <x v="2"/>
    <s v="CUST-241"/>
    <x v="1"/>
    <x v="1"/>
    <x v="1"/>
    <x v="0"/>
    <x v="0"/>
    <n v="3"/>
    <n v="1799"/>
    <n v="0.25"/>
    <n v="449.75"/>
    <n v="5397"/>
    <n v="4947.25"/>
    <x v="3"/>
    <x v="2"/>
    <n v="0"/>
    <n v="0.91666666666666663"/>
    <n v="0"/>
  </r>
  <r>
    <s v="ORD-6444"/>
    <d v="2025-02-10T00:00:00"/>
    <x v="9"/>
    <s v="CUST-572"/>
    <x v="4"/>
    <x v="4"/>
    <x v="2"/>
    <x v="7"/>
    <x v="1"/>
    <n v="1"/>
    <n v="1299"/>
    <n v="0.15"/>
    <n v="194.85"/>
    <n v="1299"/>
    <n v="1104.1500000000001"/>
    <x v="2"/>
    <x v="0"/>
    <n v="80"/>
    <n v="0.85000000000000009"/>
    <n v="0"/>
  </r>
  <r>
    <s v="ORD-6445"/>
    <d v="2025-09-27T00:00:00"/>
    <x v="3"/>
    <s v="CUST-626"/>
    <x v="1"/>
    <x v="1"/>
    <x v="1"/>
    <x v="2"/>
    <x v="2"/>
    <n v="3"/>
    <n v="2799"/>
    <n v="0.2"/>
    <n v="559.80000000000007"/>
    <n v="8397"/>
    <n v="7837.2"/>
    <x v="3"/>
    <x v="0"/>
    <n v="40"/>
    <n v="0.93333333333333335"/>
    <n v="0"/>
  </r>
  <r>
    <s v="ORD-6446"/>
    <d v="2025-09-05T00:00:00"/>
    <x v="3"/>
    <s v="CUST-620"/>
    <x v="3"/>
    <x v="3"/>
    <x v="3"/>
    <x v="21"/>
    <x v="4"/>
    <n v="1"/>
    <n v="699"/>
    <n v="0"/>
    <n v="0"/>
    <n v="699"/>
    <n v="699"/>
    <x v="0"/>
    <x v="0"/>
    <n v="0"/>
    <n v="1"/>
    <n v="0"/>
  </r>
  <r>
    <s v="ORD-6447"/>
    <d v="2025-02-23T00:00:00"/>
    <x v="9"/>
    <s v="CUST-303"/>
    <x v="4"/>
    <x v="4"/>
    <x v="2"/>
    <x v="13"/>
    <x v="2"/>
    <n v="2"/>
    <n v="449"/>
    <n v="0.15"/>
    <n v="67.349999999999994"/>
    <n v="898"/>
    <n v="830.65"/>
    <x v="1"/>
    <x v="0"/>
    <n v="40"/>
    <n v="0.92499999999999993"/>
    <n v="0"/>
  </r>
  <r>
    <s v="ORD-6448"/>
    <d v="2025-10-04T00:00:00"/>
    <x v="2"/>
    <s v="CUST-685"/>
    <x v="8"/>
    <x v="1"/>
    <x v="1"/>
    <x v="4"/>
    <x v="3"/>
    <n v="1"/>
    <n v="349"/>
    <n v="0.1"/>
    <n v="34.9"/>
    <n v="349"/>
    <n v="314.10000000000002"/>
    <x v="3"/>
    <x v="0"/>
    <n v="40"/>
    <n v="0.9"/>
    <n v="0"/>
  </r>
  <r>
    <s v="ORD-6449"/>
    <d v="2025-09-01T00:00:00"/>
    <x v="3"/>
    <s v="CUST-828"/>
    <x v="1"/>
    <x v="1"/>
    <x v="1"/>
    <x v="1"/>
    <x v="1"/>
    <n v="3"/>
    <n v="3999"/>
    <n v="0"/>
    <n v="0"/>
    <n v="11997"/>
    <n v="11997"/>
    <x v="0"/>
    <x v="0"/>
    <n v="40"/>
    <n v="1"/>
    <n v="0"/>
  </r>
  <r>
    <s v="ORD-6450"/>
    <d v="2025-03-22T00:00:00"/>
    <x v="1"/>
    <s v="CUST-267"/>
    <x v="4"/>
    <x v="4"/>
    <x v="2"/>
    <x v="12"/>
    <x v="1"/>
    <n v="1"/>
    <n v="799"/>
    <n v="0.25"/>
    <n v="199.75"/>
    <n v="799"/>
    <n v="599.25"/>
    <x v="1"/>
    <x v="1"/>
    <n v="80"/>
    <n v="0.75"/>
    <n v="0"/>
  </r>
  <r>
    <s v="ORD-6451"/>
    <d v="2025-10-27T00:00:00"/>
    <x v="2"/>
    <s v="CUST-686"/>
    <x v="6"/>
    <x v="6"/>
    <x v="2"/>
    <x v="6"/>
    <x v="0"/>
    <n v="1"/>
    <n v="1599"/>
    <n v="0"/>
    <n v="0"/>
    <n v="1599"/>
    <n v="1599"/>
    <x v="3"/>
    <x v="1"/>
    <n v="80"/>
    <n v="1"/>
    <n v="0"/>
  </r>
  <r>
    <s v="ORD-6452"/>
    <d v="2025-06-27T00:00:00"/>
    <x v="11"/>
    <s v="CUST-691"/>
    <x v="9"/>
    <x v="8"/>
    <x v="1"/>
    <x v="11"/>
    <x v="2"/>
    <n v="2"/>
    <n v="5499"/>
    <n v="0.1"/>
    <n v="549.9"/>
    <n v="10998"/>
    <n v="10448.1"/>
    <x v="3"/>
    <x v="0"/>
    <n v="60"/>
    <n v="0.95000000000000007"/>
    <n v="0"/>
  </r>
  <r>
    <s v="ORD-6453"/>
    <d v="2025-12-02T00:00:00"/>
    <x v="4"/>
    <s v="CUST-440"/>
    <x v="9"/>
    <x v="8"/>
    <x v="1"/>
    <x v="7"/>
    <x v="1"/>
    <n v="1"/>
    <n v="1299"/>
    <n v="0.2"/>
    <n v="259.8"/>
    <n v="1299"/>
    <n v="1039.2"/>
    <x v="3"/>
    <x v="0"/>
    <n v="80"/>
    <n v="0.8"/>
    <n v="0"/>
  </r>
  <r>
    <s v="ORD-6454"/>
    <d v="2025-12-13T00:00:00"/>
    <x v="4"/>
    <s v="CUST-697"/>
    <x v="9"/>
    <x v="8"/>
    <x v="1"/>
    <x v="5"/>
    <x v="0"/>
    <n v="2"/>
    <n v="2299"/>
    <n v="0.05"/>
    <n v="114.95"/>
    <n v="4598"/>
    <n v="4483.05"/>
    <x v="0"/>
    <x v="0"/>
    <n v="0"/>
    <n v="0.97500000000000009"/>
    <n v="0"/>
  </r>
  <r>
    <s v="ORD-6455"/>
    <d v="2025-05-28T00:00:00"/>
    <x v="8"/>
    <s v="CUST-483"/>
    <x v="2"/>
    <x v="2"/>
    <x v="2"/>
    <x v="7"/>
    <x v="1"/>
    <n v="3"/>
    <n v="1299"/>
    <n v="0.05"/>
    <n v="64.95"/>
    <n v="3897"/>
    <n v="3832.05"/>
    <x v="2"/>
    <x v="0"/>
    <n v="0"/>
    <n v="0.98333333333333339"/>
    <n v="0"/>
  </r>
  <r>
    <s v="ORD-6456"/>
    <d v="2025-07-21T00:00:00"/>
    <x v="5"/>
    <s v="CUST-820"/>
    <x v="6"/>
    <x v="6"/>
    <x v="2"/>
    <x v="1"/>
    <x v="1"/>
    <n v="1"/>
    <n v="3999"/>
    <n v="0.05"/>
    <n v="199.95000000000002"/>
    <n v="3999"/>
    <n v="3799.05"/>
    <x v="3"/>
    <x v="0"/>
    <n v="0"/>
    <n v="0.95000000000000007"/>
    <n v="0"/>
  </r>
  <r>
    <s v="ORD-6457"/>
    <d v="2025-11-16T00:00:00"/>
    <x v="10"/>
    <s v="CUST-489"/>
    <x v="4"/>
    <x v="4"/>
    <x v="2"/>
    <x v="13"/>
    <x v="2"/>
    <n v="1"/>
    <n v="449"/>
    <n v="0.1"/>
    <n v="44.900000000000006"/>
    <n v="449"/>
    <n v="404.1"/>
    <x v="2"/>
    <x v="0"/>
    <n v="80"/>
    <n v="0.9"/>
    <n v="0"/>
  </r>
  <r>
    <s v="ORD-6458"/>
    <d v="2025-04-15T00:00:00"/>
    <x v="6"/>
    <s v="CUST-351"/>
    <x v="6"/>
    <x v="6"/>
    <x v="2"/>
    <x v="8"/>
    <x v="1"/>
    <n v="2"/>
    <n v="2499"/>
    <n v="0.25"/>
    <n v="624.75"/>
    <n v="4998"/>
    <n v="4373.25"/>
    <x v="1"/>
    <x v="0"/>
    <n v="0"/>
    <n v="0.875"/>
    <n v="0"/>
  </r>
  <r>
    <s v="ORD-6459"/>
    <d v="2025-06-06T00:00:00"/>
    <x v="11"/>
    <s v="CUST-614"/>
    <x v="1"/>
    <x v="1"/>
    <x v="1"/>
    <x v="1"/>
    <x v="1"/>
    <n v="1"/>
    <n v="3999"/>
    <n v="0.1"/>
    <n v="399.90000000000003"/>
    <n v="3999"/>
    <n v="3599.1"/>
    <x v="0"/>
    <x v="0"/>
    <n v="80"/>
    <n v="0.9"/>
    <n v="0"/>
  </r>
  <r>
    <s v="ORD-6460"/>
    <d v="2025-12-30T00:00:00"/>
    <x v="4"/>
    <s v="CUST-354"/>
    <x v="1"/>
    <x v="1"/>
    <x v="1"/>
    <x v="14"/>
    <x v="4"/>
    <n v="2"/>
    <n v="399"/>
    <n v="0.05"/>
    <n v="19.950000000000003"/>
    <n v="798"/>
    <n v="778.05"/>
    <x v="3"/>
    <x v="0"/>
    <n v="80"/>
    <n v="0.97499999999999998"/>
    <n v="0"/>
  </r>
  <r>
    <s v="ORD-6461"/>
    <d v="2025-01-25T00:00:00"/>
    <x v="7"/>
    <s v="CUST-595"/>
    <x v="0"/>
    <x v="0"/>
    <x v="0"/>
    <x v="2"/>
    <x v="2"/>
    <n v="1"/>
    <n v="2799"/>
    <n v="0"/>
    <n v="0"/>
    <n v="2799"/>
    <n v="2799"/>
    <x v="0"/>
    <x v="0"/>
    <n v="60"/>
    <n v="1"/>
    <n v="0"/>
  </r>
  <r>
    <s v="ORD-6462"/>
    <d v="2025-07-07T00:00:00"/>
    <x v="5"/>
    <s v="CUST-400"/>
    <x v="7"/>
    <x v="7"/>
    <x v="1"/>
    <x v="22"/>
    <x v="2"/>
    <n v="2"/>
    <n v="3299"/>
    <n v="0"/>
    <n v="0"/>
    <n v="6598"/>
    <n v="6598"/>
    <x v="0"/>
    <x v="0"/>
    <n v="0"/>
    <n v="1"/>
    <n v="0"/>
  </r>
  <r>
    <s v="ORD-6463"/>
    <d v="2025-11-29T00:00:00"/>
    <x v="10"/>
    <s v="CUST-459"/>
    <x v="3"/>
    <x v="3"/>
    <x v="3"/>
    <x v="0"/>
    <x v="0"/>
    <n v="1"/>
    <n v="1799"/>
    <n v="0.15"/>
    <n v="269.84999999999997"/>
    <n v="1799"/>
    <n v="1529.15"/>
    <x v="2"/>
    <x v="0"/>
    <n v="0"/>
    <n v="0.85000000000000009"/>
    <n v="0"/>
  </r>
  <r>
    <s v="ORD-6464"/>
    <d v="2025-10-05T00:00:00"/>
    <x v="2"/>
    <s v="CUST-525"/>
    <x v="3"/>
    <x v="3"/>
    <x v="3"/>
    <x v="15"/>
    <x v="3"/>
    <n v="2"/>
    <n v="299"/>
    <n v="0.15"/>
    <n v="44.85"/>
    <n v="598"/>
    <n v="553.15"/>
    <x v="0"/>
    <x v="0"/>
    <n v="0"/>
    <n v="0.92499999999999993"/>
    <n v="0"/>
  </r>
  <r>
    <s v="ORD-6465"/>
    <d v="2025-05-09T00:00:00"/>
    <x v="8"/>
    <s v="CUST-574"/>
    <x v="0"/>
    <x v="0"/>
    <x v="0"/>
    <x v="5"/>
    <x v="0"/>
    <n v="2"/>
    <n v="2299"/>
    <n v="0"/>
    <n v="0"/>
    <n v="4598"/>
    <n v="4598"/>
    <x v="0"/>
    <x v="0"/>
    <n v="80"/>
    <n v="1"/>
    <n v="0"/>
  </r>
  <r>
    <s v="ORD-6466"/>
    <d v="2025-11-26T00:00:00"/>
    <x v="10"/>
    <s v="CUST-875"/>
    <x v="8"/>
    <x v="1"/>
    <x v="1"/>
    <x v="18"/>
    <x v="4"/>
    <n v="1"/>
    <n v="1299"/>
    <n v="0"/>
    <n v="0"/>
    <n v="1299"/>
    <n v="1299"/>
    <x v="2"/>
    <x v="0"/>
    <n v="60"/>
    <n v="1"/>
    <n v="0"/>
  </r>
  <r>
    <s v="ORD-6467"/>
    <d v="2025-09-28T00:00:00"/>
    <x v="3"/>
    <s v="CUST-205"/>
    <x v="5"/>
    <x v="5"/>
    <x v="3"/>
    <x v="2"/>
    <x v="2"/>
    <n v="2"/>
    <n v="2799"/>
    <n v="0.25"/>
    <n v="699.75"/>
    <n v="5598"/>
    <n v="4898.25"/>
    <x v="3"/>
    <x v="0"/>
    <n v="40"/>
    <n v="0.875"/>
    <n v="0"/>
  </r>
  <r>
    <s v="ORD-6468"/>
    <d v="2025-09-25T00:00:00"/>
    <x v="3"/>
    <s v="CUST-337"/>
    <x v="4"/>
    <x v="4"/>
    <x v="2"/>
    <x v="8"/>
    <x v="1"/>
    <n v="1"/>
    <n v="2499"/>
    <n v="0.15"/>
    <n v="374.84999999999997"/>
    <n v="2499"/>
    <n v="2124.15"/>
    <x v="3"/>
    <x v="0"/>
    <n v="40"/>
    <n v="0.85000000000000009"/>
    <n v="0"/>
  </r>
  <r>
    <s v="ORD-6469"/>
    <d v="2025-06-18T00:00:00"/>
    <x v="11"/>
    <s v="CUST-257"/>
    <x v="3"/>
    <x v="3"/>
    <x v="3"/>
    <x v="9"/>
    <x v="1"/>
    <n v="2"/>
    <n v="1899"/>
    <n v="0.25"/>
    <n v="474.75"/>
    <n v="3798"/>
    <n v="3323.25"/>
    <x v="2"/>
    <x v="0"/>
    <n v="60"/>
    <n v="0.875"/>
    <n v="0"/>
  </r>
  <r>
    <s v="ORD-6470"/>
    <d v="2025-05-02T00:00:00"/>
    <x v="8"/>
    <s v="CUST-856"/>
    <x v="1"/>
    <x v="1"/>
    <x v="1"/>
    <x v="9"/>
    <x v="1"/>
    <n v="1"/>
    <n v="1899"/>
    <n v="0.05"/>
    <n v="94.95"/>
    <n v="1899"/>
    <n v="1804.05"/>
    <x v="3"/>
    <x v="0"/>
    <n v="40"/>
    <n v="0.95"/>
    <n v="0"/>
  </r>
  <r>
    <s v="ORD-6471"/>
    <d v="2025-02-25T00:00:00"/>
    <x v="9"/>
    <s v="CUST-299"/>
    <x v="0"/>
    <x v="0"/>
    <x v="0"/>
    <x v="7"/>
    <x v="1"/>
    <n v="1"/>
    <n v="1299"/>
    <n v="0.1"/>
    <n v="129.9"/>
    <n v="1299"/>
    <n v="1169.0999999999999"/>
    <x v="0"/>
    <x v="0"/>
    <n v="40"/>
    <n v="0.89999999999999991"/>
    <n v="0"/>
  </r>
  <r>
    <s v="ORD-6472"/>
    <d v="2025-06-30T00:00:00"/>
    <x v="11"/>
    <s v="CUST-240"/>
    <x v="2"/>
    <x v="2"/>
    <x v="2"/>
    <x v="19"/>
    <x v="2"/>
    <n v="1"/>
    <n v="1499"/>
    <n v="0.05"/>
    <n v="74.95"/>
    <n v="1499"/>
    <n v="1424.05"/>
    <x v="2"/>
    <x v="2"/>
    <n v="60"/>
    <n v="0.95"/>
    <n v="0"/>
  </r>
  <r>
    <s v="ORD-6473"/>
    <d v="2025-05-20T00:00:00"/>
    <x v="8"/>
    <s v="CUST-534"/>
    <x v="2"/>
    <x v="2"/>
    <x v="2"/>
    <x v="19"/>
    <x v="2"/>
    <n v="1"/>
    <n v="1499"/>
    <n v="0.1"/>
    <n v="149.9"/>
    <n v="1499"/>
    <n v="1349.1"/>
    <x v="0"/>
    <x v="0"/>
    <n v="60"/>
    <n v="0.89999999999999991"/>
    <n v="0"/>
  </r>
  <r>
    <s v="ORD-6474"/>
    <d v="2025-10-14T00:00:00"/>
    <x v="2"/>
    <s v="CUST-384"/>
    <x v="5"/>
    <x v="5"/>
    <x v="3"/>
    <x v="13"/>
    <x v="2"/>
    <n v="1"/>
    <n v="449"/>
    <n v="0.25"/>
    <n v="112.25"/>
    <n v="449"/>
    <n v="336.75"/>
    <x v="3"/>
    <x v="0"/>
    <n v="0"/>
    <n v="0.75"/>
    <n v="0"/>
  </r>
  <r>
    <s v="ORD-6475"/>
    <d v="2025-07-12T00:00:00"/>
    <x v="5"/>
    <s v="CUST-707"/>
    <x v="8"/>
    <x v="1"/>
    <x v="1"/>
    <x v="8"/>
    <x v="1"/>
    <n v="1"/>
    <n v="2499"/>
    <n v="0"/>
    <n v="0"/>
    <n v="2499"/>
    <n v="2499"/>
    <x v="3"/>
    <x v="0"/>
    <n v="40"/>
    <n v="1"/>
    <n v="0"/>
  </r>
  <r>
    <s v="ORD-6476"/>
    <d v="2025-04-13T00:00:00"/>
    <x v="6"/>
    <s v="CUST-404"/>
    <x v="8"/>
    <x v="1"/>
    <x v="1"/>
    <x v="6"/>
    <x v="0"/>
    <n v="2"/>
    <n v="1599"/>
    <n v="0.05"/>
    <n v="79.95"/>
    <n v="3198"/>
    <n v="3118.05"/>
    <x v="3"/>
    <x v="0"/>
    <n v="40"/>
    <n v="0.97500000000000009"/>
    <n v="0"/>
  </r>
  <r>
    <s v="ORD-6477"/>
    <d v="2025-09-21T00:00:00"/>
    <x v="3"/>
    <s v="CUST-215"/>
    <x v="3"/>
    <x v="3"/>
    <x v="3"/>
    <x v="2"/>
    <x v="2"/>
    <n v="1"/>
    <n v="2799"/>
    <n v="0.1"/>
    <n v="279.90000000000003"/>
    <n v="2799"/>
    <n v="2519.1"/>
    <x v="0"/>
    <x v="0"/>
    <n v="0"/>
    <n v="0.9"/>
    <n v="0"/>
  </r>
  <r>
    <s v="ORD-6478"/>
    <d v="2025-03-11T00:00:00"/>
    <x v="1"/>
    <s v="CUST-409"/>
    <x v="3"/>
    <x v="3"/>
    <x v="3"/>
    <x v="2"/>
    <x v="2"/>
    <n v="5"/>
    <n v="2799"/>
    <n v="0.1"/>
    <n v="279.90000000000003"/>
    <n v="13995"/>
    <n v="13715.1"/>
    <x v="0"/>
    <x v="0"/>
    <n v="40"/>
    <n v="0.98"/>
    <n v="0"/>
  </r>
  <r>
    <s v="ORD-6479"/>
    <d v="2025-10-19T00:00:00"/>
    <x v="2"/>
    <s v="CUST-380"/>
    <x v="5"/>
    <x v="5"/>
    <x v="3"/>
    <x v="14"/>
    <x v="4"/>
    <n v="1"/>
    <n v="399"/>
    <n v="0.25"/>
    <n v="99.75"/>
    <n v="399"/>
    <n v="299.25"/>
    <x v="3"/>
    <x v="0"/>
    <n v="40"/>
    <n v="0.75"/>
    <n v="0"/>
  </r>
  <r>
    <s v="ORD-6480"/>
    <d v="2025-07-16T00:00:00"/>
    <x v="5"/>
    <s v="CUST-369"/>
    <x v="3"/>
    <x v="3"/>
    <x v="3"/>
    <x v="5"/>
    <x v="0"/>
    <n v="1"/>
    <n v="2299"/>
    <n v="0.2"/>
    <n v="459.8"/>
    <n v="2299"/>
    <n v="1839.2"/>
    <x v="2"/>
    <x v="0"/>
    <n v="0"/>
    <n v="0.8"/>
    <n v="0"/>
  </r>
  <r>
    <s v="ORD-6481"/>
    <d v="2025-11-24T00:00:00"/>
    <x v="10"/>
    <s v="CUST-792"/>
    <x v="3"/>
    <x v="3"/>
    <x v="3"/>
    <x v="12"/>
    <x v="1"/>
    <n v="1"/>
    <n v="799"/>
    <n v="0"/>
    <n v="0"/>
    <n v="799"/>
    <n v="799"/>
    <x v="2"/>
    <x v="0"/>
    <n v="60"/>
    <n v="1"/>
    <n v="0"/>
  </r>
  <r>
    <s v="ORD-6482"/>
    <d v="2025-06-01T00:00:00"/>
    <x v="11"/>
    <s v="CUST-842"/>
    <x v="3"/>
    <x v="3"/>
    <x v="3"/>
    <x v="13"/>
    <x v="2"/>
    <n v="1"/>
    <n v="449"/>
    <n v="0.25"/>
    <n v="112.25"/>
    <n v="449"/>
    <n v="336.75"/>
    <x v="3"/>
    <x v="0"/>
    <n v="0"/>
    <n v="0.75"/>
    <n v="0"/>
  </r>
  <r>
    <s v="ORD-6483"/>
    <d v="2025-10-28T00:00:00"/>
    <x v="2"/>
    <s v="CUST-290"/>
    <x v="6"/>
    <x v="6"/>
    <x v="2"/>
    <x v="0"/>
    <x v="0"/>
    <n v="1"/>
    <n v="1799"/>
    <n v="0.15"/>
    <n v="269.84999999999997"/>
    <n v="1799"/>
    <n v="1529.15"/>
    <x v="3"/>
    <x v="0"/>
    <n v="80"/>
    <n v="0.85000000000000009"/>
    <n v="0"/>
  </r>
  <r>
    <s v="ORD-6484"/>
    <d v="2025-02-04T00:00:00"/>
    <x v="9"/>
    <s v="CUST-798"/>
    <x v="3"/>
    <x v="3"/>
    <x v="3"/>
    <x v="9"/>
    <x v="1"/>
    <n v="1"/>
    <n v="1899"/>
    <n v="0.25"/>
    <n v="474.75"/>
    <n v="1899"/>
    <n v="1424.25"/>
    <x v="2"/>
    <x v="0"/>
    <n v="80"/>
    <n v="0.75"/>
    <n v="0"/>
  </r>
  <r>
    <s v="ORD-6485"/>
    <d v="2025-12-31T00:00:00"/>
    <x v="4"/>
    <s v="CUST-388"/>
    <x v="8"/>
    <x v="1"/>
    <x v="1"/>
    <x v="8"/>
    <x v="1"/>
    <n v="1"/>
    <n v="2499"/>
    <n v="0.1"/>
    <n v="249.9"/>
    <n v="2499"/>
    <n v="2249.1"/>
    <x v="3"/>
    <x v="0"/>
    <n v="60"/>
    <n v="0.89999999999999991"/>
    <n v="0"/>
  </r>
  <r>
    <s v="ORD-6486"/>
    <d v="2025-01-06T00:00:00"/>
    <x v="7"/>
    <s v="CUST-627"/>
    <x v="8"/>
    <x v="1"/>
    <x v="1"/>
    <x v="6"/>
    <x v="0"/>
    <n v="1"/>
    <n v="1599"/>
    <n v="0"/>
    <n v="0"/>
    <n v="1599"/>
    <n v="1599"/>
    <x v="2"/>
    <x v="0"/>
    <n v="60"/>
    <n v="1"/>
    <n v="0"/>
  </r>
  <r>
    <s v="ORD-6487"/>
    <d v="2025-01-03T00:00:00"/>
    <x v="7"/>
    <s v="CUST-559"/>
    <x v="4"/>
    <x v="4"/>
    <x v="2"/>
    <x v="9"/>
    <x v="1"/>
    <n v="1"/>
    <n v="1899"/>
    <n v="0.05"/>
    <n v="94.95"/>
    <n v="1899"/>
    <n v="1804.05"/>
    <x v="3"/>
    <x v="1"/>
    <n v="0"/>
    <n v="0.95"/>
    <n v="0"/>
  </r>
  <r>
    <s v="ORD-6488"/>
    <d v="2025-02-26T00:00:00"/>
    <x v="9"/>
    <s v="CUST-837"/>
    <x v="6"/>
    <x v="6"/>
    <x v="2"/>
    <x v="10"/>
    <x v="0"/>
    <n v="1"/>
    <n v="599"/>
    <n v="0.2"/>
    <n v="119.80000000000001"/>
    <n v="599"/>
    <n v="479.2"/>
    <x v="2"/>
    <x v="0"/>
    <n v="40"/>
    <n v="0.79999999999999993"/>
    <n v="0"/>
  </r>
  <r>
    <s v="ORD-6489"/>
    <d v="2025-04-21T00:00:00"/>
    <x v="6"/>
    <s v="CUST-478"/>
    <x v="0"/>
    <x v="0"/>
    <x v="0"/>
    <x v="11"/>
    <x v="2"/>
    <n v="1"/>
    <n v="5499"/>
    <n v="0.1"/>
    <n v="549.9"/>
    <n v="5499"/>
    <n v="4949.1000000000004"/>
    <x v="3"/>
    <x v="0"/>
    <n v="80"/>
    <n v="0.9"/>
    <n v="0"/>
  </r>
  <r>
    <s v="ORD-6490"/>
    <d v="2025-09-09T00:00:00"/>
    <x v="3"/>
    <s v="CUST-714"/>
    <x v="6"/>
    <x v="6"/>
    <x v="2"/>
    <x v="16"/>
    <x v="4"/>
    <n v="3"/>
    <n v="1599"/>
    <n v="0.2"/>
    <n v="319.8"/>
    <n v="4797"/>
    <n v="4477.2"/>
    <x v="1"/>
    <x v="0"/>
    <n v="0"/>
    <n v="0.93333333333333335"/>
    <n v="0"/>
  </r>
  <r>
    <s v="ORD-6491"/>
    <d v="2025-08-07T00:00:00"/>
    <x v="0"/>
    <s v="CUST-668"/>
    <x v="3"/>
    <x v="3"/>
    <x v="3"/>
    <x v="2"/>
    <x v="2"/>
    <n v="2"/>
    <n v="2799"/>
    <n v="0.25"/>
    <n v="699.75"/>
    <n v="5598"/>
    <n v="4898.25"/>
    <x v="3"/>
    <x v="0"/>
    <n v="80"/>
    <n v="0.875"/>
    <n v="0"/>
  </r>
  <r>
    <s v="ORD-6492"/>
    <d v="2025-01-29T00:00:00"/>
    <x v="7"/>
    <s v="CUST-868"/>
    <x v="1"/>
    <x v="1"/>
    <x v="1"/>
    <x v="8"/>
    <x v="1"/>
    <n v="1"/>
    <n v="2499"/>
    <n v="0"/>
    <n v="0"/>
    <n v="2499"/>
    <n v="2499"/>
    <x v="2"/>
    <x v="0"/>
    <n v="0"/>
    <n v="1"/>
    <n v="0"/>
  </r>
  <r>
    <s v="ORD-6493"/>
    <d v="2025-06-29T00:00:00"/>
    <x v="11"/>
    <s v="CUST-477"/>
    <x v="1"/>
    <x v="1"/>
    <x v="1"/>
    <x v="5"/>
    <x v="0"/>
    <n v="2"/>
    <n v="2299"/>
    <n v="0.2"/>
    <n v="459.8"/>
    <n v="4598"/>
    <n v="4138.2"/>
    <x v="3"/>
    <x v="1"/>
    <n v="40"/>
    <n v="0.89999999999999991"/>
    <n v="0"/>
  </r>
  <r>
    <s v="ORD-6494"/>
    <d v="2025-06-19T00:00:00"/>
    <x v="11"/>
    <s v="CUST-218"/>
    <x v="3"/>
    <x v="3"/>
    <x v="3"/>
    <x v="1"/>
    <x v="1"/>
    <n v="5"/>
    <n v="3999"/>
    <n v="0.05"/>
    <n v="199.95000000000002"/>
    <n v="19995"/>
    <n v="19795.05"/>
    <x v="2"/>
    <x v="0"/>
    <n v="0"/>
    <n v="0.99"/>
    <n v="0"/>
  </r>
  <r>
    <s v="ORD-6495"/>
    <d v="2025-11-21T00:00:00"/>
    <x v="10"/>
    <s v="CUST-284"/>
    <x v="1"/>
    <x v="1"/>
    <x v="1"/>
    <x v="4"/>
    <x v="3"/>
    <n v="2"/>
    <n v="349"/>
    <n v="0"/>
    <n v="0"/>
    <n v="698"/>
    <n v="698"/>
    <x v="2"/>
    <x v="0"/>
    <n v="40"/>
    <n v="1"/>
    <n v="0"/>
  </r>
  <r>
    <s v="ORD-6496"/>
    <d v="2025-08-31T00:00:00"/>
    <x v="0"/>
    <s v="CUST-580"/>
    <x v="4"/>
    <x v="4"/>
    <x v="2"/>
    <x v="22"/>
    <x v="2"/>
    <n v="5"/>
    <n v="3299"/>
    <n v="0.25"/>
    <n v="824.75"/>
    <n v="16495"/>
    <n v="15670.25"/>
    <x v="3"/>
    <x v="0"/>
    <n v="0"/>
    <n v="0.95"/>
    <n v="0"/>
  </r>
  <r>
    <s v="ORD-6497"/>
    <d v="2025-03-07T00:00:00"/>
    <x v="1"/>
    <s v="CUST-441"/>
    <x v="6"/>
    <x v="6"/>
    <x v="2"/>
    <x v="18"/>
    <x v="4"/>
    <n v="1"/>
    <n v="1299"/>
    <n v="0.05"/>
    <n v="64.95"/>
    <n v="1299"/>
    <n v="1234.05"/>
    <x v="0"/>
    <x v="0"/>
    <n v="40"/>
    <n v="0.95"/>
    <n v="0"/>
  </r>
  <r>
    <s v="ORD-6498"/>
    <d v="2025-05-13T00:00:00"/>
    <x v="8"/>
    <s v="CUST-616"/>
    <x v="9"/>
    <x v="8"/>
    <x v="1"/>
    <x v="1"/>
    <x v="1"/>
    <n v="2"/>
    <n v="3999"/>
    <n v="0.05"/>
    <n v="199.95000000000002"/>
    <n v="7998"/>
    <n v="7798.05"/>
    <x v="2"/>
    <x v="0"/>
    <n v="40"/>
    <n v="0.97499999999999998"/>
    <n v="0"/>
  </r>
  <r>
    <s v="ORD-6499"/>
    <d v="2025-01-26T00:00:00"/>
    <x v="7"/>
    <s v="CUST-688"/>
    <x v="1"/>
    <x v="1"/>
    <x v="1"/>
    <x v="14"/>
    <x v="4"/>
    <n v="1"/>
    <n v="399"/>
    <n v="0.25"/>
    <n v="99.75"/>
    <n v="399"/>
    <n v="299.25"/>
    <x v="3"/>
    <x v="2"/>
    <n v="40"/>
    <n v="0.75"/>
    <n v="0"/>
  </r>
  <r>
    <s v="ORD-6500"/>
    <d v="2025-10-30T00:00:00"/>
    <x v="2"/>
    <s v="CUST-565"/>
    <x v="7"/>
    <x v="7"/>
    <x v="1"/>
    <x v="5"/>
    <x v="0"/>
    <n v="1"/>
    <n v="2299"/>
    <n v="0"/>
    <n v="0"/>
    <n v="2299"/>
    <n v="2299"/>
    <x v="3"/>
    <x v="0"/>
    <n v="60"/>
    <n v="1"/>
    <n v="0"/>
  </r>
  <r>
    <s v="ORD-6501"/>
    <d v="2025-01-13T00:00:00"/>
    <x v="7"/>
    <s v="CUST-834"/>
    <x v="6"/>
    <x v="6"/>
    <x v="2"/>
    <x v="6"/>
    <x v="0"/>
    <n v="1"/>
    <n v="1599"/>
    <n v="0"/>
    <n v="0"/>
    <n v="1599"/>
    <n v="1599"/>
    <x v="3"/>
    <x v="0"/>
    <n v="60"/>
    <n v="1"/>
    <n v="0"/>
  </r>
  <r>
    <s v="ORD-6502"/>
    <d v="2025-10-24T00:00:00"/>
    <x v="2"/>
    <s v="CUST-364"/>
    <x v="8"/>
    <x v="1"/>
    <x v="1"/>
    <x v="22"/>
    <x v="2"/>
    <n v="2"/>
    <n v="3299"/>
    <n v="0.1"/>
    <n v="329.90000000000003"/>
    <n v="6598"/>
    <n v="6268.1"/>
    <x v="3"/>
    <x v="0"/>
    <n v="80"/>
    <n v="0.95000000000000007"/>
    <n v="0"/>
  </r>
  <r>
    <s v="ORD-6503"/>
    <d v="2025-02-22T00:00:00"/>
    <x v="9"/>
    <s v="CUST-505"/>
    <x v="8"/>
    <x v="1"/>
    <x v="1"/>
    <x v="7"/>
    <x v="1"/>
    <n v="1"/>
    <n v="1299"/>
    <n v="0.15"/>
    <n v="194.85"/>
    <n v="1299"/>
    <n v="1104.1500000000001"/>
    <x v="1"/>
    <x v="0"/>
    <n v="60"/>
    <n v="0.85000000000000009"/>
    <n v="0"/>
  </r>
  <r>
    <s v="ORD-6504"/>
    <d v="2025-11-13T00:00:00"/>
    <x v="10"/>
    <s v="CUST-832"/>
    <x v="2"/>
    <x v="2"/>
    <x v="2"/>
    <x v="1"/>
    <x v="1"/>
    <n v="3"/>
    <n v="3999"/>
    <n v="0.15"/>
    <n v="599.85"/>
    <n v="11997"/>
    <n v="11397.15"/>
    <x v="0"/>
    <x v="0"/>
    <n v="80"/>
    <n v="0.95"/>
    <n v="0"/>
  </r>
  <r>
    <s v="ORD-6505"/>
    <d v="2025-04-02T00:00:00"/>
    <x v="6"/>
    <s v="CUST-528"/>
    <x v="2"/>
    <x v="2"/>
    <x v="2"/>
    <x v="5"/>
    <x v="0"/>
    <n v="1"/>
    <n v="2299"/>
    <n v="0.25"/>
    <n v="574.75"/>
    <n v="2299"/>
    <n v="1724.25"/>
    <x v="1"/>
    <x v="0"/>
    <n v="80"/>
    <n v="0.75"/>
    <n v="0"/>
  </r>
  <r>
    <s v="ORD-6506"/>
    <d v="2025-03-23T00:00:00"/>
    <x v="1"/>
    <s v="CUST-357"/>
    <x v="6"/>
    <x v="6"/>
    <x v="2"/>
    <x v="17"/>
    <x v="1"/>
    <n v="2"/>
    <n v="2199"/>
    <n v="0.1"/>
    <n v="219.9"/>
    <n v="4398"/>
    <n v="4178.1000000000004"/>
    <x v="2"/>
    <x v="1"/>
    <n v="60"/>
    <n v="0.95000000000000007"/>
    <n v="0"/>
  </r>
  <r>
    <s v="ORD-6507"/>
    <d v="2025-03-29T00:00:00"/>
    <x v="1"/>
    <s v="CUST-552"/>
    <x v="3"/>
    <x v="3"/>
    <x v="3"/>
    <x v="12"/>
    <x v="1"/>
    <n v="1"/>
    <n v="799"/>
    <n v="0"/>
    <n v="0"/>
    <n v="799"/>
    <n v="799"/>
    <x v="3"/>
    <x v="1"/>
    <n v="40"/>
    <n v="1"/>
    <n v="0"/>
  </r>
  <r>
    <s v="ORD-6508"/>
    <d v="2025-04-24T00:00:00"/>
    <x v="6"/>
    <s v="CUST-295"/>
    <x v="4"/>
    <x v="4"/>
    <x v="2"/>
    <x v="9"/>
    <x v="1"/>
    <n v="1"/>
    <n v="1899"/>
    <n v="0.05"/>
    <n v="94.95"/>
    <n v="1899"/>
    <n v="1804.05"/>
    <x v="0"/>
    <x v="2"/>
    <n v="40"/>
    <n v="0.95"/>
    <n v="0"/>
  </r>
  <r>
    <s v="ORD-6509"/>
    <d v="2025-06-26T00:00:00"/>
    <x v="11"/>
    <s v="CUST-261"/>
    <x v="2"/>
    <x v="2"/>
    <x v="2"/>
    <x v="13"/>
    <x v="2"/>
    <n v="3"/>
    <n v="449"/>
    <n v="0.25"/>
    <n v="112.25"/>
    <n v="1347"/>
    <n v="1234.75"/>
    <x v="2"/>
    <x v="0"/>
    <n v="40"/>
    <n v="0.91666666666666663"/>
    <n v="0"/>
  </r>
  <r>
    <s v="ORD-6510"/>
    <d v="2025-06-30T00:00:00"/>
    <x v="11"/>
    <s v="CUST-680"/>
    <x v="4"/>
    <x v="4"/>
    <x v="2"/>
    <x v="8"/>
    <x v="1"/>
    <n v="2"/>
    <n v="2499"/>
    <n v="0"/>
    <n v="0"/>
    <n v="4998"/>
    <n v="4998"/>
    <x v="0"/>
    <x v="0"/>
    <n v="0"/>
    <n v="1"/>
    <n v="0"/>
  </r>
  <r>
    <s v="ORD-6511"/>
    <d v="2025-02-13T00:00:00"/>
    <x v="9"/>
    <s v="CUST-501"/>
    <x v="2"/>
    <x v="2"/>
    <x v="2"/>
    <x v="8"/>
    <x v="1"/>
    <n v="1"/>
    <n v="2499"/>
    <n v="0.05"/>
    <n v="124.95"/>
    <n v="2499"/>
    <n v="2374.0500000000002"/>
    <x v="0"/>
    <x v="0"/>
    <n v="80"/>
    <n v="0.95000000000000007"/>
    <n v="0"/>
  </r>
  <r>
    <s v="ORD-6512"/>
    <d v="2025-12-03T00:00:00"/>
    <x v="4"/>
    <s v="CUST-683"/>
    <x v="3"/>
    <x v="3"/>
    <x v="3"/>
    <x v="12"/>
    <x v="1"/>
    <n v="2"/>
    <n v="799"/>
    <n v="0.25"/>
    <n v="199.75"/>
    <n v="1598"/>
    <n v="1398.25"/>
    <x v="0"/>
    <x v="0"/>
    <n v="40"/>
    <n v="0.875"/>
    <n v="0"/>
  </r>
  <r>
    <s v="ORD-6513"/>
    <d v="2025-05-10T00:00:00"/>
    <x v="8"/>
    <s v="CUST-603"/>
    <x v="9"/>
    <x v="8"/>
    <x v="1"/>
    <x v="3"/>
    <x v="0"/>
    <n v="1"/>
    <n v="899"/>
    <n v="0.2"/>
    <n v="179.8"/>
    <n v="899"/>
    <n v="719.2"/>
    <x v="2"/>
    <x v="0"/>
    <n v="40"/>
    <n v="0.8"/>
    <n v="0"/>
  </r>
  <r>
    <s v="ORD-6514"/>
    <d v="2025-08-16T00:00:00"/>
    <x v="0"/>
    <s v="CUST-764"/>
    <x v="3"/>
    <x v="3"/>
    <x v="3"/>
    <x v="0"/>
    <x v="0"/>
    <n v="2"/>
    <n v="1799"/>
    <n v="0.25"/>
    <n v="449.75"/>
    <n v="3598"/>
    <n v="3148.25"/>
    <x v="0"/>
    <x v="0"/>
    <n v="0"/>
    <n v="0.875"/>
    <n v="0"/>
  </r>
  <r>
    <s v="ORD-6515"/>
    <d v="2025-03-07T00:00:00"/>
    <x v="1"/>
    <s v="CUST-442"/>
    <x v="1"/>
    <x v="1"/>
    <x v="1"/>
    <x v="10"/>
    <x v="0"/>
    <n v="4"/>
    <n v="599"/>
    <n v="0.2"/>
    <n v="119.80000000000001"/>
    <n v="2396"/>
    <n v="2276.1999999999998"/>
    <x v="3"/>
    <x v="1"/>
    <n v="60"/>
    <n v="0.95"/>
    <n v="0"/>
  </r>
  <r>
    <s v="ORD-6516"/>
    <d v="2025-03-29T00:00:00"/>
    <x v="1"/>
    <s v="CUST-398"/>
    <x v="3"/>
    <x v="3"/>
    <x v="3"/>
    <x v="22"/>
    <x v="2"/>
    <n v="1"/>
    <n v="3299"/>
    <n v="0.15"/>
    <n v="494.84999999999997"/>
    <n v="3299"/>
    <n v="2804.15"/>
    <x v="1"/>
    <x v="0"/>
    <n v="40"/>
    <n v="0.85"/>
    <n v="0"/>
  </r>
  <r>
    <s v="ORD-6517"/>
    <d v="2025-08-14T00:00:00"/>
    <x v="0"/>
    <s v="CUST-461"/>
    <x v="4"/>
    <x v="4"/>
    <x v="2"/>
    <x v="11"/>
    <x v="2"/>
    <n v="2"/>
    <n v="5499"/>
    <n v="0.15"/>
    <n v="824.85"/>
    <n v="10998"/>
    <n v="10173.15"/>
    <x v="0"/>
    <x v="0"/>
    <n v="60"/>
    <n v="0.92499999999999993"/>
    <n v="0"/>
  </r>
  <r>
    <s v="ORD-6518"/>
    <d v="2025-06-26T00:00:00"/>
    <x v="11"/>
    <s v="CUST-710"/>
    <x v="4"/>
    <x v="4"/>
    <x v="2"/>
    <x v="1"/>
    <x v="1"/>
    <n v="1"/>
    <n v="3999"/>
    <n v="0.25"/>
    <n v="999.75"/>
    <n v="3999"/>
    <n v="2999.25"/>
    <x v="1"/>
    <x v="0"/>
    <n v="0"/>
    <n v="0.75"/>
    <n v="0"/>
  </r>
  <r>
    <s v="ORD-6519"/>
    <d v="2025-10-06T00:00:00"/>
    <x v="2"/>
    <s v="CUST-383"/>
    <x v="9"/>
    <x v="8"/>
    <x v="1"/>
    <x v="6"/>
    <x v="0"/>
    <n v="5"/>
    <n v="1599"/>
    <n v="0.25"/>
    <n v="399.75"/>
    <n v="7995"/>
    <n v="7595.25"/>
    <x v="1"/>
    <x v="1"/>
    <n v="40"/>
    <n v="0.95"/>
    <n v="0"/>
  </r>
  <r>
    <s v="ORD-6520"/>
    <d v="2025-08-11T00:00:00"/>
    <x v="0"/>
    <s v="CUST-311"/>
    <x v="1"/>
    <x v="1"/>
    <x v="1"/>
    <x v="20"/>
    <x v="3"/>
    <n v="4"/>
    <n v="499"/>
    <n v="0.15"/>
    <n v="74.849999999999994"/>
    <n v="1996"/>
    <n v="1921.15"/>
    <x v="3"/>
    <x v="0"/>
    <n v="80"/>
    <n v="0.96250000000000002"/>
    <n v="0"/>
  </r>
  <r>
    <s v="ORD-6521"/>
    <d v="2025-01-24T00:00:00"/>
    <x v="7"/>
    <s v="CUST-544"/>
    <x v="3"/>
    <x v="3"/>
    <x v="3"/>
    <x v="7"/>
    <x v="1"/>
    <n v="3"/>
    <n v="1299"/>
    <n v="0.25"/>
    <n v="324.75"/>
    <n v="3897"/>
    <n v="3572.25"/>
    <x v="3"/>
    <x v="0"/>
    <n v="60"/>
    <n v="0.91666666666666663"/>
    <n v="0"/>
  </r>
  <r>
    <s v="ORD-6522"/>
    <d v="2025-06-11T00:00:00"/>
    <x v="11"/>
    <s v="CUST-743"/>
    <x v="2"/>
    <x v="2"/>
    <x v="2"/>
    <x v="17"/>
    <x v="1"/>
    <n v="1"/>
    <n v="2199"/>
    <n v="0"/>
    <n v="0"/>
    <n v="2199"/>
    <n v="2199"/>
    <x v="2"/>
    <x v="0"/>
    <n v="40"/>
    <n v="1"/>
    <n v="0"/>
  </r>
  <r>
    <s v="ORD-6523"/>
    <d v="2025-11-04T00:00:00"/>
    <x v="10"/>
    <s v="CUST-285"/>
    <x v="7"/>
    <x v="7"/>
    <x v="1"/>
    <x v="4"/>
    <x v="3"/>
    <n v="3"/>
    <n v="349"/>
    <n v="0"/>
    <n v="0"/>
    <n v="1047"/>
    <n v="1047"/>
    <x v="1"/>
    <x v="0"/>
    <n v="60"/>
    <n v="1"/>
    <n v="0"/>
  </r>
  <r>
    <s v="ORD-6524"/>
    <d v="2025-10-22T00:00:00"/>
    <x v="2"/>
    <s v="CUST-605"/>
    <x v="2"/>
    <x v="2"/>
    <x v="2"/>
    <x v="13"/>
    <x v="2"/>
    <n v="2"/>
    <n v="449"/>
    <n v="0"/>
    <n v="0"/>
    <n v="898"/>
    <n v="898"/>
    <x v="3"/>
    <x v="0"/>
    <n v="0"/>
    <n v="1"/>
    <n v="0"/>
  </r>
  <r>
    <s v="ORD-6525"/>
    <d v="2025-08-12T00:00:00"/>
    <x v="0"/>
    <s v="CUST-471"/>
    <x v="3"/>
    <x v="3"/>
    <x v="3"/>
    <x v="22"/>
    <x v="2"/>
    <n v="1"/>
    <n v="3299"/>
    <n v="0"/>
    <n v="0"/>
    <n v="3299"/>
    <n v="3299"/>
    <x v="3"/>
    <x v="0"/>
    <n v="0"/>
    <n v="1"/>
    <n v="0"/>
  </r>
  <r>
    <s v="ORD-6526"/>
    <d v="2025-11-13T00:00:00"/>
    <x v="10"/>
    <s v="CUST-312"/>
    <x v="3"/>
    <x v="3"/>
    <x v="3"/>
    <x v="5"/>
    <x v="0"/>
    <n v="1"/>
    <n v="2299"/>
    <n v="0.1"/>
    <n v="229.9"/>
    <n v="2299"/>
    <n v="2069.1"/>
    <x v="3"/>
    <x v="0"/>
    <n v="60"/>
    <n v="0.89999999999999991"/>
    <n v="0"/>
  </r>
  <r>
    <s v="ORD-6527"/>
    <d v="2025-10-10T00:00:00"/>
    <x v="2"/>
    <s v="CUST-295"/>
    <x v="6"/>
    <x v="6"/>
    <x v="2"/>
    <x v="17"/>
    <x v="1"/>
    <n v="2"/>
    <n v="2199"/>
    <n v="0.2"/>
    <n v="439.8"/>
    <n v="4398"/>
    <n v="3958.2"/>
    <x v="0"/>
    <x v="0"/>
    <n v="60"/>
    <n v="0.89999999999999991"/>
    <n v="0"/>
  </r>
  <r>
    <s v="ORD-6528"/>
    <d v="2025-02-18T00:00:00"/>
    <x v="9"/>
    <s v="CUST-568"/>
    <x v="1"/>
    <x v="1"/>
    <x v="1"/>
    <x v="19"/>
    <x v="2"/>
    <n v="2"/>
    <n v="1499"/>
    <n v="0.25"/>
    <n v="374.75"/>
    <n v="2998"/>
    <n v="2623.25"/>
    <x v="0"/>
    <x v="0"/>
    <n v="80"/>
    <n v="0.875"/>
    <n v="0"/>
  </r>
  <r>
    <s v="ORD-6529"/>
    <d v="2025-05-31T00:00:00"/>
    <x v="8"/>
    <s v="CUST-846"/>
    <x v="7"/>
    <x v="7"/>
    <x v="1"/>
    <x v="18"/>
    <x v="4"/>
    <n v="2"/>
    <n v="1299"/>
    <n v="0.25"/>
    <n v="324.75"/>
    <n v="2598"/>
    <n v="2273.25"/>
    <x v="2"/>
    <x v="0"/>
    <n v="0"/>
    <n v="0.875"/>
    <n v="0"/>
  </r>
  <r>
    <s v="ORD-6530"/>
    <d v="2025-10-05T00:00:00"/>
    <x v="2"/>
    <s v="CUST-597"/>
    <x v="9"/>
    <x v="8"/>
    <x v="1"/>
    <x v="13"/>
    <x v="2"/>
    <n v="1"/>
    <n v="449"/>
    <n v="0"/>
    <n v="0"/>
    <n v="449"/>
    <n v="449"/>
    <x v="3"/>
    <x v="0"/>
    <n v="60"/>
    <n v="1"/>
    <n v="0"/>
  </r>
  <r>
    <s v="ORD-6531"/>
    <d v="2025-01-02T00:00:00"/>
    <x v="7"/>
    <s v="CUST-634"/>
    <x v="5"/>
    <x v="5"/>
    <x v="3"/>
    <x v="15"/>
    <x v="3"/>
    <n v="1"/>
    <n v="299"/>
    <n v="0"/>
    <n v="0"/>
    <n v="299"/>
    <n v="299"/>
    <x v="3"/>
    <x v="0"/>
    <n v="40"/>
    <n v="1"/>
    <n v="0"/>
  </r>
  <r>
    <s v="ORD-6532"/>
    <d v="2025-09-03T00:00:00"/>
    <x v="3"/>
    <s v="CUST-411"/>
    <x v="2"/>
    <x v="2"/>
    <x v="2"/>
    <x v="0"/>
    <x v="0"/>
    <n v="1"/>
    <n v="1799"/>
    <n v="0.05"/>
    <n v="89.95"/>
    <n v="1799"/>
    <n v="1709.05"/>
    <x v="0"/>
    <x v="1"/>
    <n v="60"/>
    <n v="0.95"/>
    <n v="0"/>
  </r>
  <r>
    <s v="ORD-6533"/>
    <d v="2025-01-16T00:00:00"/>
    <x v="7"/>
    <s v="CUST-883"/>
    <x v="3"/>
    <x v="3"/>
    <x v="3"/>
    <x v="5"/>
    <x v="0"/>
    <n v="2"/>
    <n v="2299"/>
    <n v="0.1"/>
    <n v="229.9"/>
    <n v="4598"/>
    <n v="4368.1000000000004"/>
    <x v="3"/>
    <x v="0"/>
    <n v="40"/>
    <n v="0.95000000000000007"/>
    <n v="0"/>
  </r>
  <r>
    <s v="ORD-6534"/>
    <d v="2025-09-25T00:00:00"/>
    <x v="3"/>
    <s v="CUST-732"/>
    <x v="2"/>
    <x v="2"/>
    <x v="2"/>
    <x v="3"/>
    <x v="0"/>
    <n v="1"/>
    <n v="899"/>
    <n v="0.15"/>
    <n v="134.85"/>
    <n v="899"/>
    <n v="764.15"/>
    <x v="2"/>
    <x v="1"/>
    <n v="80"/>
    <n v="0.85"/>
    <n v="0"/>
  </r>
  <r>
    <s v="ORD-6535"/>
    <d v="2025-03-08T00:00:00"/>
    <x v="1"/>
    <s v="CUST-793"/>
    <x v="2"/>
    <x v="2"/>
    <x v="2"/>
    <x v="18"/>
    <x v="4"/>
    <n v="1"/>
    <n v="1299"/>
    <n v="0.1"/>
    <n v="129.9"/>
    <n v="1299"/>
    <n v="1169.0999999999999"/>
    <x v="3"/>
    <x v="0"/>
    <n v="60"/>
    <n v="0.89999999999999991"/>
    <n v="0"/>
  </r>
  <r>
    <s v="ORD-6536"/>
    <d v="2025-04-29T00:00:00"/>
    <x v="6"/>
    <s v="CUST-305"/>
    <x v="3"/>
    <x v="3"/>
    <x v="3"/>
    <x v="11"/>
    <x v="2"/>
    <n v="3"/>
    <n v="5499"/>
    <n v="0"/>
    <n v="0"/>
    <n v="16497"/>
    <n v="16497"/>
    <x v="3"/>
    <x v="0"/>
    <n v="80"/>
    <n v="1"/>
    <n v="0"/>
  </r>
  <r>
    <s v="ORD-6537"/>
    <d v="2025-03-25T00:00:00"/>
    <x v="1"/>
    <s v="CUST-582"/>
    <x v="1"/>
    <x v="1"/>
    <x v="1"/>
    <x v="10"/>
    <x v="0"/>
    <n v="2"/>
    <n v="599"/>
    <n v="0.1"/>
    <n v="59.900000000000006"/>
    <n v="1198"/>
    <n v="1138.0999999999999"/>
    <x v="0"/>
    <x v="0"/>
    <n v="0"/>
    <n v="0.95"/>
    <n v="0"/>
  </r>
  <r>
    <s v="ORD-6538"/>
    <d v="2025-01-26T00:00:00"/>
    <x v="7"/>
    <s v="CUST-780"/>
    <x v="3"/>
    <x v="3"/>
    <x v="3"/>
    <x v="20"/>
    <x v="3"/>
    <n v="2"/>
    <n v="499"/>
    <n v="0.15"/>
    <n v="74.849999999999994"/>
    <n v="998"/>
    <n v="923.15"/>
    <x v="3"/>
    <x v="0"/>
    <n v="40"/>
    <n v="0.92499999999999993"/>
    <n v="0"/>
  </r>
  <r>
    <s v="ORD-6539"/>
    <d v="2025-03-04T00:00:00"/>
    <x v="1"/>
    <s v="CUST-705"/>
    <x v="5"/>
    <x v="5"/>
    <x v="3"/>
    <x v="6"/>
    <x v="0"/>
    <n v="1"/>
    <n v="1599"/>
    <n v="0.05"/>
    <n v="79.95"/>
    <n v="1599"/>
    <n v="1519.05"/>
    <x v="3"/>
    <x v="0"/>
    <n v="0"/>
    <n v="0.95"/>
    <n v="0"/>
  </r>
  <r>
    <s v="ORD-6540"/>
    <d v="2025-02-20T00:00:00"/>
    <x v="9"/>
    <s v="CUST-287"/>
    <x v="8"/>
    <x v="1"/>
    <x v="1"/>
    <x v="9"/>
    <x v="1"/>
    <n v="1"/>
    <n v="1899"/>
    <n v="0.1"/>
    <n v="189.9"/>
    <n v="1899"/>
    <n v="1709.1"/>
    <x v="3"/>
    <x v="0"/>
    <n v="80"/>
    <n v="0.89999999999999991"/>
    <n v="0"/>
  </r>
  <r>
    <s v="ORD-6541"/>
    <d v="2025-03-23T00:00:00"/>
    <x v="1"/>
    <s v="CUST-882"/>
    <x v="3"/>
    <x v="3"/>
    <x v="3"/>
    <x v="3"/>
    <x v="0"/>
    <n v="1"/>
    <n v="899"/>
    <n v="0.05"/>
    <n v="44.95"/>
    <n v="899"/>
    <n v="854.05"/>
    <x v="3"/>
    <x v="1"/>
    <n v="60"/>
    <n v="0.95"/>
    <n v="0"/>
  </r>
  <r>
    <s v="ORD-6542"/>
    <d v="2025-07-12T00:00:00"/>
    <x v="5"/>
    <s v="CUST-432"/>
    <x v="1"/>
    <x v="1"/>
    <x v="1"/>
    <x v="17"/>
    <x v="1"/>
    <n v="1"/>
    <n v="2199"/>
    <n v="0.2"/>
    <n v="439.8"/>
    <n v="2199"/>
    <n v="1759.2"/>
    <x v="0"/>
    <x v="0"/>
    <n v="80"/>
    <n v="0.8"/>
    <n v="0"/>
  </r>
  <r>
    <s v="ORD-6543"/>
    <d v="2025-11-26T00:00:00"/>
    <x v="10"/>
    <s v="CUST-495"/>
    <x v="4"/>
    <x v="4"/>
    <x v="2"/>
    <x v="5"/>
    <x v="0"/>
    <n v="2"/>
    <n v="2299"/>
    <n v="0.25"/>
    <n v="574.75"/>
    <n v="4598"/>
    <n v="4023.25"/>
    <x v="0"/>
    <x v="1"/>
    <n v="0"/>
    <n v="0.875"/>
    <n v="0"/>
  </r>
  <r>
    <s v="ORD-6544"/>
    <d v="2025-05-26T00:00:00"/>
    <x v="8"/>
    <s v="CUST-611"/>
    <x v="7"/>
    <x v="7"/>
    <x v="1"/>
    <x v="9"/>
    <x v="1"/>
    <n v="2"/>
    <n v="1899"/>
    <n v="0.05"/>
    <n v="94.95"/>
    <n v="3798"/>
    <n v="3703.05"/>
    <x v="0"/>
    <x v="0"/>
    <n v="40"/>
    <n v="0.97500000000000009"/>
    <n v="0"/>
  </r>
  <r>
    <s v="ORD-6545"/>
    <d v="2025-02-28T00:00:00"/>
    <x v="9"/>
    <s v="CUST-351"/>
    <x v="9"/>
    <x v="8"/>
    <x v="1"/>
    <x v="21"/>
    <x v="4"/>
    <n v="1"/>
    <n v="699"/>
    <n v="0"/>
    <n v="0"/>
    <n v="699"/>
    <n v="699"/>
    <x v="1"/>
    <x v="0"/>
    <n v="60"/>
    <n v="1"/>
    <n v="0"/>
  </r>
  <r>
    <s v="ORD-6546"/>
    <d v="2025-03-19T00:00:00"/>
    <x v="1"/>
    <s v="CUST-842"/>
    <x v="6"/>
    <x v="6"/>
    <x v="2"/>
    <x v="10"/>
    <x v="0"/>
    <n v="1"/>
    <n v="599"/>
    <n v="0.1"/>
    <n v="59.900000000000006"/>
    <n v="599"/>
    <n v="539.1"/>
    <x v="3"/>
    <x v="0"/>
    <n v="60"/>
    <n v="0.9"/>
    <n v="0"/>
  </r>
  <r>
    <s v="ORD-6547"/>
    <d v="2025-07-02T00:00:00"/>
    <x v="5"/>
    <s v="CUST-271"/>
    <x v="8"/>
    <x v="1"/>
    <x v="1"/>
    <x v="4"/>
    <x v="3"/>
    <n v="2"/>
    <n v="349"/>
    <n v="0.05"/>
    <n v="17.45"/>
    <n v="698"/>
    <n v="680.55"/>
    <x v="3"/>
    <x v="0"/>
    <n v="0"/>
    <n v="0.97499999999999998"/>
    <n v="0"/>
  </r>
  <r>
    <s v="ORD-6548"/>
    <d v="2025-04-01T00:00:00"/>
    <x v="6"/>
    <s v="CUST-806"/>
    <x v="4"/>
    <x v="4"/>
    <x v="2"/>
    <x v="4"/>
    <x v="3"/>
    <n v="2"/>
    <n v="349"/>
    <n v="0.1"/>
    <n v="34.9"/>
    <n v="698"/>
    <n v="663.1"/>
    <x v="3"/>
    <x v="0"/>
    <n v="40"/>
    <n v="0.95000000000000007"/>
    <n v="0"/>
  </r>
  <r>
    <s v="ORD-6549"/>
    <d v="2025-05-05T00:00:00"/>
    <x v="8"/>
    <s v="CUST-298"/>
    <x v="3"/>
    <x v="3"/>
    <x v="3"/>
    <x v="10"/>
    <x v="0"/>
    <n v="1"/>
    <n v="599"/>
    <n v="0.1"/>
    <n v="59.900000000000006"/>
    <n v="599"/>
    <n v="539.1"/>
    <x v="0"/>
    <x v="0"/>
    <n v="80"/>
    <n v="0.9"/>
    <n v="0"/>
  </r>
  <r>
    <s v="ORD-6550"/>
    <d v="2025-04-16T00:00:00"/>
    <x v="6"/>
    <s v="CUST-575"/>
    <x v="6"/>
    <x v="6"/>
    <x v="2"/>
    <x v="1"/>
    <x v="1"/>
    <n v="1"/>
    <n v="3999"/>
    <n v="0.1"/>
    <n v="399.90000000000003"/>
    <n v="3999"/>
    <n v="3599.1"/>
    <x v="2"/>
    <x v="0"/>
    <n v="40"/>
    <n v="0.9"/>
    <n v="0"/>
  </r>
  <r>
    <s v="ORD-6551"/>
    <d v="2025-02-25T00:00:00"/>
    <x v="9"/>
    <s v="CUST-464"/>
    <x v="9"/>
    <x v="8"/>
    <x v="1"/>
    <x v="0"/>
    <x v="0"/>
    <n v="2"/>
    <n v="1799"/>
    <n v="0.1"/>
    <n v="179.9"/>
    <n v="3598"/>
    <n v="3418.1"/>
    <x v="2"/>
    <x v="0"/>
    <n v="0"/>
    <n v="0.95"/>
    <n v="0"/>
  </r>
  <r>
    <s v="ORD-6552"/>
    <d v="2025-09-09T00:00:00"/>
    <x v="3"/>
    <s v="CUST-400"/>
    <x v="3"/>
    <x v="3"/>
    <x v="3"/>
    <x v="11"/>
    <x v="2"/>
    <n v="1"/>
    <n v="5499"/>
    <n v="0.25"/>
    <n v="1374.75"/>
    <n v="5499"/>
    <n v="4124.25"/>
    <x v="0"/>
    <x v="0"/>
    <n v="40"/>
    <n v="0.75"/>
    <n v="0"/>
  </r>
  <r>
    <s v="ORD-6553"/>
    <d v="2025-03-11T00:00:00"/>
    <x v="1"/>
    <s v="CUST-462"/>
    <x v="1"/>
    <x v="1"/>
    <x v="1"/>
    <x v="19"/>
    <x v="2"/>
    <n v="1"/>
    <n v="1499"/>
    <n v="0.1"/>
    <n v="149.9"/>
    <n v="1499"/>
    <n v="1349.1"/>
    <x v="2"/>
    <x v="1"/>
    <n v="60"/>
    <n v="0.89999999999999991"/>
    <n v="0"/>
  </r>
  <r>
    <s v="ORD-6554"/>
    <d v="2025-04-15T00:00:00"/>
    <x v="6"/>
    <s v="CUST-437"/>
    <x v="3"/>
    <x v="3"/>
    <x v="3"/>
    <x v="20"/>
    <x v="3"/>
    <n v="3"/>
    <n v="499"/>
    <n v="0.1"/>
    <n v="49.900000000000006"/>
    <n v="1497"/>
    <n v="1447.1"/>
    <x v="1"/>
    <x v="2"/>
    <n v="40"/>
    <n v="0.96666666666666656"/>
    <n v="0"/>
  </r>
  <r>
    <s v="ORD-6555"/>
    <d v="2025-12-12T00:00:00"/>
    <x v="4"/>
    <s v="CUST-818"/>
    <x v="4"/>
    <x v="4"/>
    <x v="2"/>
    <x v="14"/>
    <x v="4"/>
    <n v="1"/>
    <n v="399"/>
    <n v="0.15"/>
    <n v="59.849999999999994"/>
    <n v="399"/>
    <n v="339.15"/>
    <x v="3"/>
    <x v="0"/>
    <n v="40"/>
    <n v="0.85"/>
    <n v="0"/>
  </r>
  <r>
    <s v="ORD-6556"/>
    <d v="2025-06-24T00:00:00"/>
    <x v="11"/>
    <s v="CUST-855"/>
    <x v="1"/>
    <x v="1"/>
    <x v="1"/>
    <x v="21"/>
    <x v="4"/>
    <n v="1"/>
    <n v="699"/>
    <n v="0.1"/>
    <n v="69.900000000000006"/>
    <n v="699"/>
    <n v="629.1"/>
    <x v="0"/>
    <x v="0"/>
    <n v="40"/>
    <n v="0.9"/>
    <n v="0"/>
  </r>
  <r>
    <s v="ORD-6557"/>
    <d v="2025-03-24T00:00:00"/>
    <x v="1"/>
    <s v="CUST-515"/>
    <x v="3"/>
    <x v="3"/>
    <x v="3"/>
    <x v="4"/>
    <x v="3"/>
    <n v="1"/>
    <n v="349"/>
    <n v="0.1"/>
    <n v="34.9"/>
    <n v="349"/>
    <n v="314.10000000000002"/>
    <x v="0"/>
    <x v="0"/>
    <n v="80"/>
    <n v="0.9"/>
    <n v="0"/>
  </r>
  <r>
    <s v="ORD-6558"/>
    <d v="2025-07-06T00:00:00"/>
    <x v="5"/>
    <s v="CUST-209"/>
    <x v="4"/>
    <x v="4"/>
    <x v="2"/>
    <x v="11"/>
    <x v="2"/>
    <n v="2"/>
    <n v="5499"/>
    <n v="0.1"/>
    <n v="549.9"/>
    <n v="10998"/>
    <n v="10448.1"/>
    <x v="2"/>
    <x v="0"/>
    <n v="80"/>
    <n v="0.95000000000000007"/>
    <n v="0"/>
  </r>
  <r>
    <s v="ORD-6559"/>
    <d v="2025-09-14T00:00:00"/>
    <x v="3"/>
    <s v="CUST-352"/>
    <x v="3"/>
    <x v="3"/>
    <x v="3"/>
    <x v="6"/>
    <x v="0"/>
    <n v="1"/>
    <n v="1599"/>
    <n v="0"/>
    <n v="0"/>
    <n v="1599"/>
    <n v="1599"/>
    <x v="0"/>
    <x v="0"/>
    <n v="80"/>
    <n v="1"/>
    <n v="0"/>
  </r>
  <r>
    <s v="ORD-6560"/>
    <d v="2025-02-11T00:00:00"/>
    <x v="9"/>
    <s v="CUST-348"/>
    <x v="1"/>
    <x v="1"/>
    <x v="1"/>
    <x v="1"/>
    <x v="1"/>
    <n v="1"/>
    <n v="3999"/>
    <n v="0.1"/>
    <n v="399.90000000000003"/>
    <n v="3999"/>
    <n v="3599.1"/>
    <x v="1"/>
    <x v="0"/>
    <n v="80"/>
    <n v="0.9"/>
    <n v="0"/>
  </r>
  <r>
    <s v="ORD-6561"/>
    <d v="2025-05-24T00:00:00"/>
    <x v="8"/>
    <s v="CUST-592"/>
    <x v="0"/>
    <x v="0"/>
    <x v="0"/>
    <x v="14"/>
    <x v="4"/>
    <n v="1"/>
    <n v="399"/>
    <n v="0.1"/>
    <n v="39.900000000000006"/>
    <n v="399"/>
    <n v="359.1"/>
    <x v="0"/>
    <x v="0"/>
    <n v="0"/>
    <n v="0.9"/>
    <n v="0"/>
  </r>
  <r>
    <s v="ORD-6562"/>
    <d v="2025-03-03T00:00:00"/>
    <x v="1"/>
    <s v="CUST-801"/>
    <x v="2"/>
    <x v="2"/>
    <x v="2"/>
    <x v="9"/>
    <x v="1"/>
    <n v="1"/>
    <n v="1899"/>
    <n v="0.1"/>
    <n v="189.9"/>
    <n v="1899"/>
    <n v="1709.1"/>
    <x v="2"/>
    <x v="0"/>
    <n v="80"/>
    <n v="0.89999999999999991"/>
    <n v="0"/>
  </r>
  <r>
    <s v="ORD-6563"/>
    <d v="2025-02-12T00:00:00"/>
    <x v="9"/>
    <s v="CUST-628"/>
    <x v="3"/>
    <x v="3"/>
    <x v="3"/>
    <x v="4"/>
    <x v="3"/>
    <n v="1"/>
    <n v="349"/>
    <n v="0.1"/>
    <n v="34.9"/>
    <n v="349"/>
    <n v="314.10000000000002"/>
    <x v="3"/>
    <x v="0"/>
    <n v="0"/>
    <n v="0.9"/>
    <n v="0"/>
  </r>
  <r>
    <s v="ORD-6564"/>
    <d v="2025-02-28T00:00:00"/>
    <x v="9"/>
    <s v="CUST-681"/>
    <x v="3"/>
    <x v="3"/>
    <x v="3"/>
    <x v="1"/>
    <x v="1"/>
    <n v="1"/>
    <n v="3999"/>
    <n v="0.05"/>
    <n v="199.95000000000002"/>
    <n v="3999"/>
    <n v="3799.05"/>
    <x v="1"/>
    <x v="0"/>
    <n v="60"/>
    <n v="0.95000000000000007"/>
    <n v="0"/>
  </r>
  <r>
    <s v="ORD-6565"/>
    <d v="2025-03-09T00:00:00"/>
    <x v="1"/>
    <s v="CUST-361"/>
    <x v="2"/>
    <x v="2"/>
    <x v="2"/>
    <x v="22"/>
    <x v="2"/>
    <n v="1"/>
    <n v="3299"/>
    <n v="0.05"/>
    <n v="164.95000000000002"/>
    <n v="3299"/>
    <n v="3134.05"/>
    <x v="0"/>
    <x v="0"/>
    <n v="0"/>
    <n v="0.95000000000000007"/>
    <n v="0"/>
  </r>
  <r>
    <s v="ORD-6566"/>
    <d v="2025-08-27T00:00:00"/>
    <x v="0"/>
    <s v="CUST-881"/>
    <x v="1"/>
    <x v="1"/>
    <x v="1"/>
    <x v="10"/>
    <x v="0"/>
    <n v="1"/>
    <n v="599"/>
    <n v="0.1"/>
    <n v="59.900000000000006"/>
    <n v="599"/>
    <n v="539.1"/>
    <x v="3"/>
    <x v="0"/>
    <n v="40"/>
    <n v="0.9"/>
    <n v="0"/>
  </r>
  <r>
    <s v="ORD-6567"/>
    <d v="2025-08-23T00:00:00"/>
    <x v="0"/>
    <s v="CUST-598"/>
    <x v="1"/>
    <x v="1"/>
    <x v="1"/>
    <x v="20"/>
    <x v="3"/>
    <n v="1"/>
    <n v="499"/>
    <n v="0.25"/>
    <n v="124.75"/>
    <n v="499"/>
    <n v="374.25"/>
    <x v="3"/>
    <x v="0"/>
    <n v="60"/>
    <n v="0.75"/>
    <n v="0"/>
  </r>
  <r>
    <s v="ORD-6568"/>
    <d v="2025-12-25T00:00:00"/>
    <x v="4"/>
    <s v="CUST-500"/>
    <x v="4"/>
    <x v="4"/>
    <x v="2"/>
    <x v="8"/>
    <x v="1"/>
    <n v="1"/>
    <n v="2499"/>
    <n v="0.2"/>
    <n v="499.8"/>
    <n v="2499"/>
    <n v="1999.2"/>
    <x v="3"/>
    <x v="0"/>
    <n v="80"/>
    <n v="0.8"/>
    <n v="0"/>
  </r>
  <r>
    <s v="ORD-6569"/>
    <d v="2025-12-29T00:00:00"/>
    <x v="4"/>
    <s v="CUST-268"/>
    <x v="3"/>
    <x v="3"/>
    <x v="3"/>
    <x v="2"/>
    <x v="2"/>
    <n v="1"/>
    <n v="2799"/>
    <n v="0"/>
    <n v="0"/>
    <n v="2799"/>
    <n v="2799"/>
    <x v="0"/>
    <x v="0"/>
    <n v="40"/>
    <n v="1"/>
    <n v="0"/>
  </r>
  <r>
    <s v="ORD-6570"/>
    <d v="2025-11-23T00:00:00"/>
    <x v="10"/>
    <s v="CUST-765"/>
    <x v="8"/>
    <x v="1"/>
    <x v="1"/>
    <x v="21"/>
    <x v="4"/>
    <n v="1"/>
    <n v="699"/>
    <n v="0.25"/>
    <n v="174.75"/>
    <n v="699"/>
    <n v="524.25"/>
    <x v="3"/>
    <x v="0"/>
    <n v="60"/>
    <n v="0.75"/>
    <n v="0"/>
  </r>
  <r>
    <s v="ORD-6571"/>
    <d v="2025-08-05T00:00:00"/>
    <x v="0"/>
    <s v="CUST-310"/>
    <x v="3"/>
    <x v="3"/>
    <x v="3"/>
    <x v="18"/>
    <x v="4"/>
    <n v="1"/>
    <n v="1299"/>
    <n v="0.25"/>
    <n v="324.75"/>
    <n v="1299"/>
    <n v="974.25"/>
    <x v="3"/>
    <x v="0"/>
    <n v="80"/>
    <n v="0.75"/>
    <n v="0"/>
  </r>
  <r>
    <s v="ORD-6572"/>
    <d v="2025-03-30T00:00:00"/>
    <x v="1"/>
    <s v="CUST-451"/>
    <x v="6"/>
    <x v="6"/>
    <x v="2"/>
    <x v="2"/>
    <x v="2"/>
    <n v="1"/>
    <n v="2799"/>
    <n v="0"/>
    <n v="0"/>
    <n v="2799"/>
    <n v="2799"/>
    <x v="2"/>
    <x v="0"/>
    <n v="80"/>
    <n v="1"/>
    <n v="0"/>
  </r>
  <r>
    <s v="ORD-6573"/>
    <d v="2025-08-04T00:00:00"/>
    <x v="0"/>
    <s v="CUST-850"/>
    <x v="3"/>
    <x v="3"/>
    <x v="3"/>
    <x v="17"/>
    <x v="1"/>
    <n v="1"/>
    <n v="2199"/>
    <n v="0.25"/>
    <n v="549.75"/>
    <n v="2199"/>
    <n v="1649.25"/>
    <x v="0"/>
    <x v="0"/>
    <n v="80"/>
    <n v="0.75"/>
    <n v="0"/>
  </r>
  <r>
    <s v="ORD-6574"/>
    <d v="2025-01-04T00:00:00"/>
    <x v="7"/>
    <s v="CUST-678"/>
    <x v="3"/>
    <x v="3"/>
    <x v="3"/>
    <x v="5"/>
    <x v="0"/>
    <n v="2"/>
    <n v="2299"/>
    <n v="0.05"/>
    <n v="114.95"/>
    <n v="4598"/>
    <n v="4483.05"/>
    <x v="0"/>
    <x v="0"/>
    <n v="40"/>
    <n v="0.97500000000000009"/>
    <n v="0"/>
  </r>
  <r>
    <s v="ORD-6575"/>
    <d v="2025-05-13T00:00:00"/>
    <x v="8"/>
    <s v="CUST-867"/>
    <x v="1"/>
    <x v="1"/>
    <x v="1"/>
    <x v="8"/>
    <x v="1"/>
    <n v="1"/>
    <n v="2499"/>
    <n v="0.25"/>
    <n v="624.75"/>
    <n v="2499"/>
    <n v="1874.25"/>
    <x v="2"/>
    <x v="1"/>
    <n v="60"/>
    <n v="0.75"/>
    <n v="0"/>
  </r>
  <r>
    <s v="ORD-6576"/>
    <d v="2025-09-20T00:00:00"/>
    <x v="3"/>
    <s v="CUST-449"/>
    <x v="1"/>
    <x v="1"/>
    <x v="1"/>
    <x v="12"/>
    <x v="1"/>
    <n v="1"/>
    <n v="799"/>
    <n v="0.25"/>
    <n v="199.75"/>
    <n v="799"/>
    <n v="599.25"/>
    <x v="2"/>
    <x v="0"/>
    <n v="40"/>
    <n v="0.75"/>
    <n v="0"/>
  </r>
  <r>
    <s v="ORD-6577"/>
    <d v="2025-08-15T00:00:00"/>
    <x v="0"/>
    <s v="CUST-571"/>
    <x v="4"/>
    <x v="4"/>
    <x v="2"/>
    <x v="17"/>
    <x v="1"/>
    <n v="3"/>
    <n v="2199"/>
    <n v="0"/>
    <n v="0"/>
    <n v="6597"/>
    <n v="6597"/>
    <x v="0"/>
    <x v="0"/>
    <n v="0"/>
    <n v="1"/>
    <n v="0"/>
  </r>
  <r>
    <s v="ORD-6578"/>
    <d v="2025-01-12T00:00:00"/>
    <x v="7"/>
    <s v="CUST-232"/>
    <x v="9"/>
    <x v="8"/>
    <x v="1"/>
    <x v="19"/>
    <x v="2"/>
    <n v="2"/>
    <n v="1499"/>
    <n v="0.15"/>
    <n v="224.85"/>
    <n v="2998"/>
    <n v="2773.15"/>
    <x v="3"/>
    <x v="0"/>
    <n v="80"/>
    <n v="0.92500000000000004"/>
    <n v="0"/>
  </r>
  <r>
    <s v="ORD-6579"/>
    <d v="2025-01-02T00:00:00"/>
    <x v="7"/>
    <s v="CUST-509"/>
    <x v="8"/>
    <x v="1"/>
    <x v="1"/>
    <x v="3"/>
    <x v="0"/>
    <n v="4"/>
    <n v="899"/>
    <n v="0.1"/>
    <n v="89.9"/>
    <n v="3596"/>
    <n v="3506.1"/>
    <x v="0"/>
    <x v="2"/>
    <n v="40"/>
    <n v="0.97499999999999998"/>
    <n v="0"/>
  </r>
  <r>
    <s v="ORD-6580"/>
    <d v="2025-06-24T00:00:00"/>
    <x v="11"/>
    <s v="CUST-268"/>
    <x v="5"/>
    <x v="5"/>
    <x v="3"/>
    <x v="6"/>
    <x v="0"/>
    <n v="1"/>
    <n v="1599"/>
    <n v="0.1"/>
    <n v="159.9"/>
    <n v="1599"/>
    <n v="1439.1"/>
    <x v="0"/>
    <x v="0"/>
    <n v="60"/>
    <n v="0.89999999999999991"/>
    <n v="0"/>
  </r>
  <r>
    <s v="ORD-6581"/>
    <d v="2025-06-07T00:00:00"/>
    <x v="11"/>
    <s v="CUST-689"/>
    <x v="9"/>
    <x v="8"/>
    <x v="1"/>
    <x v="19"/>
    <x v="2"/>
    <n v="1"/>
    <n v="1499"/>
    <n v="0.1"/>
    <n v="149.9"/>
    <n v="1499"/>
    <n v="1349.1"/>
    <x v="2"/>
    <x v="0"/>
    <n v="40"/>
    <n v="0.89999999999999991"/>
    <n v="0"/>
  </r>
  <r>
    <s v="ORD-6582"/>
    <d v="2025-05-22T00:00:00"/>
    <x v="8"/>
    <s v="CUST-861"/>
    <x v="0"/>
    <x v="0"/>
    <x v="0"/>
    <x v="6"/>
    <x v="0"/>
    <n v="1"/>
    <n v="1599"/>
    <n v="0.15"/>
    <n v="239.85"/>
    <n v="1599"/>
    <n v="1359.15"/>
    <x v="1"/>
    <x v="0"/>
    <n v="80"/>
    <n v="0.85000000000000009"/>
    <n v="0"/>
  </r>
  <r>
    <s v="ORD-6583"/>
    <d v="2025-09-22T00:00:00"/>
    <x v="3"/>
    <s v="CUST-504"/>
    <x v="3"/>
    <x v="3"/>
    <x v="3"/>
    <x v="13"/>
    <x v="2"/>
    <n v="1"/>
    <n v="449"/>
    <n v="0.2"/>
    <n v="89.800000000000011"/>
    <n v="449"/>
    <n v="359.2"/>
    <x v="2"/>
    <x v="0"/>
    <n v="60"/>
    <n v="0.79999999999999993"/>
    <n v="0"/>
  </r>
  <r>
    <s v="ORD-6584"/>
    <d v="2025-03-23T00:00:00"/>
    <x v="1"/>
    <s v="CUST-508"/>
    <x v="1"/>
    <x v="1"/>
    <x v="1"/>
    <x v="7"/>
    <x v="1"/>
    <n v="1"/>
    <n v="1299"/>
    <n v="0.15"/>
    <n v="194.85"/>
    <n v="1299"/>
    <n v="1104.1500000000001"/>
    <x v="2"/>
    <x v="1"/>
    <n v="0"/>
    <n v="0.85000000000000009"/>
    <n v="0"/>
  </r>
  <r>
    <s v="ORD-6585"/>
    <d v="2025-09-26T00:00:00"/>
    <x v="3"/>
    <s v="CUST-598"/>
    <x v="1"/>
    <x v="1"/>
    <x v="1"/>
    <x v="9"/>
    <x v="1"/>
    <n v="4"/>
    <n v="1899"/>
    <n v="0.2"/>
    <n v="379.8"/>
    <n v="7596"/>
    <n v="7216.2"/>
    <x v="2"/>
    <x v="0"/>
    <n v="80"/>
    <n v="0.95"/>
    <n v="0"/>
  </r>
  <r>
    <s v="ORD-6586"/>
    <d v="2025-07-10T00:00:00"/>
    <x v="5"/>
    <s v="CUST-464"/>
    <x v="4"/>
    <x v="4"/>
    <x v="2"/>
    <x v="18"/>
    <x v="4"/>
    <n v="1"/>
    <n v="1299"/>
    <n v="0"/>
    <n v="0"/>
    <n v="1299"/>
    <n v="1299"/>
    <x v="2"/>
    <x v="0"/>
    <n v="0"/>
    <n v="1"/>
    <n v="0"/>
  </r>
  <r>
    <s v="ORD-6587"/>
    <d v="2025-02-10T00:00:00"/>
    <x v="9"/>
    <s v="CUST-511"/>
    <x v="0"/>
    <x v="0"/>
    <x v="0"/>
    <x v="2"/>
    <x v="2"/>
    <n v="4"/>
    <n v="2799"/>
    <n v="0"/>
    <n v="0"/>
    <n v="11196"/>
    <n v="11196"/>
    <x v="2"/>
    <x v="0"/>
    <n v="60"/>
    <n v="1"/>
    <n v="0"/>
  </r>
  <r>
    <s v="ORD-6588"/>
    <d v="2025-11-22T00:00:00"/>
    <x v="10"/>
    <s v="CUST-270"/>
    <x v="0"/>
    <x v="0"/>
    <x v="0"/>
    <x v="0"/>
    <x v="0"/>
    <n v="1"/>
    <n v="1799"/>
    <n v="0.25"/>
    <n v="449.75"/>
    <n v="1799"/>
    <n v="1349.25"/>
    <x v="0"/>
    <x v="0"/>
    <n v="80"/>
    <n v="0.75"/>
    <n v="0"/>
  </r>
  <r>
    <s v="ORD-6589"/>
    <d v="2025-03-17T00:00:00"/>
    <x v="1"/>
    <s v="CUST-750"/>
    <x v="4"/>
    <x v="4"/>
    <x v="2"/>
    <x v="11"/>
    <x v="2"/>
    <n v="2"/>
    <n v="5499"/>
    <n v="0.25"/>
    <n v="1374.75"/>
    <n v="10998"/>
    <n v="9623.25"/>
    <x v="1"/>
    <x v="0"/>
    <n v="80"/>
    <n v="0.875"/>
    <n v="0"/>
  </r>
  <r>
    <s v="ORD-6590"/>
    <d v="2025-07-20T00:00:00"/>
    <x v="5"/>
    <s v="CUST-712"/>
    <x v="3"/>
    <x v="3"/>
    <x v="3"/>
    <x v="4"/>
    <x v="3"/>
    <n v="2"/>
    <n v="349"/>
    <n v="0.1"/>
    <n v="34.9"/>
    <n v="698"/>
    <n v="663.1"/>
    <x v="0"/>
    <x v="0"/>
    <n v="40"/>
    <n v="0.95000000000000007"/>
    <n v="0"/>
  </r>
  <r>
    <s v="ORD-6591"/>
    <d v="2025-06-05T00:00:00"/>
    <x v="11"/>
    <s v="CUST-481"/>
    <x v="1"/>
    <x v="1"/>
    <x v="1"/>
    <x v="10"/>
    <x v="0"/>
    <n v="5"/>
    <n v="599"/>
    <n v="0.2"/>
    <n v="119.80000000000001"/>
    <n v="2995"/>
    <n v="2875.2"/>
    <x v="3"/>
    <x v="0"/>
    <n v="60"/>
    <n v="0.96"/>
    <n v="0"/>
  </r>
  <r>
    <s v="ORD-6592"/>
    <d v="2025-03-25T00:00:00"/>
    <x v="1"/>
    <s v="CUST-570"/>
    <x v="3"/>
    <x v="3"/>
    <x v="3"/>
    <x v="3"/>
    <x v="0"/>
    <n v="1"/>
    <n v="899"/>
    <n v="0.1"/>
    <n v="89.9"/>
    <n v="899"/>
    <n v="809.1"/>
    <x v="0"/>
    <x v="0"/>
    <n v="0"/>
    <n v="0.9"/>
    <n v="0"/>
  </r>
  <r>
    <s v="ORD-6593"/>
    <d v="2025-11-09T00:00:00"/>
    <x v="10"/>
    <s v="CUST-303"/>
    <x v="8"/>
    <x v="1"/>
    <x v="1"/>
    <x v="20"/>
    <x v="3"/>
    <n v="2"/>
    <n v="499"/>
    <n v="0"/>
    <n v="0"/>
    <n v="998"/>
    <n v="998"/>
    <x v="1"/>
    <x v="0"/>
    <n v="80"/>
    <n v="1"/>
    <n v="0"/>
  </r>
  <r>
    <s v="ORD-6594"/>
    <d v="2025-12-09T00:00:00"/>
    <x v="4"/>
    <s v="CUST-883"/>
    <x v="6"/>
    <x v="6"/>
    <x v="2"/>
    <x v="1"/>
    <x v="1"/>
    <n v="3"/>
    <n v="3999"/>
    <n v="0.05"/>
    <n v="199.95000000000002"/>
    <n v="11997"/>
    <n v="11797.05"/>
    <x v="3"/>
    <x v="0"/>
    <n v="0"/>
    <n v="0.98333333333333328"/>
    <n v="0"/>
  </r>
  <r>
    <s v="ORD-6595"/>
    <d v="2025-10-04T00:00:00"/>
    <x v="2"/>
    <s v="CUST-367"/>
    <x v="3"/>
    <x v="3"/>
    <x v="3"/>
    <x v="2"/>
    <x v="2"/>
    <n v="3"/>
    <n v="2799"/>
    <n v="0.15"/>
    <n v="419.84999999999997"/>
    <n v="8397"/>
    <n v="7977.15"/>
    <x v="3"/>
    <x v="0"/>
    <n v="80"/>
    <n v="0.95"/>
    <n v="0"/>
  </r>
  <r>
    <s v="ORD-6596"/>
    <d v="2025-02-28T00:00:00"/>
    <x v="9"/>
    <s v="CUST-384"/>
    <x v="7"/>
    <x v="7"/>
    <x v="1"/>
    <x v="0"/>
    <x v="0"/>
    <n v="4"/>
    <n v="1799"/>
    <n v="0.25"/>
    <n v="449.75"/>
    <n v="7196"/>
    <n v="6746.25"/>
    <x v="2"/>
    <x v="0"/>
    <n v="80"/>
    <n v="0.9375"/>
    <n v="0"/>
  </r>
  <r>
    <s v="ORD-6597"/>
    <d v="2025-02-18T00:00:00"/>
    <x v="9"/>
    <s v="CUST-348"/>
    <x v="4"/>
    <x v="4"/>
    <x v="2"/>
    <x v="18"/>
    <x v="4"/>
    <n v="1"/>
    <n v="1299"/>
    <n v="0.25"/>
    <n v="324.75"/>
    <n v="1299"/>
    <n v="974.25"/>
    <x v="3"/>
    <x v="0"/>
    <n v="40"/>
    <n v="0.75"/>
    <n v="0"/>
  </r>
  <r>
    <s v="ORD-6598"/>
    <d v="2025-08-12T00:00:00"/>
    <x v="0"/>
    <s v="CUST-367"/>
    <x v="3"/>
    <x v="3"/>
    <x v="3"/>
    <x v="12"/>
    <x v="1"/>
    <n v="1"/>
    <n v="799"/>
    <n v="0.2"/>
    <n v="159.80000000000001"/>
    <n v="799"/>
    <n v="639.20000000000005"/>
    <x v="3"/>
    <x v="0"/>
    <n v="60"/>
    <n v="0.8"/>
    <n v="0"/>
  </r>
  <r>
    <s v="ORD-6599"/>
    <d v="2025-01-06T00:00:00"/>
    <x v="7"/>
    <s v="CUST-360"/>
    <x v="1"/>
    <x v="1"/>
    <x v="1"/>
    <x v="21"/>
    <x v="4"/>
    <n v="1"/>
    <n v="699"/>
    <n v="0"/>
    <n v="0"/>
    <n v="699"/>
    <n v="699"/>
    <x v="3"/>
    <x v="0"/>
    <n v="60"/>
    <n v="1"/>
    <n v="0"/>
  </r>
  <r>
    <s v="ORD-6600"/>
    <d v="2025-08-26T00:00:00"/>
    <x v="0"/>
    <s v="CUST-774"/>
    <x v="3"/>
    <x v="3"/>
    <x v="3"/>
    <x v="6"/>
    <x v="0"/>
    <n v="4"/>
    <n v="1599"/>
    <n v="0"/>
    <n v="0"/>
    <n v="6396"/>
    <n v="6396"/>
    <x v="3"/>
    <x v="2"/>
    <n v="0"/>
    <n v="1"/>
    <n v="0"/>
  </r>
  <r>
    <s v="ORD-6601"/>
    <d v="2025-07-11T00:00:00"/>
    <x v="5"/>
    <s v="CUST-557"/>
    <x v="0"/>
    <x v="0"/>
    <x v="0"/>
    <x v="9"/>
    <x v="1"/>
    <n v="1"/>
    <n v="1899"/>
    <n v="0.1"/>
    <n v="189.9"/>
    <n v="1899"/>
    <n v="1709.1"/>
    <x v="3"/>
    <x v="0"/>
    <n v="80"/>
    <n v="0.89999999999999991"/>
    <n v="0"/>
  </r>
  <r>
    <s v="ORD-6602"/>
    <d v="2025-03-30T00:00:00"/>
    <x v="1"/>
    <s v="CUST-772"/>
    <x v="7"/>
    <x v="7"/>
    <x v="1"/>
    <x v="15"/>
    <x v="3"/>
    <n v="1"/>
    <n v="299"/>
    <n v="0.1"/>
    <n v="29.900000000000002"/>
    <n v="299"/>
    <n v="269.10000000000002"/>
    <x v="3"/>
    <x v="0"/>
    <n v="80"/>
    <n v="0.9"/>
    <n v="0"/>
  </r>
  <r>
    <s v="ORD-6603"/>
    <d v="2025-02-25T00:00:00"/>
    <x v="9"/>
    <s v="CUST-360"/>
    <x v="1"/>
    <x v="1"/>
    <x v="1"/>
    <x v="12"/>
    <x v="1"/>
    <n v="2"/>
    <n v="799"/>
    <n v="0.05"/>
    <n v="39.950000000000003"/>
    <n v="1598"/>
    <n v="1558.05"/>
    <x v="3"/>
    <x v="0"/>
    <n v="60"/>
    <n v="0.97499999999999998"/>
    <n v="0"/>
  </r>
  <r>
    <s v="ORD-6604"/>
    <d v="2025-02-12T00:00:00"/>
    <x v="9"/>
    <s v="CUST-345"/>
    <x v="2"/>
    <x v="2"/>
    <x v="2"/>
    <x v="1"/>
    <x v="1"/>
    <n v="1"/>
    <n v="3999"/>
    <n v="0"/>
    <n v="0"/>
    <n v="3999"/>
    <n v="3999"/>
    <x v="3"/>
    <x v="0"/>
    <n v="40"/>
    <n v="1"/>
    <n v="0"/>
  </r>
  <r>
    <s v="ORD-6605"/>
    <d v="2025-04-29T00:00:00"/>
    <x v="6"/>
    <s v="CUST-866"/>
    <x v="8"/>
    <x v="1"/>
    <x v="1"/>
    <x v="7"/>
    <x v="1"/>
    <n v="1"/>
    <n v="1299"/>
    <n v="0.1"/>
    <n v="129.9"/>
    <n v="1299"/>
    <n v="1169.0999999999999"/>
    <x v="3"/>
    <x v="0"/>
    <n v="0"/>
    <n v="0.89999999999999991"/>
    <n v="0"/>
  </r>
  <r>
    <s v="ORD-6606"/>
    <d v="2025-10-12T00:00:00"/>
    <x v="2"/>
    <s v="CUST-405"/>
    <x v="4"/>
    <x v="4"/>
    <x v="2"/>
    <x v="8"/>
    <x v="1"/>
    <n v="3"/>
    <n v="2499"/>
    <n v="0.1"/>
    <n v="249.9"/>
    <n v="7497"/>
    <n v="7247.1"/>
    <x v="1"/>
    <x v="0"/>
    <n v="40"/>
    <n v="0.96666666666666667"/>
    <n v="0"/>
  </r>
  <r>
    <s v="ORD-6607"/>
    <d v="2025-08-27T00:00:00"/>
    <x v="0"/>
    <s v="CUST-357"/>
    <x v="4"/>
    <x v="4"/>
    <x v="2"/>
    <x v="14"/>
    <x v="4"/>
    <n v="1"/>
    <n v="399"/>
    <n v="0.05"/>
    <n v="19.950000000000003"/>
    <n v="399"/>
    <n v="379.05"/>
    <x v="0"/>
    <x v="0"/>
    <n v="60"/>
    <n v="0.95000000000000007"/>
    <n v="0"/>
  </r>
  <r>
    <s v="ORD-6608"/>
    <d v="2025-06-12T00:00:00"/>
    <x v="11"/>
    <s v="CUST-759"/>
    <x v="3"/>
    <x v="3"/>
    <x v="3"/>
    <x v="7"/>
    <x v="1"/>
    <n v="1"/>
    <n v="1299"/>
    <n v="0.1"/>
    <n v="129.9"/>
    <n v="1299"/>
    <n v="1169.0999999999999"/>
    <x v="3"/>
    <x v="0"/>
    <n v="40"/>
    <n v="0.89999999999999991"/>
    <n v="0"/>
  </r>
  <r>
    <s v="ORD-6609"/>
    <d v="2025-06-10T00:00:00"/>
    <x v="11"/>
    <s v="CUST-408"/>
    <x v="3"/>
    <x v="3"/>
    <x v="3"/>
    <x v="6"/>
    <x v="0"/>
    <n v="2"/>
    <n v="1599"/>
    <n v="0.25"/>
    <n v="399.75"/>
    <n v="3198"/>
    <n v="2798.25"/>
    <x v="3"/>
    <x v="0"/>
    <n v="0"/>
    <n v="0.875"/>
    <n v="0"/>
  </r>
  <r>
    <s v="ORD-6610"/>
    <d v="2025-07-15T00:00:00"/>
    <x v="5"/>
    <s v="CUST-310"/>
    <x v="0"/>
    <x v="0"/>
    <x v="0"/>
    <x v="3"/>
    <x v="0"/>
    <n v="3"/>
    <n v="899"/>
    <n v="0"/>
    <n v="0"/>
    <n v="2697"/>
    <n v="2697"/>
    <x v="3"/>
    <x v="0"/>
    <n v="80"/>
    <n v="1"/>
    <n v="0"/>
  </r>
  <r>
    <s v="ORD-6611"/>
    <d v="2025-05-15T00:00:00"/>
    <x v="8"/>
    <s v="CUST-461"/>
    <x v="1"/>
    <x v="1"/>
    <x v="1"/>
    <x v="13"/>
    <x v="2"/>
    <n v="1"/>
    <n v="449"/>
    <n v="0.25"/>
    <n v="112.25"/>
    <n v="449"/>
    <n v="336.75"/>
    <x v="3"/>
    <x v="0"/>
    <n v="80"/>
    <n v="0.75"/>
    <n v="0"/>
  </r>
  <r>
    <s v="ORD-6612"/>
    <d v="2025-09-12T00:00:00"/>
    <x v="3"/>
    <s v="CUST-449"/>
    <x v="1"/>
    <x v="1"/>
    <x v="1"/>
    <x v="1"/>
    <x v="1"/>
    <n v="2"/>
    <n v="3999"/>
    <n v="0"/>
    <n v="0"/>
    <n v="7998"/>
    <n v="7998"/>
    <x v="3"/>
    <x v="0"/>
    <n v="0"/>
    <n v="1"/>
    <n v="0"/>
  </r>
  <r>
    <s v="ORD-6613"/>
    <d v="2025-05-18T00:00:00"/>
    <x v="8"/>
    <s v="CUST-331"/>
    <x v="6"/>
    <x v="6"/>
    <x v="2"/>
    <x v="18"/>
    <x v="4"/>
    <n v="1"/>
    <n v="1299"/>
    <n v="0.15"/>
    <n v="194.85"/>
    <n v="1299"/>
    <n v="1104.1500000000001"/>
    <x v="1"/>
    <x v="0"/>
    <n v="40"/>
    <n v="0.85000000000000009"/>
    <n v="0"/>
  </r>
  <r>
    <s v="ORD-6614"/>
    <d v="2025-02-05T00:00:00"/>
    <x v="9"/>
    <s v="CUST-609"/>
    <x v="4"/>
    <x v="4"/>
    <x v="2"/>
    <x v="18"/>
    <x v="4"/>
    <n v="1"/>
    <n v="1299"/>
    <n v="0.15"/>
    <n v="194.85"/>
    <n v="1299"/>
    <n v="1104.1500000000001"/>
    <x v="1"/>
    <x v="0"/>
    <n v="80"/>
    <n v="0.85000000000000009"/>
    <n v="0"/>
  </r>
  <r>
    <s v="ORD-6615"/>
    <d v="2025-07-23T00:00:00"/>
    <x v="5"/>
    <s v="CUST-870"/>
    <x v="1"/>
    <x v="1"/>
    <x v="1"/>
    <x v="10"/>
    <x v="0"/>
    <n v="1"/>
    <n v="599"/>
    <n v="0.05"/>
    <n v="29.950000000000003"/>
    <n v="599"/>
    <n v="569.04999999999995"/>
    <x v="3"/>
    <x v="0"/>
    <n v="60"/>
    <n v="0.95"/>
    <n v="0"/>
  </r>
  <r>
    <s v="ORD-6616"/>
    <d v="2025-04-17T00:00:00"/>
    <x v="6"/>
    <s v="CUST-616"/>
    <x v="4"/>
    <x v="4"/>
    <x v="2"/>
    <x v="6"/>
    <x v="0"/>
    <n v="3"/>
    <n v="1599"/>
    <n v="0.2"/>
    <n v="319.8"/>
    <n v="4797"/>
    <n v="4477.2"/>
    <x v="3"/>
    <x v="0"/>
    <n v="40"/>
    <n v="0.93333333333333335"/>
    <n v="0"/>
  </r>
  <r>
    <s v="ORD-6617"/>
    <d v="2025-02-01T00:00:00"/>
    <x v="9"/>
    <s v="CUST-244"/>
    <x v="3"/>
    <x v="3"/>
    <x v="3"/>
    <x v="10"/>
    <x v="0"/>
    <n v="4"/>
    <n v="599"/>
    <n v="0.05"/>
    <n v="29.950000000000003"/>
    <n v="2396"/>
    <n v="2366.0500000000002"/>
    <x v="3"/>
    <x v="0"/>
    <n v="40"/>
    <n v="0.98750000000000004"/>
    <n v="0"/>
  </r>
  <r>
    <s v="ORD-6618"/>
    <d v="2025-04-25T00:00:00"/>
    <x v="6"/>
    <s v="CUST-352"/>
    <x v="7"/>
    <x v="7"/>
    <x v="1"/>
    <x v="12"/>
    <x v="1"/>
    <n v="1"/>
    <n v="799"/>
    <n v="0.05"/>
    <n v="39.950000000000003"/>
    <n v="799"/>
    <n v="759.05"/>
    <x v="0"/>
    <x v="0"/>
    <n v="0"/>
    <n v="0.95"/>
    <n v="0"/>
  </r>
  <r>
    <s v="ORD-6619"/>
    <d v="2025-01-11T00:00:00"/>
    <x v="7"/>
    <s v="CUST-835"/>
    <x v="0"/>
    <x v="0"/>
    <x v="0"/>
    <x v="14"/>
    <x v="4"/>
    <n v="1"/>
    <n v="399"/>
    <n v="0.05"/>
    <n v="19.950000000000003"/>
    <n v="399"/>
    <n v="379.05"/>
    <x v="0"/>
    <x v="1"/>
    <n v="40"/>
    <n v="0.95000000000000007"/>
    <n v="0"/>
  </r>
  <r>
    <s v="ORD-6620"/>
    <d v="2025-09-17T00:00:00"/>
    <x v="3"/>
    <s v="CUST-682"/>
    <x v="5"/>
    <x v="5"/>
    <x v="3"/>
    <x v="3"/>
    <x v="0"/>
    <n v="3"/>
    <n v="899"/>
    <n v="0.2"/>
    <n v="179.8"/>
    <n v="2697"/>
    <n v="2517.1999999999998"/>
    <x v="3"/>
    <x v="0"/>
    <n v="40"/>
    <n v="0.93333333333333324"/>
    <n v="0"/>
  </r>
  <r>
    <s v="ORD-6621"/>
    <d v="2025-03-21T00:00:00"/>
    <x v="1"/>
    <s v="CUST-334"/>
    <x v="0"/>
    <x v="0"/>
    <x v="0"/>
    <x v="6"/>
    <x v="0"/>
    <n v="1"/>
    <n v="1599"/>
    <n v="0.05"/>
    <n v="79.95"/>
    <n v="1599"/>
    <n v="1519.05"/>
    <x v="3"/>
    <x v="0"/>
    <n v="40"/>
    <n v="0.95"/>
    <n v="0"/>
  </r>
  <r>
    <s v="ORD-6622"/>
    <d v="2025-08-23T00:00:00"/>
    <x v="0"/>
    <s v="CUST-880"/>
    <x v="1"/>
    <x v="1"/>
    <x v="1"/>
    <x v="14"/>
    <x v="4"/>
    <n v="2"/>
    <n v="399"/>
    <n v="0.1"/>
    <n v="39.900000000000006"/>
    <n v="798"/>
    <n v="758.1"/>
    <x v="3"/>
    <x v="0"/>
    <n v="40"/>
    <n v="0.95000000000000007"/>
    <n v="0"/>
  </r>
  <r>
    <s v="ORD-6623"/>
    <d v="2025-02-14T00:00:00"/>
    <x v="9"/>
    <s v="CUST-855"/>
    <x v="3"/>
    <x v="3"/>
    <x v="3"/>
    <x v="12"/>
    <x v="1"/>
    <n v="2"/>
    <n v="799"/>
    <n v="0.2"/>
    <n v="159.80000000000001"/>
    <n v="1598"/>
    <n v="1438.2"/>
    <x v="1"/>
    <x v="1"/>
    <n v="60"/>
    <n v="0.9"/>
    <n v="0"/>
  </r>
  <r>
    <s v="ORD-6624"/>
    <d v="2025-05-25T00:00:00"/>
    <x v="8"/>
    <s v="CUST-678"/>
    <x v="4"/>
    <x v="4"/>
    <x v="2"/>
    <x v="16"/>
    <x v="4"/>
    <n v="1"/>
    <n v="1599"/>
    <n v="0.1"/>
    <n v="159.9"/>
    <n v="1599"/>
    <n v="1439.1"/>
    <x v="0"/>
    <x v="0"/>
    <n v="60"/>
    <n v="0.89999999999999991"/>
    <n v="0"/>
  </r>
  <r>
    <s v="ORD-6625"/>
    <d v="2025-08-10T00:00:00"/>
    <x v="0"/>
    <s v="CUST-856"/>
    <x v="6"/>
    <x v="6"/>
    <x v="2"/>
    <x v="10"/>
    <x v="0"/>
    <n v="2"/>
    <n v="599"/>
    <n v="0.2"/>
    <n v="119.80000000000001"/>
    <n v="1198"/>
    <n v="1078.2"/>
    <x v="3"/>
    <x v="0"/>
    <n v="40"/>
    <n v="0.9"/>
    <n v="0"/>
  </r>
  <r>
    <s v="ORD-6626"/>
    <d v="2025-07-13T00:00:00"/>
    <x v="5"/>
    <s v="CUST-554"/>
    <x v="8"/>
    <x v="1"/>
    <x v="1"/>
    <x v="17"/>
    <x v="1"/>
    <n v="3"/>
    <n v="2199"/>
    <n v="0"/>
    <n v="0"/>
    <n v="6597"/>
    <n v="6597"/>
    <x v="3"/>
    <x v="0"/>
    <n v="80"/>
    <n v="1"/>
    <n v="0"/>
  </r>
  <r>
    <s v="ORD-6627"/>
    <d v="2025-06-01T00:00:00"/>
    <x v="11"/>
    <s v="CUST-445"/>
    <x v="3"/>
    <x v="3"/>
    <x v="3"/>
    <x v="14"/>
    <x v="4"/>
    <n v="1"/>
    <n v="399"/>
    <n v="0.1"/>
    <n v="39.900000000000006"/>
    <n v="399"/>
    <n v="359.1"/>
    <x v="2"/>
    <x v="0"/>
    <n v="40"/>
    <n v="0.9"/>
    <n v="0"/>
  </r>
  <r>
    <s v="ORD-6628"/>
    <d v="2025-12-21T00:00:00"/>
    <x v="4"/>
    <s v="CUST-394"/>
    <x v="4"/>
    <x v="4"/>
    <x v="2"/>
    <x v="10"/>
    <x v="0"/>
    <n v="2"/>
    <n v="599"/>
    <n v="0"/>
    <n v="0"/>
    <n v="1198"/>
    <n v="1198"/>
    <x v="3"/>
    <x v="0"/>
    <n v="0"/>
    <n v="1"/>
    <n v="0"/>
  </r>
  <r>
    <s v="ORD-6629"/>
    <d v="2025-10-13T00:00:00"/>
    <x v="2"/>
    <s v="CUST-304"/>
    <x v="4"/>
    <x v="4"/>
    <x v="2"/>
    <x v="22"/>
    <x v="2"/>
    <n v="2"/>
    <n v="3299"/>
    <n v="0"/>
    <n v="0"/>
    <n v="6598"/>
    <n v="6598"/>
    <x v="0"/>
    <x v="0"/>
    <n v="0"/>
    <n v="1"/>
    <n v="0"/>
  </r>
  <r>
    <s v="ORD-6630"/>
    <d v="2025-07-12T00:00:00"/>
    <x v="5"/>
    <s v="CUST-239"/>
    <x v="8"/>
    <x v="1"/>
    <x v="1"/>
    <x v="22"/>
    <x v="2"/>
    <n v="1"/>
    <n v="3299"/>
    <n v="0.05"/>
    <n v="164.95000000000002"/>
    <n v="3299"/>
    <n v="3134.05"/>
    <x v="0"/>
    <x v="0"/>
    <n v="0"/>
    <n v="0.95000000000000007"/>
    <n v="0"/>
  </r>
  <r>
    <s v="ORD-6631"/>
    <d v="2025-05-05T00:00:00"/>
    <x v="8"/>
    <s v="CUST-361"/>
    <x v="9"/>
    <x v="8"/>
    <x v="1"/>
    <x v="4"/>
    <x v="3"/>
    <n v="1"/>
    <n v="349"/>
    <n v="0.05"/>
    <n v="17.45"/>
    <n v="349"/>
    <n v="331.55"/>
    <x v="0"/>
    <x v="0"/>
    <n v="80"/>
    <n v="0.95000000000000007"/>
    <n v="0"/>
  </r>
  <r>
    <s v="ORD-6632"/>
    <d v="2025-01-06T00:00:00"/>
    <x v="7"/>
    <s v="CUST-502"/>
    <x v="3"/>
    <x v="3"/>
    <x v="3"/>
    <x v="16"/>
    <x v="4"/>
    <n v="2"/>
    <n v="1599"/>
    <n v="0"/>
    <n v="0"/>
    <n v="3198"/>
    <n v="3198"/>
    <x v="3"/>
    <x v="0"/>
    <n v="60"/>
    <n v="1"/>
    <n v="0"/>
  </r>
  <r>
    <s v="ORD-6633"/>
    <d v="2025-03-05T00:00:00"/>
    <x v="1"/>
    <s v="CUST-737"/>
    <x v="4"/>
    <x v="4"/>
    <x v="2"/>
    <x v="18"/>
    <x v="4"/>
    <n v="2"/>
    <n v="1299"/>
    <n v="0.05"/>
    <n v="64.95"/>
    <n v="2598"/>
    <n v="2533.0500000000002"/>
    <x v="3"/>
    <x v="0"/>
    <n v="0"/>
    <n v="0.97500000000000009"/>
    <n v="0"/>
  </r>
  <r>
    <s v="ORD-6634"/>
    <d v="2025-10-03T00:00:00"/>
    <x v="2"/>
    <s v="CUST-526"/>
    <x v="7"/>
    <x v="7"/>
    <x v="1"/>
    <x v="9"/>
    <x v="1"/>
    <n v="1"/>
    <n v="1899"/>
    <n v="0.15"/>
    <n v="284.84999999999997"/>
    <n v="1899"/>
    <n v="1614.15"/>
    <x v="1"/>
    <x v="0"/>
    <n v="60"/>
    <n v="0.85000000000000009"/>
    <n v="0"/>
  </r>
  <r>
    <s v="ORD-6635"/>
    <d v="2025-04-08T00:00:00"/>
    <x v="6"/>
    <s v="CUST-730"/>
    <x v="1"/>
    <x v="1"/>
    <x v="1"/>
    <x v="18"/>
    <x v="4"/>
    <n v="3"/>
    <n v="1299"/>
    <n v="0"/>
    <n v="0"/>
    <n v="3897"/>
    <n v="3897"/>
    <x v="0"/>
    <x v="0"/>
    <n v="80"/>
    <n v="1"/>
    <n v="0"/>
  </r>
  <r>
    <s v="ORD-6636"/>
    <d v="2025-03-25T00:00:00"/>
    <x v="1"/>
    <s v="CUST-471"/>
    <x v="3"/>
    <x v="3"/>
    <x v="3"/>
    <x v="3"/>
    <x v="0"/>
    <n v="4"/>
    <n v="899"/>
    <n v="0.05"/>
    <n v="44.95"/>
    <n v="3596"/>
    <n v="3551.05"/>
    <x v="3"/>
    <x v="0"/>
    <n v="60"/>
    <n v="0.98750000000000004"/>
    <n v="0"/>
  </r>
  <r>
    <s v="ORD-6637"/>
    <d v="2025-12-24T00:00:00"/>
    <x v="4"/>
    <s v="CUST-683"/>
    <x v="8"/>
    <x v="1"/>
    <x v="1"/>
    <x v="12"/>
    <x v="1"/>
    <n v="1"/>
    <n v="799"/>
    <n v="0.1"/>
    <n v="79.900000000000006"/>
    <n v="799"/>
    <n v="719.1"/>
    <x v="0"/>
    <x v="0"/>
    <n v="60"/>
    <n v="0.9"/>
    <n v="0"/>
  </r>
  <r>
    <s v="ORD-6638"/>
    <d v="2025-04-14T00:00:00"/>
    <x v="6"/>
    <s v="CUST-431"/>
    <x v="7"/>
    <x v="7"/>
    <x v="1"/>
    <x v="10"/>
    <x v="0"/>
    <n v="3"/>
    <n v="599"/>
    <n v="0.05"/>
    <n v="29.950000000000003"/>
    <n v="1797"/>
    <n v="1767.05"/>
    <x v="0"/>
    <x v="0"/>
    <n v="40"/>
    <n v="0.98333333333333328"/>
    <n v="0"/>
  </r>
  <r>
    <s v="ORD-6639"/>
    <d v="2025-02-15T00:00:00"/>
    <x v="9"/>
    <s v="CUST-582"/>
    <x v="4"/>
    <x v="4"/>
    <x v="2"/>
    <x v="4"/>
    <x v="3"/>
    <n v="1"/>
    <n v="349"/>
    <n v="0"/>
    <n v="0"/>
    <n v="349"/>
    <n v="349"/>
    <x v="3"/>
    <x v="0"/>
    <n v="0"/>
    <n v="1"/>
    <n v="0"/>
  </r>
  <r>
    <s v="ORD-6640"/>
    <d v="2025-11-22T00:00:00"/>
    <x v="10"/>
    <s v="CUST-334"/>
    <x v="3"/>
    <x v="3"/>
    <x v="3"/>
    <x v="5"/>
    <x v="0"/>
    <n v="3"/>
    <n v="2299"/>
    <n v="0.2"/>
    <n v="459.8"/>
    <n v="6897"/>
    <n v="6437.2"/>
    <x v="3"/>
    <x v="0"/>
    <n v="0"/>
    <n v="0.93333333333333335"/>
    <n v="0"/>
  </r>
  <r>
    <s v="ORD-6641"/>
    <d v="2025-07-28T00:00:00"/>
    <x v="5"/>
    <s v="CUST-337"/>
    <x v="9"/>
    <x v="8"/>
    <x v="1"/>
    <x v="20"/>
    <x v="3"/>
    <n v="1"/>
    <n v="499"/>
    <n v="0"/>
    <n v="0"/>
    <n v="499"/>
    <n v="499"/>
    <x v="0"/>
    <x v="0"/>
    <n v="80"/>
    <n v="1"/>
    <n v="0"/>
  </r>
  <r>
    <s v="ORD-6642"/>
    <d v="2025-08-04T00:00:00"/>
    <x v="0"/>
    <s v="CUST-359"/>
    <x v="6"/>
    <x v="6"/>
    <x v="2"/>
    <x v="14"/>
    <x v="4"/>
    <n v="2"/>
    <n v="399"/>
    <n v="0.15"/>
    <n v="59.849999999999994"/>
    <n v="798"/>
    <n v="738.15"/>
    <x v="0"/>
    <x v="0"/>
    <n v="40"/>
    <n v="0.92499999999999993"/>
    <n v="0"/>
  </r>
  <r>
    <s v="ORD-6643"/>
    <d v="2025-02-17T00:00:00"/>
    <x v="9"/>
    <s v="CUST-251"/>
    <x v="8"/>
    <x v="1"/>
    <x v="1"/>
    <x v="8"/>
    <x v="1"/>
    <n v="1"/>
    <n v="2499"/>
    <n v="0.05"/>
    <n v="124.95"/>
    <n v="2499"/>
    <n v="2374.0500000000002"/>
    <x v="0"/>
    <x v="0"/>
    <n v="40"/>
    <n v="0.95000000000000007"/>
    <n v="0"/>
  </r>
  <r>
    <s v="ORD-6644"/>
    <d v="2025-08-20T00:00:00"/>
    <x v="0"/>
    <s v="CUST-416"/>
    <x v="5"/>
    <x v="5"/>
    <x v="3"/>
    <x v="8"/>
    <x v="1"/>
    <n v="2"/>
    <n v="2499"/>
    <n v="0.05"/>
    <n v="124.95"/>
    <n v="4998"/>
    <n v="4873.05"/>
    <x v="0"/>
    <x v="1"/>
    <n v="60"/>
    <n v="0.97500000000000009"/>
    <n v="0"/>
  </r>
  <r>
    <s v="ORD-6645"/>
    <d v="2025-12-11T00:00:00"/>
    <x v="4"/>
    <s v="CUST-701"/>
    <x v="4"/>
    <x v="4"/>
    <x v="2"/>
    <x v="6"/>
    <x v="0"/>
    <n v="1"/>
    <n v="1599"/>
    <n v="0.25"/>
    <n v="399.75"/>
    <n v="1599"/>
    <n v="1199.25"/>
    <x v="3"/>
    <x v="0"/>
    <n v="60"/>
    <n v="0.75"/>
    <n v="0"/>
  </r>
  <r>
    <s v="ORD-6646"/>
    <d v="2025-11-03T00:00:00"/>
    <x v="10"/>
    <s v="CUST-659"/>
    <x v="8"/>
    <x v="1"/>
    <x v="1"/>
    <x v="7"/>
    <x v="1"/>
    <n v="1"/>
    <n v="1299"/>
    <n v="0.1"/>
    <n v="129.9"/>
    <n v="1299"/>
    <n v="1169.0999999999999"/>
    <x v="3"/>
    <x v="0"/>
    <n v="0"/>
    <n v="0.89999999999999991"/>
    <n v="0"/>
  </r>
  <r>
    <s v="ORD-6647"/>
    <d v="2025-05-28T00:00:00"/>
    <x v="8"/>
    <s v="CUST-232"/>
    <x v="3"/>
    <x v="3"/>
    <x v="3"/>
    <x v="8"/>
    <x v="1"/>
    <n v="3"/>
    <n v="2499"/>
    <n v="0.1"/>
    <n v="249.9"/>
    <n v="7497"/>
    <n v="7247.1"/>
    <x v="2"/>
    <x v="2"/>
    <n v="0"/>
    <n v="0.96666666666666667"/>
    <n v="0"/>
  </r>
  <r>
    <s v="ORD-6648"/>
    <d v="2025-01-26T00:00:00"/>
    <x v="7"/>
    <s v="CUST-563"/>
    <x v="7"/>
    <x v="7"/>
    <x v="1"/>
    <x v="1"/>
    <x v="1"/>
    <n v="3"/>
    <n v="3999"/>
    <n v="0.15"/>
    <n v="599.85"/>
    <n v="11997"/>
    <n v="11397.15"/>
    <x v="0"/>
    <x v="0"/>
    <n v="40"/>
    <n v="0.95"/>
    <n v="0"/>
  </r>
  <r>
    <s v="ORD-6649"/>
    <d v="2025-01-08T00:00:00"/>
    <x v="7"/>
    <s v="CUST-431"/>
    <x v="2"/>
    <x v="2"/>
    <x v="2"/>
    <x v="8"/>
    <x v="1"/>
    <n v="1"/>
    <n v="2499"/>
    <n v="0.25"/>
    <n v="624.75"/>
    <n v="2499"/>
    <n v="1874.25"/>
    <x v="3"/>
    <x v="0"/>
    <n v="40"/>
    <n v="0.75"/>
    <n v="0"/>
  </r>
  <r>
    <s v="ORD-6650"/>
    <d v="2025-08-05T00:00:00"/>
    <x v="0"/>
    <s v="CUST-361"/>
    <x v="6"/>
    <x v="6"/>
    <x v="2"/>
    <x v="11"/>
    <x v="2"/>
    <n v="1"/>
    <n v="5499"/>
    <n v="0.1"/>
    <n v="549.9"/>
    <n v="5499"/>
    <n v="4949.1000000000004"/>
    <x v="3"/>
    <x v="0"/>
    <n v="80"/>
    <n v="0.9"/>
    <n v="0"/>
  </r>
  <r>
    <s v="ORD-6651"/>
    <d v="2025-03-29T00:00:00"/>
    <x v="1"/>
    <s v="CUST-250"/>
    <x v="8"/>
    <x v="1"/>
    <x v="1"/>
    <x v="5"/>
    <x v="0"/>
    <n v="3"/>
    <n v="2299"/>
    <n v="0.15"/>
    <n v="344.84999999999997"/>
    <n v="6897"/>
    <n v="6552.15"/>
    <x v="0"/>
    <x v="0"/>
    <n v="0"/>
    <n v="0.95"/>
    <n v="0"/>
  </r>
  <r>
    <s v="ORD-6652"/>
    <d v="2025-03-25T00:00:00"/>
    <x v="1"/>
    <s v="CUST-578"/>
    <x v="0"/>
    <x v="0"/>
    <x v="0"/>
    <x v="8"/>
    <x v="1"/>
    <n v="2"/>
    <n v="2499"/>
    <n v="0"/>
    <n v="0"/>
    <n v="4998"/>
    <n v="4998"/>
    <x v="3"/>
    <x v="0"/>
    <n v="40"/>
    <n v="1"/>
    <n v="0"/>
  </r>
  <r>
    <s v="ORD-6653"/>
    <d v="2025-02-15T00:00:00"/>
    <x v="9"/>
    <s v="CUST-469"/>
    <x v="8"/>
    <x v="1"/>
    <x v="1"/>
    <x v="16"/>
    <x v="4"/>
    <n v="2"/>
    <n v="1599"/>
    <n v="0.1"/>
    <n v="159.9"/>
    <n v="3198"/>
    <n v="3038.1"/>
    <x v="2"/>
    <x v="0"/>
    <n v="0"/>
    <n v="0.95"/>
    <n v="0"/>
  </r>
  <r>
    <s v="ORD-6654"/>
    <d v="2025-06-09T00:00:00"/>
    <x v="11"/>
    <s v="CUST-763"/>
    <x v="2"/>
    <x v="2"/>
    <x v="2"/>
    <x v="17"/>
    <x v="1"/>
    <n v="1"/>
    <n v="2199"/>
    <n v="0"/>
    <n v="0"/>
    <n v="2199"/>
    <n v="2199"/>
    <x v="3"/>
    <x v="0"/>
    <n v="60"/>
    <n v="1"/>
    <n v="0"/>
  </r>
  <r>
    <s v="ORD-6655"/>
    <d v="2025-07-11T00:00:00"/>
    <x v="5"/>
    <s v="CUST-623"/>
    <x v="3"/>
    <x v="3"/>
    <x v="3"/>
    <x v="16"/>
    <x v="4"/>
    <n v="4"/>
    <n v="1599"/>
    <n v="0"/>
    <n v="0"/>
    <n v="6396"/>
    <n v="6396"/>
    <x v="0"/>
    <x v="0"/>
    <n v="40"/>
    <n v="1"/>
    <n v="0"/>
  </r>
  <r>
    <s v="ORD-6656"/>
    <d v="2025-04-09T00:00:00"/>
    <x v="6"/>
    <s v="CUST-224"/>
    <x v="3"/>
    <x v="3"/>
    <x v="3"/>
    <x v="13"/>
    <x v="2"/>
    <n v="1"/>
    <n v="449"/>
    <n v="0.2"/>
    <n v="89.800000000000011"/>
    <n v="449"/>
    <n v="359.2"/>
    <x v="3"/>
    <x v="0"/>
    <n v="40"/>
    <n v="0.79999999999999993"/>
    <n v="0"/>
  </r>
  <r>
    <s v="ORD-6657"/>
    <d v="2025-08-14T00:00:00"/>
    <x v="0"/>
    <s v="CUST-385"/>
    <x v="1"/>
    <x v="1"/>
    <x v="1"/>
    <x v="10"/>
    <x v="0"/>
    <n v="2"/>
    <n v="599"/>
    <n v="0.05"/>
    <n v="29.950000000000003"/>
    <n v="1198"/>
    <n v="1168.05"/>
    <x v="0"/>
    <x v="0"/>
    <n v="0"/>
    <n v="0.97499999999999998"/>
    <n v="0"/>
  </r>
  <r>
    <s v="ORD-6658"/>
    <d v="2025-05-06T00:00:00"/>
    <x v="8"/>
    <s v="CUST-229"/>
    <x v="1"/>
    <x v="1"/>
    <x v="1"/>
    <x v="9"/>
    <x v="1"/>
    <n v="1"/>
    <n v="1899"/>
    <n v="0"/>
    <n v="0"/>
    <n v="1899"/>
    <n v="1899"/>
    <x v="0"/>
    <x v="1"/>
    <n v="60"/>
    <n v="1"/>
    <n v="0"/>
  </r>
  <r>
    <s v="ORD-6659"/>
    <d v="2025-02-01T00:00:00"/>
    <x v="9"/>
    <s v="CUST-225"/>
    <x v="4"/>
    <x v="4"/>
    <x v="2"/>
    <x v="7"/>
    <x v="1"/>
    <n v="2"/>
    <n v="1299"/>
    <n v="0.15"/>
    <n v="194.85"/>
    <n v="2598"/>
    <n v="2403.15"/>
    <x v="0"/>
    <x v="0"/>
    <n v="0"/>
    <n v="0.92500000000000004"/>
    <n v="0"/>
  </r>
  <r>
    <s v="ORD-6660"/>
    <d v="2025-12-24T00:00:00"/>
    <x v="4"/>
    <s v="CUST-501"/>
    <x v="4"/>
    <x v="4"/>
    <x v="2"/>
    <x v="14"/>
    <x v="4"/>
    <n v="1"/>
    <n v="399"/>
    <n v="0.25"/>
    <n v="99.75"/>
    <n v="399"/>
    <n v="299.25"/>
    <x v="1"/>
    <x v="0"/>
    <n v="40"/>
    <n v="0.75"/>
    <n v="0"/>
  </r>
  <r>
    <s v="ORD-6661"/>
    <d v="2025-05-26T00:00:00"/>
    <x v="8"/>
    <s v="CUST-639"/>
    <x v="9"/>
    <x v="8"/>
    <x v="1"/>
    <x v="12"/>
    <x v="1"/>
    <n v="2"/>
    <n v="799"/>
    <n v="0.1"/>
    <n v="79.900000000000006"/>
    <n v="1598"/>
    <n v="1518.1"/>
    <x v="3"/>
    <x v="0"/>
    <n v="0"/>
    <n v="0.95"/>
    <n v="0"/>
  </r>
  <r>
    <s v="ORD-6662"/>
    <d v="2025-06-08T00:00:00"/>
    <x v="11"/>
    <s v="CUST-486"/>
    <x v="0"/>
    <x v="0"/>
    <x v="0"/>
    <x v="6"/>
    <x v="0"/>
    <n v="1"/>
    <n v="1599"/>
    <n v="0.25"/>
    <n v="399.75"/>
    <n v="1599"/>
    <n v="1199.25"/>
    <x v="0"/>
    <x v="0"/>
    <n v="80"/>
    <n v="0.75"/>
    <n v="0"/>
  </r>
  <r>
    <s v="ORD-6663"/>
    <d v="2025-06-09T00:00:00"/>
    <x v="11"/>
    <s v="CUST-324"/>
    <x v="8"/>
    <x v="1"/>
    <x v="1"/>
    <x v="21"/>
    <x v="4"/>
    <n v="3"/>
    <n v="699"/>
    <n v="0.2"/>
    <n v="139.80000000000001"/>
    <n v="2097"/>
    <n v="1957.2"/>
    <x v="3"/>
    <x v="0"/>
    <n v="0"/>
    <n v="0.93333333333333335"/>
    <n v="0"/>
  </r>
  <r>
    <s v="ORD-6664"/>
    <d v="2025-02-20T00:00:00"/>
    <x v="9"/>
    <s v="CUST-579"/>
    <x v="1"/>
    <x v="1"/>
    <x v="1"/>
    <x v="9"/>
    <x v="1"/>
    <n v="1"/>
    <n v="1899"/>
    <n v="0.1"/>
    <n v="189.9"/>
    <n v="1899"/>
    <n v="1709.1"/>
    <x v="3"/>
    <x v="1"/>
    <n v="80"/>
    <n v="0.89999999999999991"/>
    <n v="0"/>
  </r>
  <r>
    <s v="ORD-6665"/>
    <d v="2025-04-29T00:00:00"/>
    <x v="6"/>
    <s v="CUST-605"/>
    <x v="7"/>
    <x v="7"/>
    <x v="1"/>
    <x v="12"/>
    <x v="1"/>
    <n v="1"/>
    <n v="799"/>
    <n v="0.05"/>
    <n v="39.950000000000003"/>
    <n v="799"/>
    <n v="759.05"/>
    <x v="1"/>
    <x v="0"/>
    <n v="0"/>
    <n v="0.95"/>
    <n v="0"/>
  </r>
  <r>
    <s v="ORD-6666"/>
    <d v="2025-11-09T00:00:00"/>
    <x v="10"/>
    <s v="CUST-406"/>
    <x v="1"/>
    <x v="1"/>
    <x v="1"/>
    <x v="12"/>
    <x v="1"/>
    <n v="1"/>
    <n v="799"/>
    <n v="0.25"/>
    <n v="199.75"/>
    <n v="799"/>
    <n v="599.25"/>
    <x v="3"/>
    <x v="0"/>
    <n v="60"/>
    <n v="0.75"/>
    <n v="0"/>
  </r>
  <r>
    <s v="ORD-6667"/>
    <d v="2025-06-08T00:00:00"/>
    <x v="11"/>
    <s v="CUST-722"/>
    <x v="4"/>
    <x v="4"/>
    <x v="2"/>
    <x v="12"/>
    <x v="1"/>
    <n v="1"/>
    <n v="799"/>
    <n v="0.1"/>
    <n v="79.900000000000006"/>
    <n v="799"/>
    <n v="719.1"/>
    <x v="0"/>
    <x v="0"/>
    <n v="60"/>
    <n v="0.9"/>
    <n v="0"/>
  </r>
  <r>
    <s v="ORD-6668"/>
    <d v="2025-04-07T00:00:00"/>
    <x v="6"/>
    <s v="CUST-509"/>
    <x v="3"/>
    <x v="3"/>
    <x v="3"/>
    <x v="9"/>
    <x v="1"/>
    <n v="2"/>
    <n v="1899"/>
    <n v="0.1"/>
    <n v="189.9"/>
    <n v="3798"/>
    <n v="3608.1"/>
    <x v="0"/>
    <x v="0"/>
    <n v="40"/>
    <n v="0.95"/>
    <n v="0"/>
  </r>
  <r>
    <s v="ORD-6669"/>
    <d v="2025-02-20T00:00:00"/>
    <x v="9"/>
    <s v="CUST-719"/>
    <x v="4"/>
    <x v="4"/>
    <x v="2"/>
    <x v="15"/>
    <x v="3"/>
    <n v="2"/>
    <n v="299"/>
    <n v="0.2"/>
    <n v="59.800000000000004"/>
    <n v="598"/>
    <n v="538.20000000000005"/>
    <x v="3"/>
    <x v="0"/>
    <n v="0"/>
    <n v="0.9"/>
    <n v="0"/>
  </r>
  <r>
    <s v="ORD-6670"/>
    <d v="2025-10-26T00:00:00"/>
    <x v="2"/>
    <s v="CUST-538"/>
    <x v="2"/>
    <x v="2"/>
    <x v="2"/>
    <x v="17"/>
    <x v="1"/>
    <n v="2"/>
    <n v="2199"/>
    <n v="0.05"/>
    <n v="109.95"/>
    <n v="4398"/>
    <n v="4288.05"/>
    <x v="2"/>
    <x v="0"/>
    <n v="40"/>
    <n v="0.97500000000000009"/>
    <n v="0"/>
  </r>
  <r>
    <s v="ORD-6671"/>
    <d v="2025-05-21T00:00:00"/>
    <x v="8"/>
    <s v="CUST-757"/>
    <x v="0"/>
    <x v="0"/>
    <x v="0"/>
    <x v="7"/>
    <x v="1"/>
    <n v="2"/>
    <n v="1299"/>
    <n v="0.2"/>
    <n v="259.8"/>
    <n v="2598"/>
    <n v="2338.1999999999998"/>
    <x v="3"/>
    <x v="0"/>
    <n v="0"/>
    <n v="0.89999999999999991"/>
    <n v="0"/>
  </r>
  <r>
    <s v="ORD-6672"/>
    <d v="2025-04-06T00:00:00"/>
    <x v="6"/>
    <s v="CUST-372"/>
    <x v="3"/>
    <x v="3"/>
    <x v="3"/>
    <x v="8"/>
    <x v="1"/>
    <n v="2"/>
    <n v="2499"/>
    <n v="0.05"/>
    <n v="124.95"/>
    <n v="4998"/>
    <n v="4873.05"/>
    <x v="3"/>
    <x v="0"/>
    <n v="40"/>
    <n v="0.97500000000000009"/>
    <n v="0"/>
  </r>
  <r>
    <s v="ORD-6673"/>
    <d v="2025-07-11T00:00:00"/>
    <x v="5"/>
    <s v="CUST-681"/>
    <x v="3"/>
    <x v="3"/>
    <x v="3"/>
    <x v="17"/>
    <x v="1"/>
    <n v="1"/>
    <n v="2199"/>
    <n v="0.1"/>
    <n v="219.9"/>
    <n v="2199"/>
    <n v="1979.1"/>
    <x v="3"/>
    <x v="0"/>
    <n v="80"/>
    <n v="0.89999999999999991"/>
    <n v="0"/>
  </r>
  <r>
    <s v="ORD-6674"/>
    <d v="2025-09-16T00:00:00"/>
    <x v="3"/>
    <s v="CUST-829"/>
    <x v="2"/>
    <x v="2"/>
    <x v="2"/>
    <x v="12"/>
    <x v="1"/>
    <n v="4"/>
    <n v="799"/>
    <n v="0.25"/>
    <n v="199.75"/>
    <n v="3196"/>
    <n v="2996.25"/>
    <x v="0"/>
    <x v="1"/>
    <n v="80"/>
    <n v="0.9375"/>
    <n v="0"/>
  </r>
  <r>
    <s v="ORD-6675"/>
    <d v="2025-07-31T00:00:00"/>
    <x v="5"/>
    <s v="CUST-478"/>
    <x v="1"/>
    <x v="1"/>
    <x v="1"/>
    <x v="5"/>
    <x v="0"/>
    <n v="1"/>
    <n v="2299"/>
    <n v="0"/>
    <n v="0"/>
    <n v="2299"/>
    <n v="2299"/>
    <x v="2"/>
    <x v="0"/>
    <n v="60"/>
    <n v="1"/>
    <n v="0"/>
  </r>
  <r>
    <s v="ORD-6676"/>
    <d v="2025-01-31T00:00:00"/>
    <x v="7"/>
    <s v="CUST-204"/>
    <x v="4"/>
    <x v="4"/>
    <x v="2"/>
    <x v="19"/>
    <x v="2"/>
    <n v="2"/>
    <n v="1499"/>
    <n v="0.15"/>
    <n v="224.85"/>
    <n v="2998"/>
    <n v="2773.15"/>
    <x v="1"/>
    <x v="0"/>
    <n v="80"/>
    <n v="0.92500000000000004"/>
    <n v="0"/>
  </r>
  <r>
    <s v="ORD-6677"/>
    <d v="2025-02-26T00:00:00"/>
    <x v="9"/>
    <s v="CUST-718"/>
    <x v="6"/>
    <x v="6"/>
    <x v="2"/>
    <x v="20"/>
    <x v="3"/>
    <n v="3"/>
    <n v="499"/>
    <n v="0.1"/>
    <n v="49.900000000000006"/>
    <n v="1497"/>
    <n v="1447.1"/>
    <x v="0"/>
    <x v="0"/>
    <n v="80"/>
    <n v="0.96666666666666656"/>
    <n v="0"/>
  </r>
  <r>
    <s v="ORD-6678"/>
    <d v="2025-04-12T00:00:00"/>
    <x v="6"/>
    <s v="CUST-396"/>
    <x v="4"/>
    <x v="4"/>
    <x v="2"/>
    <x v="12"/>
    <x v="1"/>
    <n v="2"/>
    <n v="799"/>
    <n v="0"/>
    <n v="0"/>
    <n v="1598"/>
    <n v="1598"/>
    <x v="1"/>
    <x v="0"/>
    <n v="40"/>
    <n v="1"/>
    <n v="0"/>
  </r>
  <r>
    <s v="ORD-6679"/>
    <d v="2025-08-29T00:00:00"/>
    <x v="0"/>
    <s v="CUST-714"/>
    <x v="6"/>
    <x v="6"/>
    <x v="2"/>
    <x v="8"/>
    <x v="1"/>
    <n v="1"/>
    <n v="2499"/>
    <n v="0"/>
    <n v="0"/>
    <n v="2499"/>
    <n v="2499"/>
    <x v="1"/>
    <x v="0"/>
    <n v="60"/>
    <n v="1"/>
    <n v="0"/>
  </r>
  <r>
    <s v="ORD-6680"/>
    <d v="2025-07-04T00:00:00"/>
    <x v="5"/>
    <s v="CUST-370"/>
    <x v="0"/>
    <x v="0"/>
    <x v="0"/>
    <x v="9"/>
    <x v="1"/>
    <n v="1"/>
    <n v="1899"/>
    <n v="0.25"/>
    <n v="474.75"/>
    <n v="1899"/>
    <n v="1424.25"/>
    <x v="0"/>
    <x v="0"/>
    <n v="40"/>
    <n v="0.75"/>
    <n v="0"/>
  </r>
  <r>
    <s v="ORD-6681"/>
    <d v="2025-09-22T00:00:00"/>
    <x v="3"/>
    <s v="CUST-752"/>
    <x v="6"/>
    <x v="6"/>
    <x v="2"/>
    <x v="17"/>
    <x v="1"/>
    <n v="4"/>
    <n v="2199"/>
    <n v="0.25"/>
    <n v="549.75"/>
    <n v="8796"/>
    <n v="8246.25"/>
    <x v="3"/>
    <x v="0"/>
    <n v="0"/>
    <n v="0.9375"/>
    <n v="0"/>
  </r>
  <r>
    <s v="ORD-6682"/>
    <d v="2025-06-30T00:00:00"/>
    <x v="11"/>
    <s v="CUST-538"/>
    <x v="3"/>
    <x v="3"/>
    <x v="3"/>
    <x v="0"/>
    <x v="0"/>
    <n v="1"/>
    <n v="1799"/>
    <n v="0.1"/>
    <n v="179.9"/>
    <n v="1799"/>
    <n v="1619.1"/>
    <x v="1"/>
    <x v="1"/>
    <n v="80"/>
    <n v="0.89999999999999991"/>
    <n v="0"/>
  </r>
  <r>
    <s v="ORD-6683"/>
    <d v="2025-05-21T00:00:00"/>
    <x v="8"/>
    <s v="CUST-628"/>
    <x v="1"/>
    <x v="1"/>
    <x v="1"/>
    <x v="3"/>
    <x v="0"/>
    <n v="1"/>
    <n v="899"/>
    <n v="0.05"/>
    <n v="44.95"/>
    <n v="899"/>
    <n v="854.05"/>
    <x v="3"/>
    <x v="0"/>
    <n v="0"/>
    <n v="0.95"/>
    <n v="0"/>
  </r>
  <r>
    <s v="ORD-6684"/>
    <d v="2025-10-26T00:00:00"/>
    <x v="2"/>
    <s v="CUST-794"/>
    <x v="0"/>
    <x v="0"/>
    <x v="0"/>
    <x v="8"/>
    <x v="1"/>
    <n v="1"/>
    <n v="2499"/>
    <n v="0.25"/>
    <n v="624.75"/>
    <n v="2499"/>
    <n v="1874.25"/>
    <x v="3"/>
    <x v="2"/>
    <n v="60"/>
    <n v="0.75"/>
    <n v="0"/>
  </r>
  <r>
    <s v="ORD-6685"/>
    <d v="2025-05-22T00:00:00"/>
    <x v="8"/>
    <s v="CUST-397"/>
    <x v="6"/>
    <x v="6"/>
    <x v="2"/>
    <x v="16"/>
    <x v="4"/>
    <n v="1"/>
    <n v="1599"/>
    <n v="0"/>
    <n v="0"/>
    <n v="1599"/>
    <n v="1599"/>
    <x v="3"/>
    <x v="0"/>
    <n v="40"/>
    <n v="1"/>
    <n v="0"/>
  </r>
  <r>
    <s v="ORD-6686"/>
    <d v="2025-10-23T00:00:00"/>
    <x v="2"/>
    <s v="CUST-347"/>
    <x v="1"/>
    <x v="1"/>
    <x v="1"/>
    <x v="14"/>
    <x v="4"/>
    <n v="1"/>
    <n v="399"/>
    <n v="0.1"/>
    <n v="39.900000000000006"/>
    <n v="399"/>
    <n v="359.1"/>
    <x v="3"/>
    <x v="0"/>
    <n v="80"/>
    <n v="0.9"/>
    <n v="0"/>
  </r>
  <r>
    <s v="ORD-6687"/>
    <d v="2025-01-23T00:00:00"/>
    <x v="7"/>
    <s v="CUST-875"/>
    <x v="4"/>
    <x v="4"/>
    <x v="2"/>
    <x v="22"/>
    <x v="2"/>
    <n v="2"/>
    <n v="3299"/>
    <n v="0"/>
    <n v="0"/>
    <n v="6598"/>
    <n v="6598"/>
    <x v="3"/>
    <x v="0"/>
    <n v="40"/>
    <n v="1"/>
    <n v="0"/>
  </r>
  <r>
    <s v="ORD-6688"/>
    <d v="2025-05-10T00:00:00"/>
    <x v="8"/>
    <s v="CUST-669"/>
    <x v="2"/>
    <x v="2"/>
    <x v="2"/>
    <x v="1"/>
    <x v="1"/>
    <n v="3"/>
    <n v="3999"/>
    <n v="0.05"/>
    <n v="199.95000000000002"/>
    <n v="11997"/>
    <n v="11797.05"/>
    <x v="3"/>
    <x v="0"/>
    <n v="60"/>
    <n v="0.98333333333333328"/>
    <n v="0"/>
  </r>
  <r>
    <s v="ORD-6689"/>
    <d v="2025-02-21T00:00:00"/>
    <x v="9"/>
    <s v="CUST-581"/>
    <x v="3"/>
    <x v="3"/>
    <x v="3"/>
    <x v="14"/>
    <x v="4"/>
    <n v="3"/>
    <n v="399"/>
    <n v="0"/>
    <n v="0"/>
    <n v="1197"/>
    <n v="1197"/>
    <x v="2"/>
    <x v="0"/>
    <n v="60"/>
    <n v="1"/>
    <n v="0"/>
  </r>
  <r>
    <s v="ORD-6690"/>
    <d v="2025-02-02T00:00:00"/>
    <x v="9"/>
    <s v="CUST-573"/>
    <x v="9"/>
    <x v="8"/>
    <x v="1"/>
    <x v="10"/>
    <x v="0"/>
    <n v="5"/>
    <n v="599"/>
    <n v="0.05"/>
    <n v="29.950000000000003"/>
    <n v="2995"/>
    <n v="2965.05"/>
    <x v="2"/>
    <x v="0"/>
    <n v="80"/>
    <n v="0.9900000000000001"/>
    <n v="0"/>
  </r>
  <r>
    <s v="ORD-6691"/>
    <d v="2025-11-08T00:00:00"/>
    <x v="10"/>
    <s v="CUST-890"/>
    <x v="4"/>
    <x v="4"/>
    <x v="2"/>
    <x v="16"/>
    <x v="4"/>
    <n v="5"/>
    <n v="1599"/>
    <n v="0.1"/>
    <n v="159.9"/>
    <n v="7995"/>
    <n v="7835.1"/>
    <x v="0"/>
    <x v="0"/>
    <n v="80"/>
    <n v="0.98000000000000009"/>
    <n v="0"/>
  </r>
  <r>
    <s v="ORD-6692"/>
    <d v="2025-12-12T00:00:00"/>
    <x v="4"/>
    <s v="CUST-692"/>
    <x v="4"/>
    <x v="4"/>
    <x v="2"/>
    <x v="22"/>
    <x v="2"/>
    <n v="2"/>
    <n v="3299"/>
    <n v="0.1"/>
    <n v="329.90000000000003"/>
    <n v="6598"/>
    <n v="6268.1"/>
    <x v="1"/>
    <x v="0"/>
    <n v="60"/>
    <n v="0.95000000000000007"/>
    <n v="0"/>
  </r>
  <r>
    <s v="ORD-6693"/>
    <d v="2025-10-12T00:00:00"/>
    <x v="2"/>
    <s v="CUST-416"/>
    <x v="4"/>
    <x v="4"/>
    <x v="2"/>
    <x v="12"/>
    <x v="1"/>
    <n v="1"/>
    <n v="799"/>
    <n v="0.25"/>
    <n v="199.75"/>
    <n v="799"/>
    <n v="599.25"/>
    <x v="0"/>
    <x v="0"/>
    <n v="80"/>
    <n v="0.75"/>
    <n v="0"/>
  </r>
  <r>
    <s v="ORD-6694"/>
    <d v="2025-07-19T00:00:00"/>
    <x v="5"/>
    <s v="CUST-435"/>
    <x v="1"/>
    <x v="1"/>
    <x v="1"/>
    <x v="20"/>
    <x v="3"/>
    <n v="2"/>
    <n v="499"/>
    <n v="0"/>
    <n v="0"/>
    <n v="998"/>
    <n v="998"/>
    <x v="3"/>
    <x v="0"/>
    <n v="80"/>
    <n v="1"/>
    <n v="0"/>
  </r>
  <r>
    <s v="ORD-6695"/>
    <d v="2025-11-14T00:00:00"/>
    <x v="10"/>
    <s v="CUST-290"/>
    <x v="4"/>
    <x v="4"/>
    <x v="2"/>
    <x v="10"/>
    <x v="0"/>
    <n v="1"/>
    <n v="599"/>
    <n v="0.2"/>
    <n v="119.80000000000001"/>
    <n v="599"/>
    <n v="479.2"/>
    <x v="3"/>
    <x v="0"/>
    <n v="80"/>
    <n v="0.79999999999999993"/>
    <n v="0"/>
  </r>
  <r>
    <s v="ORD-6696"/>
    <d v="2025-11-09T00:00:00"/>
    <x v="10"/>
    <s v="CUST-433"/>
    <x v="1"/>
    <x v="1"/>
    <x v="1"/>
    <x v="22"/>
    <x v="2"/>
    <n v="1"/>
    <n v="3299"/>
    <n v="0.1"/>
    <n v="329.90000000000003"/>
    <n v="3299"/>
    <n v="2969.1"/>
    <x v="2"/>
    <x v="0"/>
    <n v="80"/>
    <n v="0.9"/>
    <n v="0"/>
  </r>
  <r>
    <s v="ORD-6697"/>
    <d v="2025-06-14T00:00:00"/>
    <x v="11"/>
    <s v="CUST-749"/>
    <x v="4"/>
    <x v="4"/>
    <x v="2"/>
    <x v="14"/>
    <x v="4"/>
    <n v="3"/>
    <n v="399"/>
    <n v="0.1"/>
    <n v="39.900000000000006"/>
    <n v="1197"/>
    <n v="1157.0999999999999"/>
    <x v="3"/>
    <x v="0"/>
    <n v="60"/>
    <n v="0.96666666666666656"/>
    <n v="0"/>
  </r>
  <r>
    <s v="ORD-6698"/>
    <d v="2025-10-07T00:00:00"/>
    <x v="2"/>
    <s v="CUST-420"/>
    <x v="9"/>
    <x v="8"/>
    <x v="1"/>
    <x v="18"/>
    <x v="4"/>
    <n v="2"/>
    <n v="1299"/>
    <n v="0.05"/>
    <n v="64.95"/>
    <n v="2598"/>
    <n v="2533.0500000000002"/>
    <x v="3"/>
    <x v="0"/>
    <n v="40"/>
    <n v="0.97500000000000009"/>
    <n v="0"/>
  </r>
  <r>
    <s v="ORD-6699"/>
    <d v="2025-01-17T00:00:00"/>
    <x v="7"/>
    <s v="CUST-363"/>
    <x v="3"/>
    <x v="3"/>
    <x v="3"/>
    <x v="20"/>
    <x v="3"/>
    <n v="1"/>
    <n v="499"/>
    <n v="0.25"/>
    <n v="124.75"/>
    <n v="499"/>
    <n v="374.25"/>
    <x v="3"/>
    <x v="0"/>
    <n v="40"/>
    <n v="0.75"/>
    <n v="0"/>
  </r>
  <r>
    <s v="ORD-6700"/>
    <d v="2025-09-01T00:00:00"/>
    <x v="3"/>
    <s v="CUST-389"/>
    <x v="1"/>
    <x v="1"/>
    <x v="1"/>
    <x v="2"/>
    <x v="2"/>
    <n v="3"/>
    <n v="2799"/>
    <n v="0.1"/>
    <n v="279.90000000000003"/>
    <n v="8397"/>
    <n v="8117.1"/>
    <x v="0"/>
    <x v="0"/>
    <n v="80"/>
    <n v="0.96666666666666667"/>
    <n v="0"/>
  </r>
  <r>
    <s v="ORD-6701"/>
    <d v="2025-04-19T00:00:00"/>
    <x v="6"/>
    <s v="CUST-777"/>
    <x v="4"/>
    <x v="4"/>
    <x v="2"/>
    <x v="3"/>
    <x v="0"/>
    <n v="1"/>
    <n v="899"/>
    <n v="0.1"/>
    <n v="89.9"/>
    <n v="899"/>
    <n v="809.1"/>
    <x v="0"/>
    <x v="2"/>
    <n v="80"/>
    <n v="0.9"/>
    <n v="0"/>
  </r>
  <r>
    <s v="ORD-6702"/>
    <d v="2025-12-16T00:00:00"/>
    <x v="4"/>
    <s v="CUST-359"/>
    <x v="4"/>
    <x v="4"/>
    <x v="2"/>
    <x v="1"/>
    <x v="1"/>
    <n v="1"/>
    <n v="3999"/>
    <n v="0.05"/>
    <n v="199.95000000000002"/>
    <n v="3999"/>
    <n v="3799.05"/>
    <x v="2"/>
    <x v="2"/>
    <n v="0"/>
    <n v="0.95000000000000007"/>
    <n v="0"/>
  </r>
  <r>
    <s v="ORD-6703"/>
    <d v="2025-07-17T00:00:00"/>
    <x v="5"/>
    <s v="CUST-604"/>
    <x v="2"/>
    <x v="2"/>
    <x v="2"/>
    <x v="8"/>
    <x v="1"/>
    <n v="2"/>
    <n v="2499"/>
    <n v="0.15"/>
    <n v="374.84999999999997"/>
    <n v="4998"/>
    <n v="4623.1499999999996"/>
    <x v="3"/>
    <x v="0"/>
    <n v="40"/>
    <n v="0.92499999999999993"/>
    <n v="0"/>
  </r>
  <r>
    <s v="ORD-6704"/>
    <d v="2025-01-05T00:00:00"/>
    <x v="7"/>
    <s v="CUST-255"/>
    <x v="1"/>
    <x v="1"/>
    <x v="1"/>
    <x v="22"/>
    <x v="2"/>
    <n v="2"/>
    <n v="3299"/>
    <n v="0.1"/>
    <n v="329.90000000000003"/>
    <n v="6598"/>
    <n v="6268.1"/>
    <x v="3"/>
    <x v="0"/>
    <n v="0"/>
    <n v="0.95000000000000007"/>
    <n v="0"/>
  </r>
  <r>
    <s v="ORD-6705"/>
    <d v="2025-02-13T00:00:00"/>
    <x v="9"/>
    <s v="CUST-780"/>
    <x v="2"/>
    <x v="2"/>
    <x v="2"/>
    <x v="8"/>
    <x v="1"/>
    <n v="4"/>
    <n v="2499"/>
    <n v="0.1"/>
    <n v="249.9"/>
    <n v="9996"/>
    <n v="9746.1"/>
    <x v="3"/>
    <x v="0"/>
    <n v="0"/>
    <n v="0.97500000000000009"/>
    <n v="0"/>
  </r>
  <r>
    <s v="ORD-6706"/>
    <d v="2025-01-30T00:00:00"/>
    <x v="7"/>
    <s v="CUST-787"/>
    <x v="9"/>
    <x v="8"/>
    <x v="1"/>
    <x v="2"/>
    <x v="2"/>
    <n v="1"/>
    <n v="2799"/>
    <n v="0.05"/>
    <n v="139.95000000000002"/>
    <n v="2799"/>
    <n v="2659.05"/>
    <x v="2"/>
    <x v="0"/>
    <n v="40"/>
    <n v="0.95000000000000007"/>
    <n v="0"/>
  </r>
  <r>
    <s v="ORD-6707"/>
    <d v="2025-03-19T00:00:00"/>
    <x v="1"/>
    <s v="CUST-757"/>
    <x v="6"/>
    <x v="6"/>
    <x v="2"/>
    <x v="10"/>
    <x v="0"/>
    <n v="4"/>
    <n v="599"/>
    <n v="0.25"/>
    <n v="149.75"/>
    <n v="2396"/>
    <n v="2246.25"/>
    <x v="3"/>
    <x v="0"/>
    <n v="60"/>
    <n v="0.9375"/>
    <n v="0"/>
  </r>
  <r>
    <s v="ORD-6708"/>
    <d v="2025-09-19T00:00:00"/>
    <x v="3"/>
    <s v="CUST-465"/>
    <x v="1"/>
    <x v="1"/>
    <x v="1"/>
    <x v="14"/>
    <x v="4"/>
    <n v="2"/>
    <n v="399"/>
    <n v="0.15"/>
    <n v="59.849999999999994"/>
    <n v="798"/>
    <n v="738.15"/>
    <x v="3"/>
    <x v="0"/>
    <n v="0"/>
    <n v="0.92499999999999993"/>
    <n v="0"/>
  </r>
  <r>
    <s v="ORD-6709"/>
    <d v="2025-10-26T00:00:00"/>
    <x v="2"/>
    <s v="CUST-439"/>
    <x v="6"/>
    <x v="6"/>
    <x v="2"/>
    <x v="3"/>
    <x v="0"/>
    <n v="5"/>
    <n v="899"/>
    <n v="0"/>
    <n v="0"/>
    <n v="4495"/>
    <n v="4495"/>
    <x v="3"/>
    <x v="0"/>
    <n v="40"/>
    <n v="1"/>
    <n v="0"/>
  </r>
  <r>
    <s v="ORD-6710"/>
    <d v="2025-03-19T00:00:00"/>
    <x v="1"/>
    <s v="CUST-539"/>
    <x v="4"/>
    <x v="4"/>
    <x v="2"/>
    <x v="3"/>
    <x v="0"/>
    <n v="1"/>
    <n v="899"/>
    <n v="0.05"/>
    <n v="44.95"/>
    <n v="899"/>
    <n v="854.05"/>
    <x v="1"/>
    <x v="1"/>
    <n v="0"/>
    <n v="0.95"/>
    <n v="0"/>
  </r>
  <r>
    <s v="ORD-6711"/>
    <d v="2025-01-08T00:00:00"/>
    <x v="7"/>
    <s v="CUST-825"/>
    <x v="2"/>
    <x v="2"/>
    <x v="2"/>
    <x v="2"/>
    <x v="2"/>
    <n v="2"/>
    <n v="2799"/>
    <n v="0.05"/>
    <n v="139.95000000000002"/>
    <n v="5598"/>
    <n v="5458.05"/>
    <x v="2"/>
    <x v="0"/>
    <n v="80"/>
    <n v="0.97499999999999998"/>
    <n v="0"/>
  </r>
  <r>
    <s v="ORD-6788"/>
    <d v="2025-10-12T00:00:00"/>
    <x v="2"/>
    <s v="CUST-502"/>
    <x v="6"/>
    <x v="6"/>
    <x v="2"/>
    <x v="7"/>
    <x v="1"/>
    <n v="1"/>
    <n v="1299"/>
    <n v="0.25"/>
    <n v="324.75"/>
    <n v="1299"/>
    <n v="974.25"/>
    <x v="2"/>
    <x v="2"/>
    <n v="60"/>
    <n v="0.75"/>
    <n v="0"/>
  </r>
  <r>
    <s v="ORD-6712"/>
    <d v="2025-01-26T00:00:00"/>
    <x v="7"/>
    <s v="CUST-360"/>
    <x v="0"/>
    <x v="0"/>
    <x v="0"/>
    <x v="1"/>
    <x v="1"/>
    <n v="1"/>
    <n v="3999"/>
    <n v="0.25"/>
    <n v="999.75"/>
    <n v="3999"/>
    <n v="2999.25"/>
    <x v="3"/>
    <x v="0"/>
    <n v="40"/>
    <n v="0.75"/>
    <n v="0"/>
  </r>
  <r>
    <s v="ORD-6713"/>
    <d v="2025-09-16T00:00:00"/>
    <x v="3"/>
    <s v="CUST-553"/>
    <x v="3"/>
    <x v="3"/>
    <x v="3"/>
    <x v="2"/>
    <x v="2"/>
    <n v="2"/>
    <n v="2799"/>
    <n v="0.1"/>
    <n v="279.90000000000003"/>
    <n v="5598"/>
    <n v="5318.1"/>
    <x v="2"/>
    <x v="0"/>
    <n v="60"/>
    <n v="0.95000000000000007"/>
    <n v="0"/>
  </r>
  <r>
    <s v="ORD-6714"/>
    <d v="2025-03-06T00:00:00"/>
    <x v="1"/>
    <s v="CUST-538"/>
    <x v="1"/>
    <x v="1"/>
    <x v="1"/>
    <x v="0"/>
    <x v="0"/>
    <n v="2"/>
    <n v="1799"/>
    <n v="0"/>
    <n v="0"/>
    <n v="3598"/>
    <n v="3598"/>
    <x v="0"/>
    <x v="0"/>
    <n v="40"/>
    <n v="1"/>
    <n v="0"/>
  </r>
  <r>
    <s v="ORD-6715"/>
    <d v="2025-07-23T00:00:00"/>
    <x v="5"/>
    <s v="CUST-310"/>
    <x v="3"/>
    <x v="3"/>
    <x v="3"/>
    <x v="11"/>
    <x v="2"/>
    <n v="2"/>
    <n v="5499"/>
    <n v="0.25"/>
    <n v="1374.75"/>
    <n v="10998"/>
    <n v="9623.25"/>
    <x v="3"/>
    <x v="0"/>
    <n v="60"/>
    <n v="0.875"/>
    <n v="0"/>
  </r>
  <r>
    <s v="ORD-6716"/>
    <d v="2025-05-19T00:00:00"/>
    <x v="8"/>
    <s v="CUST-233"/>
    <x v="2"/>
    <x v="2"/>
    <x v="2"/>
    <x v="3"/>
    <x v="0"/>
    <n v="1"/>
    <n v="899"/>
    <n v="0.25"/>
    <n v="224.75"/>
    <n v="899"/>
    <n v="674.25"/>
    <x v="2"/>
    <x v="2"/>
    <n v="80"/>
    <n v="0.75"/>
    <n v="0"/>
  </r>
  <r>
    <s v="ORD-6717"/>
    <d v="2025-07-02T00:00:00"/>
    <x v="5"/>
    <s v="CUST-682"/>
    <x v="4"/>
    <x v="4"/>
    <x v="2"/>
    <x v="4"/>
    <x v="3"/>
    <n v="1"/>
    <n v="349"/>
    <n v="0.15"/>
    <n v="52.35"/>
    <n v="349"/>
    <n v="296.64999999999998"/>
    <x v="3"/>
    <x v="0"/>
    <n v="0"/>
    <n v="0.85"/>
    <n v="0"/>
  </r>
  <r>
    <s v="ORD-6718"/>
    <d v="2025-04-04T00:00:00"/>
    <x v="6"/>
    <s v="CUST-845"/>
    <x v="0"/>
    <x v="0"/>
    <x v="0"/>
    <x v="8"/>
    <x v="1"/>
    <n v="2"/>
    <n v="2499"/>
    <n v="0"/>
    <n v="0"/>
    <n v="4998"/>
    <n v="4998"/>
    <x v="0"/>
    <x v="0"/>
    <n v="40"/>
    <n v="1"/>
    <n v="0"/>
  </r>
  <r>
    <s v="ORD-6719"/>
    <d v="2025-02-28T00:00:00"/>
    <x v="9"/>
    <s v="CUST-481"/>
    <x v="3"/>
    <x v="3"/>
    <x v="3"/>
    <x v="0"/>
    <x v="0"/>
    <n v="1"/>
    <n v="1799"/>
    <n v="0"/>
    <n v="0"/>
    <n v="1799"/>
    <n v="1799"/>
    <x v="0"/>
    <x v="1"/>
    <n v="60"/>
    <n v="1"/>
    <n v="0"/>
  </r>
  <r>
    <s v="ORD-6720"/>
    <d v="2025-02-02T00:00:00"/>
    <x v="9"/>
    <s v="CUST-658"/>
    <x v="3"/>
    <x v="3"/>
    <x v="3"/>
    <x v="13"/>
    <x v="2"/>
    <n v="1"/>
    <n v="449"/>
    <n v="0.1"/>
    <n v="44.900000000000006"/>
    <n v="449"/>
    <n v="404.1"/>
    <x v="0"/>
    <x v="0"/>
    <n v="80"/>
    <n v="0.9"/>
    <n v="0"/>
  </r>
  <r>
    <s v="ORD-6721"/>
    <d v="2025-11-18T00:00:00"/>
    <x v="10"/>
    <s v="CUST-813"/>
    <x v="3"/>
    <x v="3"/>
    <x v="3"/>
    <x v="5"/>
    <x v="0"/>
    <n v="2"/>
    <n v="2299"/>
    <n v="0.15"/>
    <n v="344.84999999999997"/>
    <n v="4598"/>
    <n v="4253.1499999999996"/>
    <x v="2"/>
    <x v="0"/>
    <n v="60"/>
    <n v="0.92499999999999993"/>
    <n v="0"/>
  </r>
  <r>
    <s v="ORD-6722"/>
    <d v="2025-03-25T00:00:00"/>
    <x v="1"/>
    <s v="CUST-796"/>
    <x v="3"/>
    <x v="3"/>
    <x v="3"/>
    <x v="9"/>
    <x v="1"/>
    <n v="1"/>
    <n v="1899"/>
    <n v="0.25"/>
    <n v="474.75"/>
    <n v="1899"/>
    <n v="1424.25"/>
    <x v="3"/>
    <x v="0"/>
    <n v="0"/>
    <n v="0.75"/>
    <n v="0"/>
  </r>
  <r>
    <s v="ORD-6723"/>
    <d v="2025-12-30T00:00:00"/>
    <x v="4"/>
    <s v="CUST-202"/>
    <x v="1"/>
    <x v="1"/>
    <x v="1"/>
    <x v="5"/>
    <x v="0"/>
    <n v="1"/>
    <n v="2299"/>
    <n v="0.15"/>
    <n v="344.84999999999997"/>
    <n v="2299"/>
    <n v="1954.15"/>
    <x v="0"/>
    <x v="0"/>
    <n v="80"/>
    <n v="0.85000000000000009"/>
    <n v="0"/>
  </r>
  <r>
    <s v="ORD-6724"/>
    <d v="2025-02-12T00:00:00"/>
    <x v="9"/>
    <s v="CUST-624"/>
    <x v="6"/>
    <x v="6"/>
    <x v="2"/>
    <x v="16"/>
    <x v="4"/>
    <n v="2"/>
    <n v="1599"/>
    <n v="0.1"/>
    <n v="159.9"/>
    <n v="3198"/>
    <n v="3038.1"/>
    <x v="0"/>
    <x v="0"/>
    <n v="40"/>
    <n v="0.95"/>
    <n v="0"/>
  </r>
  <r>
    <s v="ORD-6725"/>
    <d v="2025-05-31T00:00:00"/>
    <x v="8"/>
    <s v="CUST-866"/>
    <x v="1"/>
    <x v="1"/>
    <x v="1"/>
    <x v="9"/>
    <x v="1"/>
    <n v="3"/>
    <n v="1899"/>
    <n v="0.25"/>
    <n v="474.75"/>
    <n v="5697"/>
    <n v="5222.25"/>
    <x v="3"/>
    <x v="2"/>
    <n v="0"/>
    <n v="0.91666666666666663"/>
    <n v="0"/>
  </r>
  <r>
    <s v="ORD-6726"/>
    <d v="2025-03-27T00:00:00"/>
    <x v="1"/>
    <s v="CUST-753"/>
    <x v="1"/>
    <x v="1"/>
    <x v="1"/>
    <x v="16"/>
    <x v="4"/>
    <n v="1"/>
    <n v="1599"/>
    <n v="0.1"/>
    <n v="159.9"/>
    <n v="1599"/>
    <n v="1439.1"/>
    <x v="3"/>
    <x v="0"/>
    <n v="40"/>
    <n v="0.89999999999999991"/>
    <n v="0"/>
  </r>
  <r>
    <s v="ORD-6727"/>
    <d v="2025-12-03T00:00:00"/>
    <x v="4"/>
    <s v="CUST-700"/>
    <x v="4"/>
    <x v="4"/>
    <x v="2"/>
    <x v="7"/>
    <x v="1"/>
    <n v="1"/>
    <n v="1299"/>
    <n v="0.05"/>
    <n v="64.95"/>
    <n v="1299"/>
    <n v="1234.05"/>
    <x v="0"/>
    <x v="0"/>
    <n v="0"/>
    <n v="0.95"/>
    <n v="0"/>
  </r>
  <r>
    <s v="ORD-6728"/>
    <d v="2025-11-20T00:00:00"/>
    <x v="10"/>
    <s v="CUST-737"/>
    <x v="0"/>
    <x v="0"/>
    <x v="0"/>
    <x v="11"/>
    <x v="2"/>
    <n v="4"/>
    <n v="5499"/>
    <n v="0.05"/>
    <n v="274.95"/>
    <n v="21996"/>
    <n v="21721.05"/>
    <x v="3"/>
    <x v="0"/>
    <n v="40"/>
    <n v="0.98749999999999993"/>
    <n v="0"/>
  </r>
  <r>
    <s v="ORD-6729"/>
    <d v="2025-06-30T00:00:00"/>
    <x v="11"/>
    <s v="CUST-787"/>
    <x v="4"/>
    <x v="4"/>
    <x v="2"/>
    <x v="4"/>
    <x v="3"/>
    <n v="3"/>
    <n v="349"/>
    <n v="0.1"/>
    <n v="34.9"/>
    <n v="1047"/>
    <n v="1012.1"/>
    <x v="0"/>
    <x v="0"/>
    <n v="0"/>
    <n v="0.96666666666666667"/>
    <n v="0"/>
  </r>
  <r>
    <s v="ORD-6730"/>
    <d v="2025-11-02T00:00:00"/>
    <x v="10"/>
    <s v="CUST-482"/>
    <x v="4"/>
    <x v="4"/>
    <x v="2"/>
    <x v="6"/>
    <x v="0"/>
    <n v="3"/>
    <n v="1599"/>
    <n v="0"/>
    <n v="0"/>
    <n v="4797"/>
    <n v="4797"/>
    <x v="3"/>
    <x v="1"/>
    <n v="60"/>
    <n v="1"/>
    <n v="0"/>
  </r>
  <r>
    <s v="ORD-6731"/>
    <d v="2025-11-03T00:00:00"/>
    <x v="10"/>
    <s v="CUST-785"/>
    <x v="7"/>
    <x v="7"/>
    <x v="1"/>
    <x v="6"/>
    <x v="0"/>
    <n v="1"/>
    <n v="1599"/>
    <n v="0"/>
    <n v="0"/>
    <n v="1599"/>
    <n v="1599"/>
    <x v="0"/>
    <x v="0"/>
    <n v="40"/>
    <n v="1"/>
    <n v="0"/>
  </r>
  <r>
    <s v="ORD-6732"/>
    <d v="2025-01-24T00:00:00"/>
    <x v="7"/>
    <s v="CUST-724"/>
    <x v="9"/>
    <x v="8"/>
    <x v="1"/>
    <x v="9"/>
    <x v="1"/>
    <n v="1"/>
    <n v="1899"/>
    <n v="0"/>
    <n v="0"/>
    <n v="1899"/>
    <n v="1899"/>
    <x v="1"/>
    <x v="0"/>
    <n v="40"/>
    <n v="1"/>
    <n v="0"/>
  </r>
  <r>
    <s v="ORD-6733"/>
    <d v="2025-09-28T00:00:00"/>
    <x v="3"/>
    <s v="CUST-623"/>
    <x v="6"/>
    <x v="6"/>
    <x v="2"/>
    <x v="10"/>
    <x v="0"/>
    <n v="1"/>
    <n v="599"/>
    <n v="0.1"/>
    <n v="59.900000000000006"/>
    <n v="599"/>
    <n v="539.1"/>
    <x v="3"/>
    <x v="0"/>
    <n v="60"/>
    <n v="0.9"/>
    <n v="0"/>
  </r>
  <r>
    <s v="ORD-6734"/>
    <d v="2025-01-15T00:00:00"/>
    <x v="7"/>
    <s v="CUST-875"/>
    <x v="3"/>
    <x v="3"/>
    <x v="3"/>
    <x v="1"/>
    <x v="1"/>
    <n v="5"/>
    <n v="3999"/>
    <n v="0.1"/>
    <n v="399.90000000000003"/>
    <n v="19995"/>
    <n v="19595.099999999999"/>
    <x v="0"/>
    <x v="0"/>
    <n v="80"/>
    <n v="0.98"/>
    <n v="0"/>
  </r>
  <r>
    <s v="ORD-6735"/>
    <d v="2025-01-13T00:00:00"/>
    <x v="7"/>
    <s v="CUST-401"/>
    <x v="2"/>
    <x v="2"/>
    <x v="2"/>
    <x v="18"/>
    <x v="4"/>
    <n v="4"/>
    <n v="1299"/>
    <n v="0"/>
    <n v="0"/>
    <n v="5196"/>
    <n v="5196"/>
    <x v="0"/>
    <x v="0"/>
    <n v="40"/>
    <n v="1"/>
    <n v="0"/>
  </r>
  <r>
    <s v="ORD-6736"/>
    <d v="2025-12-25T00:00:00"/>
    <x v="4"/>
    <s v="CUST-720"/>
    <x v="4"/>
    <x v="4"/>
    <x v="2"/>
    <x v="14"/>
    <x v="4"/>
    <n v="1"/>
    <n v="399"/>
    <n v="0.15"/>
    <n v="59.849999999999994"/>
    <n v="399"/>
    <n v="339.15"/>
    <x v="3"/>
    <x v="0"/>
    <n v="60"/>
    <n v="0.85"/>
    <n v="0"/>
  </r>
  <r>
    <s v="ORD-6737"/>
    <d v="2025-09-29T00:00:00"/>
    <x v="3"/>
    <s v="CUST-633"/>
    <x v="6"/>
    <x v="6"/>
    <x v="2"/>
    <x v="0"/>
    <x v="0"/>
    <n v="2"/>
    <n v="1799"/>
    <n v="0.1"/>
    <n v="179.9"/>
    <n v="3598"/>
    <n v="3418.1"/>
    <x v="3"/>
    <x v="0"/>
    <n v="40"/>
    <n v="0.95"/>
    <n v="0"/>
  </r>
  <r>
    <s v="ORD-6738"/>
    <d v="2025-10-01T00:00:00"/>
    <x v="2"/>
    <s v="CUST-538"/>
    <x v="2"/>
    <x v="2"/>
    <x v="2"/>
    <x v="3"/>
    <x v="0"/>
    <n v="1"/>
    <n v="899"/>
    <n v="0.15"/>
    <n v="134.85"/>
    <n v="899"/>
    <n v="764.15"/>
    <x v="1"/>
    <x v="1"/>
    <n v="60"/>
    <n v="0.85"/>
    <n v="0"/>
  </r>
  <r>
    <s v="ORD-6739"/>
    <d v="2025-09-21T00:00:00"/>
    <x v="3"/>
    <s v="CUST-218"/>
    <x v="4"/>
    <x v="4"/>
    <x v="2"/>
    <x v="20"/>
    <x v="3"/>
    <n v="4"/>
    <n v="499"/>
    <n v="0.1"/>
    <n v="49.900000000000006"/>
    <n v="1996"/>
    <n v="1946.1"/>
    <x v="3"/>
    <x v="0"/>
    <n v="40"/>
    <n v="0.97499999999999998"/>
    <n v="0"/>
  </r>
  <r>
    <s v="ORD-6740"/>
    <d v="2025-09-17T00:00:00"/>
    <x v="3"/>
    <s v="CUST-503"/>
    <x v="6"/>
    <x v="6"/>
    <x v="2"/>
    <x v="5"/>
    <x v="0"/>
    <n v="1"/>
    <n v="2299"/>
    <n v="0.05"/>
    <n v="114.95"/>
    <n v="2299"/>
    <n v="2184.0500000000002"/>
    <x v="3"/>
    <x v="0"/>
    <n v="80"/>
    <n v="0.95000000000000007"/>
    <n v="0"/>
  </r>
  <r>
    <s v="ORD-6741"/>
    <d v="2025-04-11T00:00:00"/>
    <x v="6"/>
    <s v="CUST-357"/>
    <x v="2"/>
    <x v="2"/>
    <x v="2"/>
    <x v="18"/>
    <x v="4"/>
    <n v="1"/>
    <n v="1299"/>
    <n v="0"/>
    <n v="0"/>
    <n v="1299"/>
    <n v="1299"/>
    <x v="2"/>
    <x v="0"/>
    <n v="40"/>
    <n v="1"/>
    <n v="0"/>
  </r>
  <r>
    <s v="ORD-6742"/>
    <d v="2025-02-11T00:00:00"/>
    <x v="9"/>
    <s v="CUST-522"/>
    <x v="4"/>
    <x v="4"/>
    <x v="2"/>
    <x v="1"/>
    <x v="1"/>
    <n v="1"/>
    <n v="3999"/>
    <n v="0.05"/>
    <n v="199.95000000000002"/>
    <n v="3999"/>
    <n v="3799.05"/>
    <x v="3"/>
    <x v="2"/>
    <n v="60"/>
    <n v="0.95000000000000007"/>
    <n v="0"/>
  </r>
  <r>
    <s v="ORD-6743"/>
    <d v="2025-02-19T00:00:00"/>
    <x v="9"/>
    <s v="CUST-846"/>
    <x v="8"/>
    <x v="1"/>
    <x v="1"/>
    <x v="18"/>
    <x v="4"/>
    <n v="2"/>
    <n v="1299"/>
    <n v="0"/>
    <n v="0"/>
    <n v="2598"/>
    <n v="2598"/>
    <x v="2"/>
    <x v="0"/>
    <n v="80"/>
    <n v="1"/>
    <n v="0"/>
  </r>
  <r>
    <s v="ORD-6744"/>
    <d v="2025-03-27T00:00:00"/>
    <x v="1"/>
    <s v="CUST-653"/>
    <x v="0"/>
    <x v="0"/>
    <x v="0"/>
    <x v="19"/>
    <x v="2"/>
    <n v="2"/>
    <n v="1499"/>
    <n v="0"/>
    <n v="0"/>
    <n v="2998"/>
    <n v="2998"/>
    <x v="2"/>
    <x v="0"/>
    <n v="40"/>
    <n v="1"/>
    <n v="0"/>
  </r>
  <r>
    <s v="ORD-6745"/>
    <d v="2025-07-29T00:00:00"/>
    <x v="5"/>
    <s v="CUST-295"/>
    <x v="1"/>
    <x v="1"/>
    <x v="1"/>
    <x v="1"/>
    <x v="1"/>
    <n v="3"/>
    <n v="3999"/>
    <n v="0.05"/>
    <n v="199.95000000000002"/>
    <n v="11997"/>
    <n v="11797.05"/>
    <x v="0"/>
    <x v="0"/>
    <n v="60"/>
    <n v="0.98333333333333328"/>
    <n v="0"/>
  </r>
  <r>
    <s v="ORD-6746"/>
    <d v="2025-01-26T00:00:00"/>
    <x v="7"/>
    <s v="CUST-654"/>
    <x v="6"/>
    <x v="6"/>
    <x v="2"/>
    <x v="17"/>
    <x v="1"/>
    <n v="1"/>
    <n v="2199"/>
    <n v="0.05"/>
    <n v="109.95"/>
    <n v="2199"/>
    <n v="2089.0500000000002"/>
    <x v="1"/>
    <x v="0"/>
    <n v="40"/>
    <n v="0.95000000000000007"/>
    <n v="0"/>
  </r>
  <r>
    <s v="ORD-6747"/>
    <d v="2025-08-21T00:00:00"/>
    <x v="0"/>
    <s v="CUST-619"/>
    <x v="1"/>
    <x v="1"/>
    <x v="1"/>
    <x v="8"/>
    <x v="1"/>
    <n v="2"/>
    <n v="2499"/>
    <n v="0.05"/>
    <n v="124.95"/>
    <n v="4998"/>
    <n v="4873.05"/>
    <x v="1"/>
    <x v="0"/>
    <n v="40"/>
    <n v="0.97500000000000009"/>
    <n v="0"/>
  </r>
  <r>
    <s v="ORD-6748"/>
    <d v="2025-11-15T00:00:00"/>
    <x v="10"/>
    <s v="CUST-555"/>
    <x v="2"/>
    <x v="2"/>
    <x v="2"/>
    <x v="20"/>
    <x v="3"/>
    <n v="2"/>
    <n v="499"/>
    <n v="0.1"/>
    <n v="49.900000000000006"/>
    <n v="998"/>
    <n v="948.1"/>
    <x v="0"/>
    <x v="0"/>
    <n v="60"/>
    <n v="0.95000000000000007"/>
    <n v="0"/>
  </r>
  <r>
    <s v="ORD-6749"/>
    <d v="2025-04-27T00:00:00"/>
    <x v="6"/>
    <s v="CUST-389"/>
    <x v="9"/>
    <x v="8"/>
    <x v="1"/>
    <x v="14"/>
    <x v="4"/>
    <n v="2"/>
    <n v="399"/>
    <n v="0"/>
    <n v="0"/>
    <n v="798"/>
    <n v="798"/>
    <x v="1"/>
    <x v="0"/>
    <n v="40"/>
    <n v="1"/>
    <n v="0"/>
  </r>
  <r>
    <s v="ORD-6750"/>
    <d v="2025-05-10T00:00:00"/>
    <x v="8"/>
    <s v="CUST-867"/>
    <x v="8"/>
    <x v="1"/>
    <x v="1"/>
    <x v="19"/>
    <x v="2"/>
    <n v="1"/>
    <n v="1499"/>
    <n v="0"/>
    <n v="0"/>
    <n v="1499"/>
    <n v="1499"/>
    <x v="3"/>
    <x v="2"/>
    <n v="60"/>
    <n v="1"/>
    <n v="0"/>
  </r>
  <r>
    <s v="ORD-6751"/>
    <d v="2025-05-19T00:00:00"/>
    <x v="8"/>
    <s v="CUST-501"/>
    <x v="4"/>
    <x v="4"/>
    <x v="2"/>
    <x v="18"/>
    <x v="4"/>
    <n v="1"/>
    <n v="1299"/>
    <n v="0.05"/>
    <n v="64.95"/>
    <n v="1299"/>
    <n v="1234.05"/>
    <x v="3"/>
    <x v="0"/>
    <n v="40"/>
    <n v="0.95"/>
    <n v="0"/>
  </r>
  <r>
    <s v="ORD-6752"/>
    <d v="2025-03-02T00:00:00"/>
    <x v="1"/>
    <s v="CUST-841"/>
    <x v="6"/>
    <x v="6"/>
    <x v="2"/>
    <x v="5"/>
    <x v="0"/>
    <n v="3"/>
    <n v="2299"/>
    <n v="0.1"/>
    <n v="229.9"/>
    <n v="6897"/>
    <n v="6667.1"/>
    <x v="3"/>
    <x v="1"/>
    <n v="80"/>
    <n v="0.96666666666666667"/>
    <n v="0"/>
  </r>
  <r>
    <s v="ORD-6753"/>
    <d v="2025-01-01T00:00:00"/>
    <x v="7"/>
    <s v="CUST-742"/>
    <x v="4"/>
    <x v="4"/>
    <x v="2"/>
    <x v="1"/>
    <x v="1"/>
    <n v="1"/>
    <n v="3999"/>
    <n v="0"/>
    <n v="0"/>
    <n v="3999"/>
    <n v="3999"/>
    <x v="0"/>
    <x v="0"/>
    <n v="60"/>
    <n v="1"/>
    <n v="0"/>
  </r>
  <r>
    <s v="ORD-6754"/>
    <d v="2025-11-09T00:00:00"/>
    <x v="10"/>
    <s v="CUST-897"/>
    <x v="0"/>
    <x v="0"/>
    <x v="0"/>
    <x v="7"/>
    <x v="1"/>
    <n v="4"/>
    <n v="1299"/>
    <n v="0.2"/>
    <n v="259.8"/>
    <n v="5196"/>
    <n v="4936.2"/>
    <x v="3"/>
    <x v="0"/>
    <n v="0"/>
    <n v="0.95"/>
    <n v="0"/>
  </r>
  <r>
    <s v="ORD-6755"/>
    <d v="2025-04-17T00:00:00"/>
    <x v="6"/>
    <s v="CUST-371"/>
    <x v="4"/>
    <x v="4"/>
    <x v="2"/>
    <x v="5"/>
    <x v="0"/>
    <n v="1"/>
    <n v="2299"/>
    <n v="0.1"/>
    <n v="229.9"/>
    <n v="2299"/>
    <n v="2069.1"/>
    <x v="1"/>
    <x v="0"/>
    <n v="40"/>
    <n v="0.89999999999999991"/>
    <n v="0"/>
  </r>
  <r>
    <s v="ORD-6756"/>
    <d v="2025-04-01T00:00:00"/>
    <x v="6"/>
    <s v="CUST-534"/>
    <x v="8"/>
    <x v="1"/>
    <x v="1"/>
    <x v="22"/>
    <x v="2"/>
    <n v="2"/>
    <n v="3299"/>
    <n v="0.25"/>
    <n v="824.75"/>
    <n v="6598"/>
    <n v="5773.25"/>
    <x v="0"/>
    <x v="0"/>
    <n v="40"/>
    <n v="0.875"/>
    <n v="0"/>
  </r>
  <r>
    <s v="ORD-6757"/>
    <d v="2025-05-16T00:00:00"/>
    <x v="8"/>
    <s v="CUST-884"/>
    <x v="8"/>
    <x v="1"/>
    <x v="1"/>
    <x v="14"/>
    <x v="4"/>
    <n v="1"/>
    <n v="399"/>
    <n v="0"/>
    <n v="0"/>
    <n v="399"/>
    <n v="399"/>
    <x v="3"/>
    <x v="0"/>
    <n v="80"/>
    <n v="1"/>
    <n v="0"/>
  </r>
  <r>
    <s v="ORD-6758"/>
    <d v="2025-03-17T00:00:00"/>
    <x v="1"/>
    <s v="CUST-880"/>
    <x v="9"/>
    <x v="8"/>
    <x v="1"/>
    <x v="13"/>
    <x v="2"/>
    <n v="2"/>
    <n v="449"/>
    <n v="0.05"/>
    <n v="22.450000000000003"/>
    <n v="898"/>
    <n v="875.55"/>
    <x v="3"/>
    <x v="0"/>
    <n v="0"/>
    <n v="0.97499999999999998"/>
    <n v="0"/>
  </r>
  <r>
    <s v="ORD-6759"/>
    <d v="2025-09-12T00:00:00"/>
    <x v="3"/>
    <s v="CUST-222"/>
    <x v="8"/>
    <x v="1"/>
    <x v="1"/>
    <x v="1"/>
    <x v="1"/>
    <n v="1"/>
    <n v="3999"/>
    <n v="0.25"/>
    <n v="999.75"/>
    <n v="3999"/>
    <n v="2999.25"/>
    <x v="3"/>
    <x v="0"/>
    <n v="60"/>
    <n v="0.75"/>
    <n v="0"/>
  </r>
  <r>
    <s v="ORD-6760"/>
    <d v="2025-08-17T00:00:00"/>
    <x v="0"/>
    <s v="CUST-785"/>
    <x v="4"/>
    <x v="4"/>
    <x v="2"/>
    <x v="22"/>
    <x v="2"/>
    <n v="2"/>
    <n v="3299"/>
    <n v="0"/>
    <n v="0"/>
    <n v="6598"/>
    <n v="6598"/>
    <x v="3"/>
    <x v="2"/>
    <n v="80"/>
    <n v="1"/>
    <n v="0"/>
  </r>
  <r>
    <s v="ORD-6761"/>
    <d v="2025-08-28T00:00:00"/>
    <x v="0"/>
    <s v="CUST-403"/>
    <x v="6"/>
    <x v="6"/>
    <x v="2"/>
    <x v="21"/>
    <x v="4"/>
    <n v="2"/>
    <n v="699"/>
    <n v="0.2"/>
    <n v="139.80000000000001"/>
    <n v="1398"/>
    <n v="1258.2"/>
    <x v="0"/>
    <x v="0"/>
    <n v="40"/>
    <n v="0.9"/>
    <n v="0"/>
  </r>
  <r>
    <s v="ORD-6762"/>
    <d v="2025-09-05T00:00:00"/>
    <x v="3"/>
    <s v="CUST-751"/>
    <x v="2"/>
    <x v="2"/>
    <x v="2"/>
    <x v="16"/>
    <x v="4"/>
    <n v="1"/>
    <n v="1599"/>
    <n v="0.1"/>
    <n v="159.9"/>
    <n v="1599"/>
    <n v="1439.1"/>
    <x v="0"/>
    <x v="2"/>
    <n v="40"/>
    <n v="0.89999999999999991"/>
    <n v="0"/>
  </r>
  <r>
    <s v="ORD-6763"/>
    <d v="2025-07-30T00:00:00"/>
    <x v="5"/>
    <s v="CUST-420"/>
    <x v="1"/>
    <x v="1"/>
    <x v="1"/>
    <x v="18"/>
    <x v="4"/>
    <n v="1"/>
    <n v="1299"/>
    <n v="0.05"/>
    <n v="64.95"/>
    <n v="1299"/>
    <n v="1234.05"/>
    <x v="3"/>
    <x v="0"/>
    <n v="80"/>
    <n v="0.95"/>
    <n v="0"/>
  </r>
  <r>
    <s v="ORD-6764"/>
    <d v="2025-10-07T00:00:00"/>
    <x v="2"/>
    <s v="CUST-722"/>
    <x v="2"/>
    <x v="2"/>
    <x v="2"/>
    <x v="2"/>
    <x v="2"/>
    <n v="1"/>
    <n v="2799"/>
    <n v="0.25"/>
    <n v="699.75"/>
    <n v="2799"/>
    <n v="2099.25"/>
    <x v="2"/>
    <x v="0"/>
    <n v="60"/>
    <n v="0.75"/>
    <n v="0"/>
  </r>
  <r>
    <s v="ORD-6765"/>
    <d v="2025-10-11T00:00:00"/>
    <x v="2"/>
    <s v="CUST-386"/>
    <x v="3"/>
    <x v="3"/>
    <x v="3"/>
    <x v="21"/>
    <x v="4"/>
    <n v="2"/>
    <n v="699"/>
    <n v="0.1"/>
    <n v="69.900000000000006"/>
    <n v="1398"/>
    <n v="1328.1"/>
    <x v="0"/>
    <x v="0"/>
    <n v="60"/>
    <n v="0.95"/>
    <n v="0"/>
  </r>
  <r>
    <s v="ORD-6766"/>
    <d v="2025-05-24T00:00:00"/>
    <x v="8"/>
    <s v="CUST-425"/>
    <x v="4"/>
    <x v="4"/>
    <x v="2"/>
    <x v="4"/>
    <x v="3"/>
    <n v="1"/>
    <n v="349"/>
    <n v="0.05"/>
    <n v="17.45"/>
    <n v="349"/>
    <n v="331.55"/>
    <x v="0"/>
    <x v="0"/>
    <n v="60"/>
    <n v="0.95000000000000007"/>
    <n v="0"/>
  </r>
  <r>
    <s v="ORD-6767"/>
    <d v="2025-08-08T00:00:00"/>
    <x v="0"/>
    <s v="CUST-626"/>
    <x v="7"/>
    <x v="7"/>
    <x v="1"/>
    <x v="11"/>
    <x v="2"/>
    <n v="1"/>
    <n v="5499"/>
    <n v="0.1"/>
    <n v="549.9"/>
    <n v="5499"/>
    <n v="4949.1000000000004"/>
    <x v="2"/>
    <x v="0"/>
    <n v="0"/>
    <n v="0.9"/>
    <n v="0"/>
  </r>
  <r>
    <s v="ORD-6768"/>
    <d v="2025-12-18T00:00:00"/>
    <x v="4"/>
    <s v="CUST-456"/>
    <x v="9"/>
    <x v="8"/>
    <x v="1"/>
    <x v="7"/>
    <x v="1"/>
    <n v="4"/>
    <n v="1299"/>
    <n v="0.1"/>
    <n v="129.9"/>
    <n v="5196"/>
    <n v="5066.1000000000004"/>
    <x v="3"/>
    <x v="0"/>
    <n v="60"/>
    <n v="0.97500000000000009"/>
    <n v="0"/>
  </r>
  <r>
    <s v="ORD-6769"/>
    <d v="2025-11-06T00:00:00"/>
    <x v="10"/>
    <s v="CUST-668"/>
    <x v="9"/>
    <x v="8"/>
    <x v="1"/>
    <x v="19"/>
    <x v="2"/>
    <n v="2"/>
    <n v="1499"/>
    <n v="0.15"/>
    <n v="224.85"/>
    <n v="2998"/>
    <n v="2773.15"/>
    <x v="3"/>
    <x v="1"/>
    <n v="60"/>
    <n v="0.92500000000000004"/>
    <n v="0"/>
  </r>
  <r>
    <s v="ORD-6770"/>
    <d v="2025-09-12T00:00:00"/>
    <x v="3"/>
    <s v="CUST-360"/>
    <x v="5"/>
    <x v="5"/>
    <x v="3"/>
    <x v="22"/>
    <x v="2"/>
    <n v="1"/>
    <n v="3299"/>
    <n v="0.1"/>
    <n v="329.90000000000003"/>
    <n v="3299"/>
    <n v="2969.1"/>
    <x v="2"/>
    <x v="0"/>
    <n v="0"/>
    <n v="0.9"/>
    <n v="0"/>
  </r>
  <r>
    <s v="ORD-6771"/>
    <d v="2025-01-14T00:00:00"/>
    <x v="7"/>
    <s v="CUST-363"/>
    <x v="1"/>
    <x v="1"/>
    <x v="1"/>
    <x v="17"/>
    <x v="1"/>
    <n v="1"/>
    <n v="2199"/>
    <n v="0.25"/>
    <n v="549.75"/>
    <n v="2199"/>
    <n v="1649.25"/>
    <x v="3"/>
    <x v="0"/>
    <n v="60"/>
    <n v="0.75"/>
    <n v="0"/>
  </r>
  <r>
    <s v="ORD-6772"/>
    <d v="2025-10-29T00:00:00"/>
    <x v="2"/>
    <s v="CUST-263"/>
    <x v="1"/>
    <x v="1"/>
    <x v="1"/>
    <x v="15"/>
    <x v="3"/>
    <n v="2"/>
    <n v="299"/>
    <n v="0.05"/>
    <n v="14.950000000000001"/>
    <n v="598"/>
    <n v="583.04999999999995"/>
    <x v="3"/>
    <x v="0"/>
    <n v="0"/>
    <n v="0.97499999999999998"/>
    <n v="0"/>
  </r>
  <r>
    <s v="ORD-6773"/>
    <d v="2025-04-11T00:00:00"/>
    <x v="6"/>
    <s v="CUST-814"/>
    <x v="0"/>
    <x v="0"/>
    <x v="0"/>
    <x v="17"/>
    <x v="1"/>
    <n v="1"/>
    <n v="2199"/>
    <n v="0"/>
    <n v="0"/>
    <n v="2199"/>
    <n v="2199"/>
    <x v="0"/>
    <x v="0"/>
    <n v="40"/>
    <n v="1"/>
    <n v="0"/>
  </r>
  <r>
    <s v="ORD-6774"/>
    <d v="2025-04-13T00:00:00"/>
    <x v="6"/>
    <s v="CUST-389"/>
    <x v="9"/>
    <x v="8"/>
    <x v="1"/>
    <x v="13"/>
    <x v="2"/>
    <n v="3"/>
    <n v="449"/>
    <n v="0.05"/>
    <n v="22.450000000000003"/>
    <n v="1347"/>
    <n v="1324.55"/>
    <x v="2"/>
    <x v="0"/>
    <n v="40"/>
    <n v="0.98333333333333328"/>
    <n v="0"/>
  </r>
  <r>
    <s v="ORD-6775"/>
    <d v="2025-02-06T00:00:00"/>
    <x v="9"/>
    <s v="CUST-639"/>
    <x v="6"/>
    <x v="6"/>
    <x v="2"/>
    <x v="9"/>
    <x v="1"/>
    <n v="1"/>
    <n v="1899"/>
    <n v="0.25"/>
    <n v="474.75"/>
    <n v="1899"/>
    <n v="1424.25"/>
    <x v="3"/>
    <x v="0"/>
    <n v="0"/>
    <n v="0.75"/>
    <n v="0"/>
  </r>
  <r>
    <s v="ORD-6776"/>
    <d v="2025-10-07T00:00:00"/>
    <x v="2"/>
    <s v="CUST-674"/>
    <x v="1"/>
    <x v="1"/>
    <x v="1"/>
    <x v="8"/>
    <x v="1"/>
    <n v="3"/>
    <n v="2499"/>
    <n v="0.25"/>
    <n v="624.75"/>
    <n v="7497"/>
    <n v="6872.25"/>
    <x v="3"/>
    <x v="0"/>
    <n v="40"/>
    <n v="0.91666666666666663"/>
    <n v="0"/>
  </r>
  <r>
    <s v="ORD-6777"/>
    <d v="2025-08-19T00:00:00"/>
    <x v="0"/>
    <s v="CUST-495"/>
    <x v="5"/>
    <x v="5"/>
    <x v="3"/>
    <x v="15"/>
    <x v="3"/>
    <n v="3"/>
    <n v="299"/>
    <n v="0.05"/>
    <n v="14.950000000000001"/>
    <n v="897"/>
    <n v="882.05"/>
    <x v="0"/>
    <x v="0"/>
    <n v="80"/>
    <n v="0.98333333333333328"/>
    <n v="0"/>
  </r>
  <r>
    <s v="ORD-6778"/>
    <d v="2025-02-10T00:00:00"/>
    <x v="9"/>
    <s v="CUST-426"/>
    <x v="6"/>
    <x v="6"/>
    <x v="2"/>
    <x v="7"/>
    <x v="1"/>
    <n v="2"/>
    <n v="1299"/>
    <n v="0.05"/>
    <n v="64.95"/>
    <n v="2598"/>
    <n v="2533.0500000000002"/>
    <x v="2"/>
    <x v="0"/>
    <n v="0"/>
    <n v="0.97500000000000009"/>
    <n v="0"/>
  </r>
  <r>
    <s v="ORD-6779"/>
    <d v="2025-04-24T00:00:00"/>
    <x v="6"/>
    <s v="CUST-807"/>
    <x v="1"/>
    <x v="1"/>
    <x v="1"/>
    <x v="16"/>
    <x v="4"/>
    <n v="1"/>
    <n v="1599"/>
    <n v="0.1"/>
    <n v="159.9"/>
    <n v="1599"/>
    <n v="1439.1"/>
    <x v="2"/>
    <x v="0"/>
    <n v="60"/>
    <n v="0.89999999999999991"/>
    <n v="0"/>
  </r>
  <r>
    <s v="ORD-6780"/>
    <d v="2025-07-20T00:00:00"/>
    <x v="5"/>
    <s v="CUST-527"/>
    <x v="2"/>
    <x v="2"/>
    <x v="2"/>
    <x v="1"/>
    <x v="1"/>
    <n v="1"/>
    <n v="3999"/>
    <n v="0.2"/>
    <n v="799.80000000000007"/>
    <n v="3999"/>
    <n v="3199.2"/>
    <x v="2"/>
    <x v="0"/>
    <n v="0"/>
    <n v="0.79999999999999993"/>
    <n v="0"/>
  </r>
  <r>
    <s v="ORD-6781"/>
    <d v="2025-04-06T00:00:00"/>
    <x v="6"/>
    <s v="CUST-740"/>
    <x v="9"/>
    <x v="8"/>
    <x v="1"/>
    <x v="14"/>
    <x v="4"/>
    <n v="1"/>
    <n v="399"/>
    <n v="0.25"/>
    <n v="99.75"/>
    <n v="399"/>
    <n v="299.25"/>
    <x v="3"/>
    <x v="0"/>
    <n v="0"/>
    <n v="0.75"/>
    <n v="0"/>
  </r>
  <r>
    <s v="ORD-6782"/>
    <d v="2025-10-27T00:00:00"/>
    <x v="2"/>
    <s v="CUST-292"/>
    <x v="9"/>
    <x v="8"/>
    <x v="1"/>
    <x v="8"/>
    <x v="1"/>
    <n v="3"/>
    <n v="2499"/>
    <n v="0.2"/>
    <n v="499.8"/>
    <n v="7497"/>
    <n v="6997.2"/>
    <x v="0"/>
    <x v="0"/>
    <n v="0"/>
    <n v="0.93333333333333335"/>
    <n v="0"/>
  </r>
  <r>
    <s v="ORD-6783"/>
    <d v="2025-02-05T00:00:00"/>
    <x v="9"/>
    <s v="CUST-548"/>
    <x v="4"/>
    <x v="4"/>
    <x v="2"/>
    <x v="0"/>
    <x v="0"/>
    <n v="1"/>
    <n v="1799"/>
    <n v="0.05"/>
    <n v="89.95"/>
    <n v="1799"/>
    <n v="1709.05"/>
    <x v="3"/>
    <x v="0"/>
    <n v="0"/>
    <n v="0.95"/>
    <n v="0"/>
  </r>
  <r>
    <s v="ORD-6784"/>
    <d v="2025-11-10T00:00:00"/>
    <x v="10"/>
    <s v="CUST-640"/>
    <x v="9"/>
    <x v="8"/>
    <x v="1"/>
    <x v="1"/>
    <x v="1"/>
    <n v="1"/>
    <n v="3999"/>
    <n v="0.2"/>
    <n v="799.80000000000007"/>
    <n v="3999"/>
    <n v="3199.2"/>
    <x v="0"/>
    <x v="1"/>
    <n v="40"/>
    <n v="0.79999999999999993"/>
    <n v="0"/>
  </r>
  <r>
    <s v="ORD-6785"/>
    <d v="2025-06-24T00:00:00"/>
    <x v="11"/>
    <s v="CUST-674"/>
    <x v="6"/>
    <x v="6"/>
    <x v="2"/>
    <x v="8"/>
    <x v="1"/>
    <n v="1"/>
    <n v="2499"/>
    <n v="0.15"/>
    <n v="374.84999999999997"/>
    <n v="2499"/>
    <n v="2124.15"/>
    <x v="2"/>
    <x v="0"/>
    <n v="80"/>
    <n v="0.85000000000000009"/>
    <n v="0"/>
  </r>
  <r>
    <s v="ORD-6786"/>
    <d v="2025-05-18T00:00:00"/>
    <x v="8"/>
    <s v="CUST-491"/>
    <x v="1"/>
    <x v="1"/>
    <x v="1"/>
    <x v="11"/>
    <x v="2"/>
    <n v="4"/>
    <n v="5499"/>
    <n v="0.25"/>
    <n v="1374.75"/>
    <n v="21996"/>
    <n v="20621.25"/>
    <x v="1"/>
    <x v="0"/>
    <n v="60"/>
    <n v="0.9375"/>
    <n v="0"/>
  </r>
  <r>
    <s v="ORD-6787"/>
    <d v="2025-10-15T00:00:00"/>
    <x v="2"/>
    <s v="CUST-445"/>
    <x v="1"/>
    <x v="1"/>
    <x v="1"/>
    <x v="5"/>
    <x v="0"/>
    <n v="1"/>
    <n v="2299"/>
    <n v="0.2"/>
    <n v="459.8"/>
    <n v="2299"/>
    <n v="1839.2"/>
    <x v="3"/>
    <x v="0"/>
    <n v="60"/>
    <n v="0.8"/>
    <n v="0"/>
  </r>
  <r>
    <s v="ORD-6789"/>
    <d v="2025-11-04T00:00:00"/>
    <x v="10"/>
    <s v="CUST-894"/>
    <x v="9"/>
    <x v="8"/>
    <x v="1"/>
    <x v="17"/>
    <x v="1"/>
    <n v="1"/>
    <n v="2199"/>
    <n v="0.1"/>
    <n v="219.9"/>
    <n v="2199"/>
    <n v="1979.1"/>
    <x v="2"/>
    <x v="0"/>
    <n v="40"/>
    <n v="0.89999999999999991"/>
    <n v="0"/>
  </r>
  <r>
    <s v="ORD-6790"/>
    <d v="2025-07-13T00:00:00"/>
    <x v="5"/>
    <s v="CUST-337"/>
    <x v="8"/>
    <x v="1"/>
    <x v="1"/>
    <x v="19"/>
    <x v="2"/>
    <n v="1"/>
    <n v="1499"/>
    <n v="0"/>
    <n v="0"/>
    <n v="1499"/>
    <n v="1499"/>
    <x v="0"/>
    <x v="0"/>
    <n v="40"/>
    <n v="1"/>
    <n v="0"/>
  </r>
  <r>
    <s v="ORD-6791"/>
    <d v="2025-01-18T00:00:00"/>
    <x v="7"/>
    <s v="CUST-653"/>
    <x v="8"/>
    <x v="1"/>
    <x v="1"/>
    <x v="7"/>
    <x v="1"/>
    <n v="1"/>
    <n v="1299"/>
    <n v="0"/>
    <n v="0"/>
    <n v="1299"/>
    <n v="1299"/>
    <x v="1"/>
    <x v="0"/>
    <n v="0"/>
    <n v="1"/>
    <n v="0"/>
  </r>
  <r>
    <s v="ORD-6792"/>
    <d v="2025-08-19T00:00:00"/>
    <x v="0"/>
    <s v="CUST-795"/>
    <x v="1"/>
    <x v="1"/>
    <x v="1"/>
    <x v="1"/>
    <x v="1"/>
    <n v="1"/>
    <n v="3999"/>
    <n v="0.1"/>
    <n v="399.90000000000003"/>
    <n v="3999"/>
    <n v="3599.1"/>
    <x v="0"/>
    <x v="1"/>
    <n v="60"/>
    <n v="0.9"/>
    <n v="0"/>
  </r>
  <r>
    <s v="ORD-6793"/>
    <d v="2025-09-19T00:00:00"/>
    <x v="3"/>
    <s v="CUST-677"/>
    <x v="3"/>
    <x v="3"/>
    <x v="3"/>
    <x v="13"/>
    <x v="2"/>
    <n v="2"/>
    <n v="449"/>
    <n v="0"/>
    <n v="0"/>
    <n v="898"/>
    <n v="898"/>
    <x v="2"/>
    <x v="0"/>
    <n v="0"/>
    <n v="1"/>
    <n v="0"/>
  </r>
  <r>
    <s v="ORD-6794"/>
    <d v="2025-07-20T00:00:00"/>
    <x v="5"/>
    <s v="CUST-891"/>
    <x v="8"/>
    <x v="1"/>
    <x v="1"/>
    <x v="20"/>
    <x v="3"/>
    <n v="1"/>
    <n v="499"/>
    <n v="0"/>
    <n v="0"/>
    <n v="499"/>
    <n v="499"/>
    <x v="3"/>
    <x v="0"/>
    <n v="0"/>
    <n v="1"/>
    <n v="0"/>
  </r>
  <r>
    <s v="ORD-6795"/>
    <d v="2025-11-22T00:00:00"/>
    <x v="10"/>
    <s v="CUST-504"/>
    <x v="4"/>
    <x v="4"/>
    <x v="2"/>
    <x v="6"/>
    <x v="0"/>
    <n v="2"/>
    <n v="1599"/>
    <n v="0.05"/>
    <n v="79.95"/>
    <n v="3198"/>
    <n v="3118.05"/>
    <x v="0"/>
    <x v="0"/>
    <n v="40"/>
    <n v="0.97500000000000009"/>
    <n v="0"/>
  </r>
  <r>
    <s v="ORD-6796"/>
    <d v="2025-07-12T00:00:00"/>
    <x v="5"/>
    <s v="CUST-890"/>
    <x v="2"/>
    <x v="2"/>
    <x v="2"/>
    <x v="8"/>
    <x v="1"/>
    <n v="2"/>
    <n v="2499"/>
    <n v="0.05"/>
    <n v="124.95"/>
    <n v="4998"/>
    <n v="4873.05"/>
    <x v="0"/>
    <x v="1"/>
    <n v="80"/>
    <n v="0.97500000000000009"/>
    <n v="0"/>
  </r>
  <r>
    <s v="ORD-6797"/>
    <d v="2025-03-10T00:00:00"/>
    <x v="1"/>
    <s v="CUST-893"/>
    <x v="6"/>
    <x v="6"/>
    <x v="2"/>
    <x v="19"/>
    <x v="2"/>
    <n v="3"/>
    <n v="1499"/>
    <n v="0"/>
    <n v="0"/>
    <n v="4497"/>
    <n v="4497"/>
    <x v="0"/>
    <x v="0"/>
    <n v="60"/>
    <n v="1"/>
    <n v="0"/>
  </r>
  <r>
    <s v="ORD-6798"/>
    <d v="2025-10-17T00:00:00"/>
    <x v="2"/>
    <s v="CUST-537"/>
    <x v="4"/>
    <x v="4"/>
    <x v="2"/>
    <x v="17"/>
    <x v="1"/>
    <n v="1"/>
    <n v="2199"/>
    <n v="0.25"/>
    <n v="549.75"/>
    <n v="2199"/>
    <n v="1649.25"/>
    <x v="2"/>
    <x v="0"/>
    <n v="80"/>
    <n v="0.75"/>
    <n v="0"/>
  </r>
  <r>
    <s v="ORD-6799"/>
    <d v="2025-12-27T00:00:00"/>
    <x v="4"/>
    <s v="CUST-852"/>
    <x v="3"/>
    <x v="3"/>
    <x v="3"/>
    <x v="15"/>
    <x v="3"/>
    <n v="1"/>
    <n v="299"/>
    <n v="0"/>
    <n v="0"/>
    <n v="299"/>
    <n v="299"/>
    <x v="3"/>
    <x v="0"/>
    <n v="80"/>
    <n v="1"/>
    <n v="0"/>
  </r>
  <r>
    <s v="ORD-6800"/>
    <d v="2025-05-29T00:00:00"/>
    <x v="8"/>
    <s v="CUST-689"/>
    <x v="7"/>
    <x v="7"/>
    <x v="1"/>
    <x v="19"/>
    <x v="2"/>
    <n v="1"/>
    <n v="1499"/>
    <n v="0"/>
    <n v="0"/>
    <n v="1499"/>
    <n v="1499"/>
    <x v="0"/>
    <x v="0"/>
    <n v="40"/>
    <n v="1"/>
    <n v="0"/>
  </r>
  <r>
    <s v="ORD-6801"/>
    <d v="2025-07-16T00:00:00"/>
    <x v="5"/>
    <s v="CUST-840"/>
    <x v="4"/>
    <x v="4"/>
    <x v="2"/>
    <x v="9"/>
    <x v="1"/>
    <n v="1"/>
    <n v="1899"/>
    <n v="0"/>
    <n v="0"/>
    <n v="1899"/>
    <n v="1899"/>
    <x v="3"/>
    <x v="0"/>
    <n v="80"/>
    <n v="1"/>
    <n v="0"/>
  </r>
  <r>
    <s v="ORD-6802"/>
    <d v="2025-08-20T00:00:00"/>
    <x v="0"/>
    <s v="CUST-766"/>
    <x v="6"/>
    <x v="6"/>
    <x v="2"/>
    <x v="7"/>
    <x v="1"/>
    <n v="1"/>
    <n v="1299"/>
    <n v="0.25"/>
    <n v="324.75"/>
    <n v="1299"/>
    <n v="974.25"/>
    <x v="2"/>
    <x v="1"/>
    <n v="80"/>
    <n v="0.75"/>
    <n v="0"/>
  </r>
  <r>
    <s v="ORD-6803"/>
    <d v="2025-03-26T00:00:00"/>
    <x v="1"/>
    <s v="CUST-826"/>
    <x v="0"/>
    <x v="0"/>
    <x v="0"/>
    <x v="22"/>
    <x v="2"/>
    <n v="5"/>
    <n v="3299"/>
    <n v="0"/>
    <n v="0"/>
    <n v="16495"/>
    <n v="16495"/>
    <x v="1"/>
    <x v="0"/>
    <n v="0"/>
    <n v="1"/>
    <n v="0"/>
  </r>
  <r>
    <s v="ORD-6804"/>
    <d v="2025-10-17T00:00:00"/>
    <x v="2"/>
    <s v="CUST-854"/>
    <x v="8"/>
    <x v="1"/>
    <x v="1"/>
    <x v="5"/>
    <x v="0"/>
    <n v="2"/>
    <n v="2299"/>
    <n v="0.1"/>
    <n v="229.9"/>
    <n v="4598"/>
    <n v="4368.1000000000004"/>
    <x v="2"/>
    <x v="0"/>
    <n v="60"/>
    <n v="0.95000000000000007"/>
    <n v="0"/>
  </r>
  <r>
    <s v="ORD-6805"/>
    <d v="2025-08-14T00:00:00"/>
    <x v="0"/>
    <s v="CUST-851"/>
    <x v="1"/>
    <x v="1"/>
    <x v="1"/>
    <x v="8"/>
    <x v="1"/>
    <n v="4"/>
    <n v="2499"/>
    <n v="0.1"/>
    <n v="249.9"/>
    <n v="9996"/>
    <n v="9746.1"/>
    <x v="3"/>
    <x v="0"/>
    <n v="80"/>
    <n v="0.97500000000000009"/>
    <n v="0"/>
  </r>
  <r>
    <s v="ORD-6806"/>
    <d v="2025-12-09T00:00:00"/>
    <x v="4"/>
    <s v="CUST-431"/>
    <x v="6"/>
    <x v="6"/>
    <x v="2"/>
    <x v="14"/>
    <x v="4"/>
    <n v="5"/>
    <n v="399"/>
    <n v="0.15"/>
    <n v="59.849999999999994"/>
    <n v="1995"/>
    <n v="1935.15"/>
    <x v="1"/>
    <x v="0"/>
    <n v="0"/>
    <n v="0.97000000000000008"/>
    <n v="0"/>
  </r>
  <r>
    <s v="ORD-6807"/>
    <d v="2025-09-09T00:00:00"/>
    <x v="3"/>
    <s v="CUST-777"/>
    <x v="8"/>
    <x v="1"/>
    <x v="1"/>
    <x v="11"/>
    <x v="2"/>
    <n v="2"/>
    <n v="5499"/>
    <n v="0.25"/>
    <n v="1374.75"/>
    <n v="10998"/>
    <n v="9623.25"/>
    <x v="3"/>
    <x v="0"/>
    <n v="60"/>
    <n v="0.875"/>
    <n v="0"/>
  </r>
  <r>
    <s v="ORD-6808"/>
    <d v="2025-01-12T00:00:00"/>
    <x v="7"/>
    <s v="CUST-442"/>
    <x v="1"/>
    <x v="1"/>
    <x v="1"/>
    <x v="5"/>
    <x v="0"/>
    <n v="3"/>
    <n v="2299"/>
    <n v="0.1"/>
    <n v="229.9"/>
    <n v="6897"/>
    <n v="6667.1"/>
    <x v="3"/>
    <x v="0"/>
    <n v="80"/>
    <n v="0.96666666666666667"/>
    <n v="0"/>
  </r>
  <r>
    <s v="ORD-6809"/>
    <d v="2025-06-06T00:00:00"/>
    <x v="11"/>
    <s v="CUST-760"/>
    <x v="3"/>
    <x v="3"/>
    <x v="3"/>
    <x v="3"/>
    <x v="0"/>
    <n v="1"/>
    <n v="899"/>
    <n v="0"/>
    <n v="0"/>
    <n v="899"/>
    <n v="899"/>
    <x v="0"/>
    <x v="0"/>
    <n v="80"/>
    <n v="1"/>
    <n v="0"/>
  </r>
  <r>
    <s v="ORD-6810"/>
    <d v="2025-06-20T00:00:00"/>
    <x v="11"/>
    <s v="CUST-515"/>
    <x v="4"/>
    <x v="4"/>
    <x v="2"/>
    <x v="17"/>
    <x v="1"/>
    <n v="1"/>
    <n v="2199"/>
    <n v="0.05"/>
    <n v="109.95"/>
    <n v="2199"/>
    <n v="2089.0500000000002"/>
    <x v="0"/>
    <x v="2"/>
    <n v="40"/>
    <n v="0.95000000000000007"/>
    <n v="0"/>
  </r>
  <r>
    <s v="ORD-6811"/>
    <d v="2025-04-21T00:00:00"/>
    <x v="6"/>
    <s v="CUST-676"/>
    <x v="3"/>
    <x v="3"/>
    <x v="3"/>
    <x v="0"/>
    <x v="0"/>
    <n v="5"/>
    <n v="1799"/>
    <n v="0"/>
    <n v="0"/>
    <n v="8995"/>
    <n v="8995"/>
    <x v="0"/>
    <x v="0"/>
    <n v="0"/>
    <n v="1"/>
    <n v="0"/>
  </r>
  <r>
    <s v="ORD-6812"/>
    <d v="2025-07-02T00:00:00"/>
    <x v="5"/>
    <s v="CUST-320"/>
    <x v="6"/>
    <x v="6"/>
    <x v="2"/>
    <x v="7"/>
    <x v="1"/>
    <n v="1"/>
    <n v="1299"/>
    <n v="0.25"/>
    <n v="324.75"/>
    <n v="1299"/>
    <n v="974.25"/>
    <x v="1"/>
    <x v="0"/>
    <n v="40"/>
    <n v="0.75"/>
    <n v="0"/>
  </r>
  <r>
    <s v="ORD-6813"/>
    <d v="2025-04-20T00:00:00"/>
    <x v="6"/>
    <s v="CUST-615"/>
    <x v="1"/>
    <x v="1"/>
    <x v="1"/>
    <x v="1"/>
    <x v="1"/>
    <n v="1"/>
    <n v="3999"/>
    <n v="0.15"/>
    <n v="599.85"/>
    <n v="3999"/>
    <n v="3399.15"/>
    <x v="3"/>
    <x v="0"/>
    <n v="80"/>
    <n v="0.85"/>
    <n v="0"/>
  </r>
  <r>
    <s v="ORD-6814"/>
    <d v="2025-02-16T00:00:00"/>
    <x v="9"/>
    <s v="CUST-373"/>
    <x v="1"/>
    <x v="1"/>
    <x v="1"/>
    <x v="8"/>
    <x v="1"/>
    <n v="1"/>
    <n v="2499"/>
    <n v="0.05"/>
    <n v="124.95"/>
    <n v="2499"/>
    <n v="2374.0500000000002"/>
    <x v="3"/>
    <x v="1"/>
    <n v="40"/>
    <n v="0.95000000000000007"/>
    <n v="0"/>
  </r>
  <r>
    <s v="ORD-6815"/>
    <d v="2025-11-07T00:00:00"/>
    <x v="10"/>
    <s v="CUST-562"/>
    <x v="2"/>
    <x v="2"/>
    <x v="2"/>
    <x v="14"/>
    <x v="4"/>
    <n v="1"/>
    <n v="399"/>
    <n v="0.05"/>
    <n v="19.950000000000003"/>
    <n v="399"/>
    <n v="379.05"/>
    <x v="0"/>
    <x v="1"/>
    <n v="80"/>
    <n v="0.95000000000000007"/>
    <n v="0"/>
  </r>
  <r>
    <s v="ORD-6816"/>
    <d v="2025-12-26T00:00:00"/>
    <x v="4"/>
    <s v="CUST-702"/>
    <x v="4"/>
    <x v="4"/>
    <x v="2"/>
    <x v="12"/>
    <x v="1"/>
    <n v="1"/>
    <n v="799"/>
    <n v="0.1"/>
    <n v="79.900000000000006"/>
    <n v="799"/>
    <n v="719.1"/>
    <x v="3"/>
    <x v="0"/>
    <n v="60"/>
    <n v="0.9"/>
    <n v="0"/>
  </r>
  <r>
    <s v="ORD-6817"/>
    <d v="2025-06-05T00:00:00"/>
    <x v="11"/>
    <s v="CUST-274"/>
    <x v="8"/>
    <x v="1"/>
    <x v="1"/>
    <x v="10"/>
    <x v="0"/>
    <n v="1"/>
    <n v="599"/>
    <n v="0"/>
    <n v="0"/>
    <n v="599"/>
    <n v="599"/>
    <x v="2"/>
    <x v="0"/>
    <n v="0"/>
    <n v="1"/>
    <n v="0"/>
  </r>
  <r>
    <s v="ORD-6818"/>
    <d v="2025-12-16T00:00:00"/>
    <x v="4"/>
    <s v="CUST-573"/>
    <x v="0"/>
    <x v="0"/>
    <x v="0"/>
    <x v="14"/>
    <x v="4"/>
    <n v="1"/>
    <n v="399"/>
    <n v="0.1"/>
    <n v="39.900000000000006"/>
    <n v="399"/>
    <n v="359.1"/>
    <x v="0"/>
    <x v="0"/>
    <n v="0"/>
    <n v="0.9"/>
    <n v="0"/>
  </r>
  <r>
    <s v="ORD-6819"/>
    <d v="2025-08-14T00:00:00"/>
    <x v="0"/>
    <s v="CUST-630"/>
    <x v="5"/>
    <x v="5"/>
    <x v="3"/>
    <x v="7"/>
    <x v="1"/>
    <n v="1"/>
    <n v="1299"/>
    <n v="0.1"/>
    <n v="129.9"/>
    <n v="1299"/>
    <n v="1169.0999999999999"/>
    <x v="0"/>
    <x v="0"/>
    <n v="80"/>
    <n v="0.89999999999999991"/>
    <n v="0"/>
  </r>
  <r>
    <s v="ORD-6820"/>
    <d v="2025-05-18T00:00:00"/>
    <x v="8"/>
    <s v="CUST-229"/>
    <x v="7"/>
    <x v="7"/>
    <x v="1"/>
    <x v="17"/>
    <x v="1"/>
    <n v="1"/>
    <n v="2199"/>
    <n v="0"/>
    <n v="0"/>
    <n v="2199"/>
    <n v="2199"/>
    <x v="3"/>
    <x v="1"/>
    <n v="40"/>
    <n v="1"/>
    <n v="0"/>
  </r>
  <r>
    <s v="ORD-6821"/>
    <d v="2025-06-29T00:00:00"/>
    <x v="11"/>
    <s v="CUST-649"/>
    <x v="0"/>
    <x v="0"/>
    <x v="0"/>
    <x v="7"/>
    <x v="1"/>
    <n v="1"/>
    <n v="1299"/>
    <n v="0"/>
    <n v="0"/>
    <n v="1299"/>
    <n v="1299"/>
    <x v="2"/>
    <x v="0"/>
    <n v="40"/>
    <n v="1"/>
    <n v="0"/>
  </r>
  <r>
    <s v="ORD-6822"/>
    <d v="2025-10-07T00:00:00"/>
    <x v="2"/>
    <s v="CUST-828"/>
    <x v="4"/>
    <x v="4"/>
    <x v="2"/>
    <x v="7"/>
    <x v="1"/>
    <n v="1"/>
    <n v="1299"/>
    <n v="0"/>
    <n v="0"/>
    <n v="1299"/>
    <n v="1299"/>
    <x v="1"/>
    <x v="0"/>
    <n v="40"/>
    <n v="1"/>
    <n v="0"/>
  </r>
  <r>
    <s v="ORD-6823"/>
    <d v="2025-04-11T00:00:00"/>
    <x v="6"/>
    <s v="CUST-231"/>
    <x v="6"/>
    <x v="6"/>
    <x v="2"/>
    <x v="17"/>
    <x v="1"/>
    <n v="1"/>
    <n v="2199"/>
    <n v="0.05"/>
    <n v="109.95"/>
    <n v="2199"/>
    <n v="2089.0500000000002"/>
    <x v="3"/>
    <x v="0"/>
    <n v="40"/>
    <n v="0.95000000000000007"/>
    <n v="0"/>
  </r>
  <r>
    <s v="ORD-6824"/>
    <d v="2025-01-10T00:00:00"/>
    <x v="7"/>
    <s v="CUST-850"/>
    <x v="8"/>
    <x v="1"/>
    <x v="1"/>
    <x v="6"/>
    <x v="0"/>
    <n v="1"/>
    <n v="1599"/>
    <n v="0.2"/>
    <n v="319.8"/>
    <n v="1599"/>
    <n v="1279.2"/>
    <x v="3"/>
    <x v="0"/>
    <n v="40"/>
    <n v="0.8"/>
    <n v="0"/>
  </r>
  <r>
    <s v="ORD-6825"/>
    <d v="2025-07-10T00:00:00"/>
    <x v="5"/>
    <s v="CUST-629"/>
    <x v="3"/>
    <x v="3"/>
    <x v="3"/>
    <x v="7"/>
    <x v="1"/>
    <n v="1"/>
    <n v="1299"/>
    <n v="0.15"/>
    <n v="194.85"/>
    <n v="1299"/>
    <n v="1104.1500000000001"/>
    <x v="2"/>
    <x v="0"/>
    <n v="0"/>
    <n v="0.85000000000000009"/>
    <n v="0"/>
  </r>
  <r>
    <s v="ORD-6826"/>
    <d v="2025-11-13T00:00:00"/>
    <x v="10"/>
    <s v="CUST-385"/>
    <x v="6"/>
    <x v="6"/>
    <x v="2"/>
    <x v="16"/>
    <x v="4"/>
    <n v="3"/>
    <n v="1599"/>
    <n v="0.1"/>
    <n v="159.9"/>
    <n v="4797"/>
    <n v="4637.1000000000004"/>
    <x v="0"/>
    <x v="1"/>
    <n v="40"/>
    <n v="0.96666666666666679"/>
    <n v="0"/>
  </r>
  <r>
    <s v="ORD-6827"/>
    <d v="2025-11-16T00:00:00"/>
    <x v="10"/>
    <s v="CUST-834"/>
    <x v="3"/>
    <x v="3"/>
    <x v="3"/>
    <x v="8"/>
    <x v="1"/>
    <n v="2"/>
    <n v="2499"/>
    <n v="0"/>
    <n v="0"/>
    <n v="4998"/>
    <n v="4998"/>
    <x v="0"/>
    <x v="0"/>
    <n v="80"/>
    <n v="1"/>
    <n v="0"/>
  </r>
  <r>
    <s v="ORD-6828"/>
    <d v="2025-05-26T00:00:00"/>
    <x v="8"/>
    <s v="CUST-466"/>
    <x v="9"/>
    <x v="8"/>
    <x v="1"/>
    <x v="19"/>
    <x v="2"/>
    <n v="1"/>
    <n v="1499"/>
    <n v="0.15"/>
    <n v="224.85"/>
    <n v="1499"/>
    <n v="1274.1500000000001"/>
    <x v="3"/>
    <x v="0"/>
    <n v="80"/>
    <n v="0.85000000000000009"/>
    <n v="0"/>
  </r>
  <r>
    <s v="ORD-6829"/>
    <d v="2025-02-03T00:00:00"/>
    <x v="9"/>
    <s v="CUST-801"/>
    <x v="3"/>
    <x v="3"/>
    <x v="3"/>
    <x v="10"/>
    <x v="0"/>
    <n v="2"/>
    <n v="599"/>
    <n v="0.1"/>
    <n v="59.900000000000006"/>
    <n v="1198"/>
    <n v="1138.0999999999999"/>
    <x v="2"/>
    <x v="0"/>
    <n v="40"/>
    <n v="0.95"/>
    <n v="0"/>
  </r>
  <r>
    <s v="ORD-6830"/>
    <d v="2025-06-28T00:00:00"/>
    <x v="11"/>
    <s v="CUST-552"/>
    <x v="0"/>
    <x v="0"/>
    <x v="0"/>
    <x v="9"/>
    <x v="1"/>
    <n v="1"/>
    <n v="1899"/>
    <n v="0"/>
    <n v="0"/>
    <n v="1899"/>
    <n v="1899"/>
    <x v="0"/>
    <x v="0"/>
    <n v="0"/>
    <n v="1"/>
    <n v="0"/>
  </r>
  <r>
    <s v="ORD-6831"/>
    <d v="2025-08-12T00:00:00"/>
    <x v="0"/>
    <s v="CUST-703"/>
    <x v="4"/>
    <x v="4"/>
    <x v="2"/>
    <x v="1"/>
    <x v="1"/>
    <n v="1"/>
    <n v="3999"/>
    <n v="0"/>
    <n v="0"/>
    <n v="3999"/>
    <n v="3999"/>
    <x v="0"/>
    <x v="0"/>
    <n v="80"/>
    <n v="1"/>
    <n v="0"/>
  </r>
  <r>
    <s v="ORD-6832"/>
    <d v="2025-01-08T00:00:00"/>
    <x v="7"/>
    <s v="CUST-707"/>
    <x v="7"/>
    <x v="7"/>
    <x v="1"/>
    <x v="3"/>
    <x v="0"/>
    <n v="3"/>
    <n v="899"/>
    <n v="0.2"/>
    <n v="179.8"/>
    <n v="2697"/>
    <n v="2517.1999999999998"/>
    <x v="3"/>
    <x v="0"/>
    <n v="80"/>
    <n v="0.93333333333333324"/>
    <n v="0"/>
  </r>
  <r>
    <s v="ORD-6833"/>
    <d v="2025-07-25T00:00:00"/>
    <x v="5"/>
    <s v="CUST-885"/>
    <x v="1"/>
    <x v="1"/>
    <x v="1"/>
    <x v="3"/>
    <x v="0"/>
    <n v="2"/>
    <n v="899"/>
    <n v="0.2"/>
    <n v="179.8"/>
    <n v="1798"/>
    <n v="1618.2"/>
    <x v="3"/>
    <x v="0"/>
    <n v="80"/>
    <n v="0.9"/>
    <n v="0"/>
  </r>
  <r>
    <s v="ORD-6834"/>
    <d v="2025-04-05T00:00:00"/>
    <x v="6"/>
    <s v="CUST-685"/>
    <x v="3"/>
    <x v="3"/>
    <x v="3"/>
    <x v="11"/>
    <x v="2"/>
    <n v="5"/>
    <n v="5499"/>
    <n v="0.15"/>
    <n v="824.85"/>
    <n v="27495"/>
    <n v="26670.15"/>
    <x v="2"/>
    <x v="0"/>
    <n v="0"/>
    <n v="0.97000000000000008"/>
    <n v="0"/>
  </r>
  <r>
    <s v="ORD-6835"/>
    <d v="2025-11-03T00:00:00"/>
    <x v="10"/>
    <s v="CUST-781"/>
    <x v="0"/>
    <x v="0"/>
    <x v="0"/>
    <x v="5"/>
    <x v="0"/>
    <n v="2"/>
    <n v="2299"/>
    <n v="0.25"/>
    <n v="574.75"/>
    <n v="4598"/>
    <n v="4023.25"/>
    <x v="2"/>
    <x v="0"/>
    <n v="0"/>
    <n v="0.875"/>
    <n v="0"/>
  </r>
  <r>
    <s v="ORD-6836"/>
    <d v="2025-11-09T00:00:00"/>
    <x v="10"/>
    <s v="CUST-538"/>
    <x v="3"/>
    <x v="3"/>
    <x v="3"/>
    <x v="9"/>
    <x v="1"/>
    <n v="1"/>
    <n v="1899"/>
    <n v="0"/>
    <n v="0"/>
    <n v="1899"/>
    <n v="1899"/>
    <x v="2"/>
    <x v="1"/>
    <n v="60"/>
    <n v="1"/>
    <n v="0"/>
  </r>
  <r>
    <s v="ORD-6837"/>
    <d v="2025-06-24T00:00:00"/>
    <x v="11"/>
    <s v="CUST-858"/>
    <x v="0"/>
    <x v="0"/>
    <x v="0"/>
    <x v="5"/>
    <x v="0"/>
    <n v="1"/>
    <n v="2299"/>
    <n v="0.15"/>
    <n v="344.84999999999997"/>
    <n v="2299"/>
    <n v="1954.15"/>
    <x v="3"/>
    <x v="2"/>
    <n v="40"/>
    <n v="0.85000000000000009"/>
    <n v="0"/>
  </r>
  <r>
    <s v="ORD-6838"/>
    <d v="2025-10-07T00:00:00"/>
    <x v="2"/>
    <s v="CUST-383"/>
    <x v="8"/>
    <x v="1"/>
    <x v="1"/>
    <x v="17"/>
    <x v="1"/>
    <n v="4"/>
    <n v="2199"/>
    <n v="0"/>
    <n v="0"/>
    <n v="8796"/>
    <n v="8796"/>
    <x v="3"/>
    <x v="0"/>
    <n v="80"/>
    <n v="1"/>
    <n v="0"/>
  </r>
  <r>
    <s v="ORD-6839"/>
    <d v="2025-03-21T00:00:00"/>
    <x v="1"/>
    <s v="CUST-567"/>
    <x v="3"/>
    <x v="3"/>
    <x v="3"/>
    <x v="8"/>
    <x v="1"/>
    <n v="3"/>
    <n v="2499"/>
    <n v="0.15"/>
    <n v="374.84999999999997"/>
    <n v="7497"/>
    <n v="7122.15"/>
    <x v="3"/>
    <x v="0"/>
    <n v="80"/>
    <n v="0.95"/>
    <n v="0"/>
  </r>
  <r>
    <s v="ORD-6840"/>
    <d v="2025-07-02T00:00:00"/>
    <x v="5"/>
    <s v="CUST-876"/>
    <x v="4"/>
    <x v="4"/>
    <x v="2"/>
    <x v="1"/>
    <x v="1"/>
    <n v="2"/>
    <n v="3999"/>
    <n v="0.2"/>
    <n v="799.80000000000007"/>
    <n v="7998"/>
    <n v="7198.2"/>
    <x v="3"/>
    <x v="0"/>
    <n v="80"/>
    <n v="0.9"/>
    <n v="0"/>
  </r>
  <r>
    <s v="ORD-6841"/>
    <d v="2025-07-07T00:00:00"/>
    <x v="5"/>
    <s v="CUST-259"/>
    <x v="3"/>
    <x v="3"/>
    <x v="3"/>
    <x v="8"/>
    <x v="1"/>
    <n v="1"/>
    <n v="2499"/>
    <n v="0.25"/>
    <n v="624.75"/>
    <n v="2499"/>
    <n v="1874.25"/>
    <x v="0"/>
    <x v="0"/>
    <n v="0"/>
    <n v="0.75"/>
    <n v="0"/>
  </r>
  <r>
    <s v="ORD-6842"/>
    <d v="2025-06-10T00:00:00"/>
    <x v="11"/>
    <s v="CUST-550"/>
    <x v="1"/>
    <x v="1"/>
    <x v="1"/>
    <x v="19"/>
    <x v="2"/>
    <n v="1"/>
    <n v="1499"/>
    <n v="0.25"/>
    <n v="374.75"/>
    <n v="1499"/>
    <n v="1124.25"/>
    <x v="0"/>
    <x v="1"/>
    <n v="80"/>
    <n v="0.75"/>
    <n v="0"/>
  </r>
  <r>
    <s v="ORD-6843"/>
    <d v="2025-09-03T00:00:00"/>
    <x v="3"/>
    <s v="CUST-521"/>
    <x v="6"/>
    <x v="6"/>
    <x v="2"/>
    <x v="13"/>
    <x v="2"/>
    <n v="1"/>
    <n v="449"/>
    <n v="0"/>
    <n v="0"/>
    <n v="449"/>
    <n v="449"/>
    <x v="3"/>
    <x v="0"/>
    <n v="80"/>
    <n v="1"/>
    <n v="0"/>
  </r>
  <r>
    <s v="ORD-6845"/>
    <d v="2025-06-23T00:00:00"/>
    <x v="11"/>
    <s v="CUST-333"/>
    <x v="4"/>
    <x v="4"/>
    <x v="2"/>
    <x v="11"/>
    <x v="2"/>
    <n v="1"/>
    <n v="5499"/>
    <n v="0.25"/>
    <n v="1374.75"/>
    <n v="5499"/>
    <n v="4124.25"/>
    <x v="3"/>
    <x v="0"/>
    <n v="60"/>
    <n v="0.75"/>
    <n v="0"/>
  </r>
  <r>
    <s v="ORD-6846"/>
    <d v="2025-02-15T00:00:00"/>
    <x v="9"/>
    <s v="CUST-801"/>
    <x v="1"/>
    <x v="1"/>
    <x v="1"/>
    <x v="1"/>
    <x v="1"/>
    <n v="1"/>
    <n v="3999"/>
    <n v="0"/>
    <n v="0"/>
    <n v="3999"/>
    <n v="3999"/>
    <x v="3"/>
    <x v="0"/>
    <n v="40"/>
    <n v="1"/>
    <n v="0"/>
  </r>
  <r>
    <s v="ORD-6847"/>
    <d v="2025-12-02T00:00:00"/>
    <x v="4"/>
    <s v="CUST-628"/>
    <x v="5"/>
    <x v="5"/>
    <x v="3"/>
    <x v="13"/>
    <x v="2"/>
    <n v="1"/>
    <n v="449"/>
    <n v="0"/>
    <n v="0"/>
    <n v="449"/>
    <n v="449"/>
    <x v="2"/>
    <x v="0"/>
    <n v="80"/>
    <n v="1"/>
    <n v="0"/>
  </r>
  <r>
    <s v="ORD-6848"/>
    <d v="2025-10-27T00:00:00"/>
    <x v="2"/>
    <s v="CUST-688"/>
    <x v="3"/>
    <x v="3"/>
    <x v="3"/>
    <x v="4"/>
    <x v="3"/>
    <n v="4"/>
    <n v="349"/>
    <n v="0.1"/>
    <n v="34.9"/>
    <n v="1396"/>
    <n v="1361.1"/>
    <x v="0"/>
    <x v="0"/>
    <n v="0"/>
    <n v="0.97499999999999998"/>
    <n v="0"/>
  </r>
  <r>
    <s v="ORD-6849"/>
    <d v="2025-03-14T00:00:00"/>
    <x v="1"/>
    <s v="CUST-506"/>
    <x v="3"/>
    <x v="3"/>
    <x v="3"/>
    <x v="7"/>
    <x v="1"/>
    <n v="1"/>
    <n v="1299"/>
    <n v="0.1"/>
    <n v="129.9"/>
    <n v="1299"/>
    <n v="1169.0999999999999"/>
    <x v="3"/>
    <x v="0"/>
    <n v="40"/>
    <n v="0.89999999999999991"/>
    <n v="0"/>
  </r>
  <r>
    <s v="ORD-6850"/>
    <d v="2025-03-22T00:00:00"/>
    <x v="1"/>
    <s v="CUST-219"/>
    <x v="1"/>
    <x v="1"/>
    <x v="1"/>
    <x v="10"/>
    <x v="0"/>
    <n v="3"/>
    <n v="599"/>
    <n v="0.05"/>
    <n v="29.950000000000003"/>
    <n v="1797"/>
    <n v="1767.05"/>
    <x v="1"/>
    <x v="1"/>
    <n v="80"/>
    <n v="0.98333333333333328"/>
    <n v="0"/>
  </r>
  <r>
    <s v="ORD-6851"/>
    <d v="2025-01-19T00:00:00"/>
    <x v="7"/>
    <s v="CUST-722"/>
    <x v="4"/>
    <x v="4"/>
    <x v="2"/>
    <x v="7"/>
    <x v="1"/>
    <n v="1"/>
    <n v="1299"/>
    <n v="0.25"/>
    <n v="324.75"/>
    <n v="1299"/>
    <n v="974.25"/>
    <x v="3"/>
    <x v="0"/>
    <n v="40"/>
    <n v="0.75"/>
    <n v="0"/>
  </r>
  <r>
    <s v="ORD-6852"/>
    <d v="2025-09-02T00:00:00"/>
    <x v="3"/>
    <s v="CUST-899"/>
    <x v="3"/>
    <x v="3"/>
    <x v="3"/>
    <x v="1"/>
    <x v="1"/>
    <n v="1"/>
    <n v="3999"/>
    <n v="0.05"/>
    <n v="199.95000000000002"/>
    <n v="3999"/>
    <n v="3799.05"/>
    <x v="2"/>
    <x v="0"/>
    <n v="60"/>
    <n v="0.95000000000000007"/>
    <n v="0"/>
  </r>
  <r>
    <s v="ORD-6853"/>
    <d v="2025-09-03T00:00:00"/>
    <x v="3"/>
    <s v="CUST-480"/>
    <x v="8"/>
    <x v="1"/>
    <x v="1"/>
    <x v="7"/>
    <x v="1"/>
    <n v="3"/>
    <n v="1299"/>
    <n v="0.05"/>
    <n v="64.95"/>
    <n v="3897"/>
    <n v="3832.05"/>
    <x v="3"/>
    <x v="1"/>
    <n v="40"/>
    <n v="0.98333333333333339"/>
    <n v="0"/>
  </r>
  <r>
    <s v="ORD-6854"/>
    <d v="2025-10-14T00:00:00"/>
    <x v="2"/>
    <s v="CUST-834"/>
    <x v="10"/>
    <x v="9"/>
    <x v="4"/>
    <x v="9"/>
    <x v="1"/>
    <n v="1"/>
    <n v="1899"/>
    <n v="0.2"/>
    <n v="379.8"/>
    <n v="1899"/>
    <n v="1519.2"/>
    <x v="0"/>
    <x v="0"/>
    <n v="60"/>
    <n v="0.8"/>
    <n v="0"/>
  </r>
  <r>
    <s v="ORD-6855"/>
    <d v="2025-11-01T00:00:00"/>
    <x v="10"/>
    <s v="CUST-488"/>
    <x v="8"/>
    <x v="1"/>
    <x v="1"/>
    <x v="19"/>
    <x v="2"/>
    <n v="1"/>
    <n v="1499"/>
    <n v="0.25"/>
    <n v="374.75"/>
    <n v="1499"/>
    <n v="1124.25"/>
    <x v="3"/>
    <x v="0"/>
    <n v="60"/>
    <n v="0.75"/>
    <n v="0"/>
  </r>
  <r>
    <s v="ORD-6856"/>
    <d v="2025-11-16T00:00:00"/>
    <x v="10"/>
    <s v="CUST-806"/>
    <x v="1"/>
    <x v="1"/>
    <x v="1"/>
    <x v="12"/>
    <x v="1"/>
    <n v="1"/>
    <n v="799"/>
    <n v="0.05"/>
    <n v="39.950000000000003"/>
    <n v="799"/>
    <n v="759.05"/>
    <x v="2"/>
    <x v="0"/>
    <n v="80"/>
    <n v="0.95"/>
    <n v="0"/>
  </r>
  <r>
    <s v="ORD-6857"/>
    <d v="2025-04-15T00:00:00"/>
    <x v="6"/>
    <s v="CUST-791"/>
    <x v="1"/>
    <x v="1"/>
    <x v="1"/>
    <x v="13"/>
    <x v="2"/>
    <n v="1"/>
    <n v="449"/>
    <n v="0"/>
    <n v="0"/>
    <n v="449"/>
    <n v="449"/>
    <x v="1"/>
    <x v="0"/>
    <n v="80"/>
    <n v="1"/>
    <n v="0"/>
  </r>
  <r>
    <s v="ORD-6858"/>
    <d v="2025-03-10T00:00:00"/>
    <x v="1"/>
    <s v="CUST-838"/>
    <x v="1"/>
    <x v="1"/>
    <x v="1"/>
    <x v="20"/>
    <x v="3"/>
    <n v="1"/>
    <n v="499"/>
    <n v="0.1"/>
    <n v="49.900000000000006"/>
    <n v="499"/>
    <n v="449.1"/>
    <x v="2"/>
    <x v="0"/>
    <n v="0"/>
    <n v="0.9"/>
    <n v="0"/>
  </r>
  <r>
    <s v="ORD-6859"/>
    <d v="2025-10-11T00:00:00"/>
    <x v="2"/>
    <s v="CUST-573"/>
    <x v="3"/>
    <x v="3"/>
    <x v="3"/>
    <x v="17"/>
    <x v="1"/>
    <n v="4"/>
    <n v="2199"/>
    <n v="0.25"/>
    <n v="549.75"/>
    <n v="8796"/>
    <n v="8246.25"/>
    <x v="2"/>
    <x v="1"/>
    <n v="60"/>
    <n v="0.9375"/>
    <n v="0"/>
  </r>
  <r>
    <s v="ORD-6860"/>
    <d v="2025-08-24T00:00:00"/>
    <x v="0"/>
    <s v="CUST-271"/>
    <x v="7"/>
    <x v="7"/>
    <x v="1"/>
    <x v="1"/>
    <x v="1"/>
    <n v="1"/>
    <n v="3999"/>
    <n v="0"/>
    <n v="0"/>
    <n v="3999"/>
    <n v="3999"/>
    <x v="3"/>
    <x v="0"/>
    <n v="60"/>
    <n v="1"/>
    <n v="0"/>
  </r>
  <r>
    <s v="ORD-6861"/>
    <d v="2025-11-12T00:00:00"/>
    <x v="10"/>
    <s v="CUST-650"/>
    <x v="3"/>
    <x v="3"/>
    <x v="3"/>
    <x v="9"/>
    <x v="1"/>
    <n v="1"/>
    <n v="1899"/>
    <n v="0.05"/>
    <n v="94.95"/>
    <n v="1899"/>
    <n v="1804.05"/>
    <x v="3"/>
    <x v="0"/>
    <n v="0"/>
    <n v="0.95"/>
    <n v="0"/>
  </r>
  <r>
    <s v="ORD-6862"/>
    <d v="2025-11-15T00:00:00"/>
    <x v="10"/>
    <s v="CUST-779"/>
    <x v="3"/>
    <x v="3"/>
    <x v="3"/>
    <x v="7"/>
    <x v="1"/>
    <n v="1"/>
    <n v="1299"/>
    <n v="0.2"/>
    <n v="259.8"/>
    <n v="1299"/>
    <n v="1039.2"/>
    <x v="2"/>
    <x v="1"/>
    <n v="80"/>
    <n v="0.8"/>
    <n v="0"/>
  </r>
  <r>
    <s v="ORD-6863"/>
    <d v="2025-03-11T00:00:00"/>
    <x v="1"/>
    <s v="CUST-671"/>
    <x v="3"/>
    <x v="3"/>
    <x v="3"/>
    <x v="19"/>
    <x v="2"/>
    <n v="1"/>
    <n v="1499"/>
    <n v="0"/>
    <n v="0"/>
    <n v="1499"/>
    <n v="1499"/>
    <x v="3"/>
    <x v="1"/>
    <n v="40"/>
    <n v="1"/>
    <n v="0"/>
  </r>
  <r>
    <s v="ORD-6864"/>
    <d v="2025-12-01T00:00:00"/>
    <x v="4"/>
    <s v="CUST-839"/>
    <x v="8"/>
    <x v="1"/>
    <x v="1"/>
    <x v="9"/>
    <x v="1"/>
    <n v="1"/>
    <n v="1899"/>
    <n v="0"/>
    <n v="0"/>
    <n v="1899"/>
    <n v="1899"/>
    <x v="0"/>
    <x v="0"/>
    <n v="40"/>
    <n v="1"/>
    <n v="0"/>
  </r>
  <r>
    <s v="ORD-6865"/>
    <d v="2025-12-29T00:00:00"/>
    <x v="4"/>
    <s v="CUST-824"/>
    <x v="3"/>
    <x v="3"/>
    <x v="3"/>
    <x v="20"/>
    <x v="3"/>
    <n v="5"/>
    <n v="499"/>
    <n v="0.2"/>
    <n v="99.800000000000011"/>
    <n v="2495"/>
    <n v="2395.1999999999998"/>
    <x v="0"/>
    <x v="0"/>
    <n v="60"/>
    <n v="0.96"/>
    <n v="0"/>
  </r>
  <r>
    <s v="ORD-6866"/>
    <d v="2025-08-18T00:00:00"/>
    <x v="0"/>
    <s v="CUST-513"/>
    <x v="5"/>
    <x v="5"/>
    <x v="3"/>
    <x v="20"/>
    <x v="3"/>
    <n v="5"/>
    <n v="499"/>
    <n v="0"/>
    <n v="0"/>
    <n v="2495"/>
    <n v="2495"/>
    <x v="0"/>
    <x v="0"/>
    <n v="60"/>
    <n v="1"/>
    <n v="0"/>
  </r>
  <r>
    <s v="ORD-6867"/>
    <d v="2025-04-11T00:00:00"/>
    <x v="6"/>
    <s v="CUST-705"/>
    <x v="0"/>
    <x v="0"/>
    <x v="0"/>
    <x v="20"/>
    <x v="3"/>
    <n v="1"/>
    <n v="499"/>
    <n v="0.2"/>
    <n v="99.800000000000011"/>
    <n v="499"/>
    <n v="399.2"/>
    <x v="0"/>
    <x v="0"/>
    <n v="0"/>
    <n v="0.79999999999999993"/>
    <n v="0"/>
  </r>
  <r>
    <s v="ORD-6868"/>
    <d v="2025-08-26T00:00:00"/>
    <x v="0"/>
    <s v="CUST-419"/>
    <x v="6"/>
    <x v="6"/>
    <x v="2"/>
    <x v="9"/>
    <x v="1"/>
    <n v="1"/>
    <n v="1899"/>
    <n v="0.25"/>
    <n v="474.75"/>
    <n v="1899"/>
    <n v="1424.25"/>
    <x v="1"/>
    <x v="0"/>
    <n v="0"/>
    <n v="0.75"/>
    <n v="0"/>
  </r>
  <r>
    <s v="ORD-6870"/>
    <d v="2025-05-09T00:00:00"/>
    <x v="8"/>
    <s v="CUST-667"/>
    <x v="9"/>
    <x v="8"/>
    <x v="1"/>
    <x v="21"/>
    <x v="4"/>
    <n v="2"/>
    <n v="699"/>
    <n v="0.05"/>
    <n v="34.950000000000003"/>
    <n v="1398"/>
    <n v="1363.05"/>
    <x v="0"/>
    <x v="0"/>
    <n v="0"/>
    <n v="0.97499999999999998"/>
    <n v="0"/>
  </r>
  <r>
    <s v="ORD-6871"/>
    <d v="2025-09-23T00:00:00"/>
    <x v="3"/>
    <s v="CUST-870"/>
    <x v="8"/>
    <x v="1"/>
    <x v="1"/>
    <x v="8"/>
    <x v="1"/>
    <n v="1"/>
    <n v="2499"/>
    <n v="0.25"/>
    <n v="624.75"/>
    <n v="2499"/>
    <n v="1874.25"/>
    <x v="2"/>
    <x v="0"/>
    <n v="40"/>
    <n v="0.75"/>
    <n v="0"/>
  </r>
  <r>
    <s v="ORD-6872"/>
    <d v="2025-05-29T00:00:00"/>
    <x v="8"/>
    <s v="CUST-839"/>
    <x v="1"/>
    <x v="1"/>
    <x v="1"/>
    <x v="20"/>
    <x v="3"/>
    <n v="1"/>
    <n v="499"/>
    <n v="0"/>
    <n v="0"/>
    <n v="499"/>
    <n v="499"/>
    <x v="2"/>
    <x v="0"/>
    <n v="40"/>
    <n v="1"/>
    <n v="0"/>
  </r>
  <r>
    <s v="ORD-6873"/>
    <d v="2025-01-11T00:00:00"/>
    <x v="7"/>
    <s v="CUST-421"/>
    <x v="8"/>
    <x v="1"/>
    <x v="1"/>
    <x v="3"/>
    <x v="0"/>
    <n v="1"/>
    <n v="899"/>
    <n v="0.15"/>
    <n v="134.85"/>
    <n v="899"/>
    <n v="764.15"/>
    <x v="3"/>
    <x v="0"/>
    <n v="80"/>
    <n v="0.85"/>
    <n v="0"/>
  </r>
  <r>
    <s v="ORD-6874"/>
    <d v="2025-05-08T00:00:00"/>
    <x v="8"/>
    <s v="CUST-687"/>
    <x v="0"/>
    <x v="0"/>
    <x v="0"/>
    <x v="10"/>
    <x v="0"/>
    <n v="2"/>
    <n v="599"/>
    <n v="0"/>
    <n v="0"/>
    <n v="1198"/>
    <n v="1198"/>
    <x v="3"/>
    <x v="0"/>
    <n v="0"/>
    <n v="1"/>
    <n v="0"/>
  </r>
  <r>
    <s v="ORD-6875"/>
    <d v="2025-05-25T00:00:00"/>
    <x v="8"/>
    <s v="CUST-494"/>
    <x v="9"/>
    <x v="8"/>
    <x v="1"/>
    <x v="21"/>
    <x v="4"/>
    <n v="3"/>
    <n v="699"/>
    <n v="0.2"/>
    <n v="139.80000000000001"/>
    <n v="2097"/>
    <n v="1957.2"/>
    <x v="1"/>
    <x v="0"/>
    <n v="80"/>
    <n v="0.93333333333333335"/>
    <n v="0"/>
  </r>
  <r>
    <s v="ORD-6876"/>
    <d v="2025-07-24T00:00:00"/>
    <x v="5"/>
    <s v="CUST-835"/>
    <x v="9"/>
    <x v="8"/>
    <x v="1"/>
    <x v="10"/>
    <x v="0"/>
    <n v="1"/>
    <n v="599"/>
    <n v="0"/>
    <n v="0"/>
    <n v="599"/>
    <n v="599"/>
    <x v="2"/>
    <x v="0"/>
    <n v="60"/>
    <n v="1"/>
    <n v="0"/>
  </r>
  <r>
    <s v="ORD-6877"/>
    <d v="2025-07-08T00:00:00"/>
    <x v="5"/>
    <s v="CUST-407"/>
    <x v="3"/>
    <x v="3"/>
    <x v="3"/>
    <x v="13"/>
    <x v="2"/>
    <n v="3"/>
    <n v="449"/>
    <n v="0.25"/>
    <n v="112.25"/>
    <n v="1347"/>
    <n v="1234.75"/>
    <x v="0"/>
    <x v="0"/>
    <n v="40"/>
    <n v="0.91666666666666663"/>
    <n v="0"/>
  </r>
  <r>
    <s v="ORD-6878"/>
    <d v="2025-07-30T00:00:00"/>
    <x v="5"/>
    <s v="CUST-652"/>
    <x v="7"/>
    <x v="7"/>
    <x v="1"/>
    <x v="5"/>
    <x v="0"/>
    <n v="2"/>
    <n v="2299"/>
    <n v="0"/>
    <n v="0"/>
    <n v="4598"/>
    <n v="4598"/>
    <x v="2"/>
    <x v="0"/>
    <n v="80"/>
    <n v="1"/>
    <n v="0"/>
  </r>
  <r>
    <s v="ORD-6879"/>
    <d v="2025-09-01T00:00:00"/>
    <x v="3"/>
    <s v="CUST-816"/>
    <x v="1"/>
    <x v="1"/>
    <x v="1"/>
    <x v="10"/>
    <x v="0"/>
    <n v="1"/>
    <n v="599"/>
    <n v="0.2"/>
    <n v="119.80000000000001"/>
    <n v="599"/>
    <n v="479.2"/>
    <x v="3"/>
    <x v="1"/>
    <n v="60"/>
    <n v="0.79999999999999993"/>
    <n v="0"/>
  </r>
  <r>
    <s v="ORD-6880"/>
    <d v="2025-12-17T00:00:00"/>
    <x v="4"/>
    <s v="CUST-803"/>
    <x v="6"/>
    <x v="6"/>
    <x v="2"/>
    <x v="17"/>
    <x v="1"/>
    <n v="2"/>
    <n v="2199"/>
    <n v="0.2"/>
    <n v="439.8"/>
    <n v="4398"/>
    <n v="3958.2"/>
    <x v="2"/>
    <x v="0"/>
    <n v="60"/>
    <n v="0.89999999999999991"/>
    <n v="0"/>
  </r>
  <r>
    <s v="ORD-6881"/>
    <d v="2025-04-22T00:00:00"/>
    <x v="6"/>
    <s v="CUST-787"/>
    <x v="8"/>
    <x v="1"/>
    <x v="1"/>
    <x v="8"/>
    <x v="1"/>
    <n v="5"/>
    <n v="2499"/>
    <n v="0"/>
    <n v="0"/>
    <n v="12495"/>
    <n v="12495"/>
    <x v="2"/>
    <x v="0"/>
    <n v="0"/>
    <n v="1"/>
    <n v="0"/>
  </r>
  <r>
    <s v="ORD-6882"/>
    <d v="2025-09-09T00:00:00"/>
    <x v="3"/>
    <s v="CUST-386"/>
    <x v="4"/>
    <x v="4"/>
    <x v="2"/>
    <x v="2"/>
    <x v="2"/>
    <n v="2"/>
    <n v="2799"/>
    <n v="0.25"/>
    <n v="699.75"/>
    <n v="5598"/>
    <n v="4898.25"/>
    <x v="0"/>
    <x v="0"/>
    <n v="60"/>
    <n v="0.875"/>
    <n v="0"/>
  </r>
  <r>
    <s v="ORD-6883"/>
    <d v="2025-07-06T00:00:00"/>
    <x v="5"/>
    <s v="CUST-364"/>
    <x v="1"/>
    <x v="1"/>
    <x v="1"/>
    <x v="5"/>
    <x v="0"/>
    <n v="1"/>
    <n v="2299"/>
    <n v="0.2"/>
    <n v="459.8"/>
    <n v="2299"/>
    <n v="1839.2"/>
    <x v="0"/>
    <x v="0"/>
    <n v="80"/>
    <n v="0.8"/>
    <n v="0"/>
  </r>
  <r>
    <s v="ORD-6884"/>
    <d v="2025-06-09T00:00:00"/>
    <x v="11"/>
    <s v="CUST-563"/>
    <x v="4"/>
    <x v="4"/>
    <x v="2"/>
    <x v="16"/>
    <x v="4"/>
    <n v="1"/>
    <n v="1599"/>
    <n v="0.15"/>
    <n v="239.85"/>
    <n v="1599"/>
    <n v="1359.15"/>
    <x v="1"/>
    <x v="0"/>
    <n v="60"/>
    <n v="0.85000000000000009"/>
    <n v="0"/>
  </r>
  <r>
    <s v="ORD-6885"/>
    <d v="2025-07-26T00:00:00"/>
    <x v="5"/>
    <s v="CUST-833"/>
    <x v="1"/>
    <x v="1"/>
    <x v="1"/>
    <x v="9"/>
    <x v="1"/>
    <n v="1"/>
    <n v="1899"/>
    <n v="0"/>
    <n v="0"/>
    <n v="1899"/>
    <n v="1899"/>
    <x v="2"/>
    <x v="0"/>
    <n v="60"/>
    <n v="1"/>
    <n v="0"/>
  </r>
  <r>
    <s v="ORD-6886"/>
    <d v="2025-11-28T00:00:00"/>
    <x v="10"/>
    <s v="CUST-326"/>
    <x v="7"/>
    <x v="7"/>
    <x v="1"/>
    <x v="1"/>
    <x v="1"/>
    <n v="1"/>
    <n v="3999"/>
    <n v="0.15"/>
    <n v="599.85"/>
    <n v="3999"/>
    <n v="3399.15"/>
    <x v="2"/>
    <x v="0"/>
    <n v="60"/>
    <n v="0.85"/>
    <n v="0"/>
  </r>
  <r>
    <s v="ORD-6887"/>
    <d v="2025-04-29T00:00:00"/>
    <x v="6"/>
    <s v="CUST-866"/>
    <x v="8"/>
    <x v="1"/>
    <x v="1"/>
    <x v="1"/>
    <x v="1"/>
    <n v="3"/>
    <n v="3999"/>
    <n v="0.15"/>
    <n v="599.85"/>
    <n v="11997"/>
    <n v="11397.15"/>
    <x v="3"/>
    <x v="0"/>
    <n v="0"/>
    <n v="0.95"/>
    <n v="0"/>
  </r>
  <r>
    <s v="ORD-6888"/>
    <d v="2025-06-01T00:00:00"/>
    <x v="11"/>
    <s v="CUST-608"/>
    <x v="1"/>
    <x v="1"/>
    <x v="1"/>
    <x v="8"/>
    <x v="1"/>
    <n v="1"/>
    <n v="2499"/>
    <n v="0"/>
    <n v="0"/>
    <n v="2499"/>
    <n v="2499"/>
    <x v="2"/>
    <x v="0"/>
    <n v="60"/>
    <n v="1"/>
    <n v="0"/>
  </r>
  <r>
    <s v="ORD-6889"/>
    <d v="2025-02-21T00:00:00"/>
    <x v="9"/>
    <s v="CUST-226"/>
    <x v="3"/>
    <x v="3"/>
    <x v="3"/>
    <x v="10"/>
    <x v="0"/>
    <n v="1"/>
    <n v="599"/>
    <n v="0.2"/>
    <n v="119.80000000000001"/>
    <n v="599"/>
    <n v="479.2"/>
    <x v="0"/>
    <x v="1"/>
    <n v="40"/>
    <n v="0.79999999999999993"/>
    <n v="0"/>
  </r>
  <r>
    <s v="ORD-6890"/>
    <d v="2025-02-08T00:00:00"/>
    <x v="9"/>
    <s v="CUST-215"/>
    <x v="6"/>
    <x v="6"/>
    <x v="2"/>
    <x v="15"/>
    <x v="3"/>
    <n v="1"/>
    <n v="299"/>
    <n v="0.15"/>
    <n v="44.85"/>
    <n v="299"/>
    <n v="254.15"/>
    <x v="0"/>
    <x v="0"/>
    <n v="80"/>
    <n v="0.85"/>
    <n v="0"/>
  </r>
  <r>
    <s v="ORD-6891"/>
    <d v="2025-04-19T00:00:00"/>
    <x v="6"/>
    <s v="CUST-458"/>
    <x v="9"/>
    <x v="8"/>
    <x v="1"/>
    <x v="19"/>
    <x v="2"/>
    <n v="1"/>
    <n v="1499"/>
    <n v="0"/>
    <n v="0"/>
    <n v="1499"/>
    <n v="1499"/>
    <x v="3"/>
    <x v="0"/>
    <n v="80"/>
    <n v="1"/>
    <n v="0"/>
  </r>
  <r>
    <s v="ORD-6892"/>
    <d v="2025-10-26T00:00:00"/>
    <x v="2"/>
    <s v="CUST-394"/>
    <x v="3"/>
    <x v="3"/>
    <x v="3"/>
    <x v="16"/>
    <x v="4"/>
    <n v="2"/>
    <n v="1599"/>
    <n v="0.2"/>
    <n v="319.8"/>
    <n v="3198"/>
    <n v="2878.2"/>
    <x v="2"/>
    <x v="0"/>
    <n v="60"/>
    <n v="0.89999999999999991"/>
    <n v="0"/>
  </r>
  <r>
    <s v="ORD-6893"/>
    <d v="2025-10-05T00:00:00"/>
    <x v="2"/>
    <s v="CUST-404"/>
    <x v="1"/>
    <x v="1"/>
    <x v="1"/>
    <x v="11"/>
    <x v="2"/>
    <n v="2"/>
    <n v="5499"/>
    <n v="0.1"/>
    <n v="549.9"/>
    <n v="10998"/>
    <n v="10448.1"/>
    <x v="0"/>
    <x v="0"/>
    <n v="60"/>
    <n v="0.95000000000000007"/>
    <n v="0"/>
  </r>
  <r>
    <s v="ORD-6894"/>
    <d v="2025-08-09T00:00:00"/>
    <x v="0"/>
    <s v="CUST-732"/>
    <x v="1"/>
    <x v="1"/>
    <x v="1"/>
    <x v="4"/>
    <x v="3"/>
    <n v="2"/>
    <n v="349"/>
    <n v="0.15"/>
    <n v="52.35"/>
    <n v="698"/>
    <n v="645.65"/>
    <x v="3"/>
    <x v="0"/>
    <n v="80"/>
    <n v="0.92499999999999993"/>
    <n v="0"/>
  </r>
  <r>
    <s v="ORD-6895"/>
    <d v="2025-04-06T00:00:00"/>
    <x v="6"/>
    <s v="CUST-351"/>
    <x v="2"/>
    <x v="2"/>
    <x v="2"/>
    <x v="0"/>
    <x v="0"/>
    <n v="1"/>
    <n v="1799"/>
    <n v="0.05"/>
    <n v="89.95"/>
    <n v="1799"/>
    <n v="1709.05"/>
    <x v="0"/>
    <x v="0"/>
    <n v="0"/>
    <n v="0.95"/>
    <n v="0"/>
  </r>
  <r>
    <s v="ORD-6896"/>
    <d v="2025-01-29T00:00:00"/>
    <x v="7"/>
    <s v="CUST-581"/>
    <x v="4"/>
    <x v="4"/>
    <x v="2"/>
    <x v="17"/>
    <x v="1"/>
    <n v="1"/>
    <n v="2199"/>
    <n v="0.2"/>
    <n v="439.8"/>
    <n v="2199"/>
    <n v="1759.2"/>
    <x v="3"/>
    <x v="0"/>
    <n v="40"/>
    <n v="0.8"/>
    <n v="0"/>
  </r>
  <r>
    <s v="ORD-6897"/>
    <d v="2025-06-17T00:00:00"/>
    <x v="11"/>
    <s v="CUST-672"/>
    <x v="3"/>
    <x v="3"/>
    <x v="3"/>
    <x v="17"/>
    <x v="1"/>
    <n v="1"/>
    <n v="2199"/>
    <n v="0"/>
    <n v="0"/>
    <n v="2199"/>
    <n v="2199"/>
    <x v="2"/>
    <x v="0"/>
    <n v="0"/>
    <n v="1"/>
    <n v="0"/>
  </r>
  <r>
    <s v="ORD-6898"/>
    <d v="2025-03-18T00:00:00"/>
    <x v="1"/>
    <s v="CUST-235"/>
    <x v="1"/>
    <x v="1"/>
    <x v="1"/>
    <x v="19"/>
    <x v="2"/>
    <n v="2"/>
    <n v="1499"/>
    <n v="0"/>
    <n v="0"/>
    <n v="2998"/>
    <n v="2998"/>
    <x v="2"/>
    <x v="0"/>
    <n v="60"/>
    <n v="1"/>
    <n v="0"/>
  </r>
  <r>
    <s v="ORD-6899"/>
    <d v="2025-04-06T00:00:00"/>
    <x v="6"/>
    <s v="CUST-357"/>
    <x v="3"/>
    <x v="3"/>
    <x v="3"/>
    <x v="22"/>
    <x v="2"/>
    <n v="1"/>
    <n v="3299"/>
    <n v="0.05"/>
    <n v="164.95000000000002"/>
    <n v="3299"/>
    <n v="3134.05"/>
    <x v="3"/>
    <x v="0"/>
    <n v="60"/>
    <n v="0.95000000000000007"/>
    <n v="0"/>
  </r>
  <r>
    <s v="ORD-6900"/>
    <d v="2025-12-19T00:00:00"/>
    <x v="4"/>
    <s v="CUST-737"/>
    <x v="7"/>
    <x v="7"/>
    <x v="1"/>
    <x v="7"/>
    <x v="1"/>
    <n v="1"/>
    <n v="1299"/>
    <n v="0.05"/>
    <n v="64.95"/>
    <n v="1299"/>
    <n v="1234.05"/>
    <x v="2"/>
    <x v="0"/>
    <n v="60"/>
    <n v="0.95"/>
    <n v="0"/>
  </r>
  <r>
    <s v="ORD-6901"/>
    <d v="2025-03-26T00:00:00"/>
    <x v="1"/>
    <s v="CUST-310"/>
    <x v="3"/>
    <x v="3"/>
    <x v="3"/>
    <x v="22"/>
    <x v="2"/>
    <n v="1"/>
    <n v="3299"/>
    <n v="0.2"/>
    <n v="659.80000000000007"/>
    <n v="3299"/>
    <n v="2639.2"/>
    <x v="0"/>
    <x v="0"/>
    <n v="0"/>
    <n v="0.79999999999999993"/>
    <n v="0"/>
  </r>
  <r>
    <s v="ORD-6902"/>
    <d v="2025-11-21T00:00:00"/>
    <x v="10"/>
    <s v="CUST-816"/>
    <x v="9"/>
    <x v="8"/>
    <x v="1"/>
    <x v="17"/>
    <x v="1"/>
    <n v="1"/>
    <n v="2199"/>
    <n v="0.15"/>
    <n v="329.84999999999997"/>
    <n v="2199"/>
    <n v="1869.15"/>
    <x v="3"/>
    <x v="0"/>
    <n v="40"/>
    <n v="0.85000000000000009"/>
    <n v="0"/>
  </r>
  <r>
    <s v="ORD-6903"/>
    <d v="2025-11-25T00:00:00"/>
    <x v="10"/>
    <s v="CUST-578"/>
    <x v="6"/>
    <x v="6"/>
    <x v="2"/>
    <x v="3"/>
    <x v="0"/>
    <n v="1"/>
    <n v="899"/>
    <n v="0.1"/>
    <n v="89.9"/>
    <n v="899"/>
    <n v="809.1"/>
    <x v="3"/>
    <x v="0"/>
    <n v="60"/>
    <n v="0.9"/>
    <n v="0"/>
  </r>
  <r>
    <s v="ORD-6904"/>
    <d v="2025-09-26T00:00:00"/>
    <x v="3"/>
    <s v="CUST-769"/>
    <x v="3"/>
    <x v="3"/>
    <x v="3"/>
    <x v="17"/>
    <x v="1"/>
    <n v="1"/>
    <n v="2199"/>
    <n v="0.1"/>
    <n v="219.9"/>
    <n v="2199"/>
    <n v="1979.1"/>
    <x v="1"/>
    <x v="1"/>
    <n v="40"/>
    <n v="0.89999999999999991"/>
    <n v="0"/>
  </r>
  <r>
    <s v="ORD-6905"/>
    <d v="2025-04-27T00:00:00"/>
    <x v="6"/>
    <s v="CUST-857"/>
    <x v="0"/>
    <x v="0"/>
    <x v="0"/>
    <x v="7"/>
    <x v="1"/>
    <n v="1"/>
    <n v="1299"/>
    <n v="0.1"/>
    <n v="129.9"/>
    <n v="1299"/>
    <n v="1169.0999999999999"/>
    <x v="0"/>
    <x v="1"/>
    <n v="80"/>
    <n v="0.89999999999999991"/>
    <n v="0"/>
  </r>
  <r>
    <s v="ORD-6906"/>
    <d v="2025-07-25T00:00:00"/>
    <x v="5"/>
    <s v="CUST-416"/>
    <x v="4"/>
    <x v="4"/>
    <x v="2"/>
    <x v="10"/>
    <x v="0"/>
    <n v="1"/>
    <n v="599"/>
    <n v="0.25"/>
    <n v="149.75"/>
    <n v="599"/>
    <n v="449.25"/>
    <x v="1"/>
    <x v="1"/>
    <n v="60"/>
    <n v="0.75"/>
    <n v="0"/>
  </r>
  <r>
    <s v="ORD-6907"/>
    <d v="2025-07-16T00:00:00"/>
    <x v="5"/>
    <s v="CUST-501"/>
    <x v="6"/>
    <x v="6"/>
    <x v="2"/>
    <x v="2"/>
    <x v="2"/>
    <n v="1"/>
    <n v="2799"/>
    <n v="0"/>
    <n v="0"/>
    <n v="2799"/>
    <n v="2799"/>
    <x v="3"/>
    <x v="1"/>
    <n v="60"/>
    <n v="1"/>
    <n v="0"/>
  </r>
  <r>
    <s v="ORD-6908"/>
    <d v="2025-03-26T00:00:00"/>
    <x v="1"/>
    <s v="CUST-298"/>
    <x v="1"/>
    <x v="1"/>
    <x v="1"/>
    <x v="13"/>
    <x v="2"/>
    <n v="1"/>
    <n v="449"/>
    <n v="0.15"/>
    <n v="67.349999999999994"/>
    <n v="449"/>
    <n v="381.65"/>
    <x v="0"/>
    <x v="0"/>
    <n v="60"/>
    <n v="0.85"/>
    <n v="0"/>
  </r>
  <r>
    <s v="ORD-6909"/>
    <d v="2025-05-02T00:00:00"/>
    <x v="8"/>
    <s v="CUST-289"/>
    <x v="8"/>
    <x v="1"/>
    <x v="1"/>
    <x v="12"/>
    <x v="1"/>
    <n v="1"/>
    <n v="799"/>
    <n v="0.1"/>
    <n v="79.900000000000006"/>
    <n v="799"/>
    <n v="719.1"/>
    <x v="0"/>
    <x v="0"/>
    <n v="40"/>
    <n v="0.9"/>
    <n v="0"/>
  </r>
  <r>
    <s v="ORD-6911"/>
    <d v="2025-02-25T00:00:00"/>
    <x v="9"/>
    <s v="CUST-695"/>
    <x v="9"/>
    <x v="8"/>
    <x v="1"/>
    <x v="6"/>
    <x v="0"/>
    <n v="1"/>
    <n v="1599"/>
    <n v="0.1"/>
    <n v="159.9"/>
    <n v="1599"/>
    <n v="1439.1"/>
    <x v="2"/>
    <x v="0"/>
    <n v="80"/>
    <n v="0.89999999999999991"/>
    <n v="0"/>
  </r>
  <r>
    <s v="ORD-6912"/>
    <d v="2025-01-28T00:00:00"/>
    <x v="7"/>
    <s v="CUST-528"/>
    <x v="4"/>
    <x v="4"/>
    <x v="2"/>
    <x v="11"/>
    <x v="2"/>
    <n v="4"/>
    <n v="5499"/>
    <n v="0.1"/>
    <n v="549.9"/>
    <n v="21996"/>
    <n v="21446.1"/>
    <x v="2"/>
    <x v="1"/>
    <n v="40"/>
    <n v="0.97499999999999998"/>
    <n v="0"/>
  </r>
  <r>
    <s v="ORD-6913"/>
    <d v="2025-10-01T00:00:00"/>
    <x v="2"/>
    <s v="CUST-500"/>
    <x v="6"/>
    <x v="6"/>
    <x v="2"/>
    <x v="8"/>
    <x v="1"/>
    <n v="3"/>
    <n v="2499"/>
    <n v="0.2"/>
    <n v="499.8"/>
    <n v="7497"/>
    <n v="6997.2"/>
    <x v="3"/>
    <x v="0"/>
    <n v="60"/>
    <n v="0.93333333333333335"/>
    <n v="0"/>
  </r>
  <r>
    <s v="ORD-6914"/>
    <d v="2025-03-26T00:00:00"/>
    <x v="1"/>
    <s v="CUST-508"/>
    <x v="1"/>
    <x v="1"/>
    <x v="1"/>
    <x v="9"/>
    <x v="1"/>
    <n v="2"/>
    <n v="1899"/>
    <n v="0.25"/>
    <n v="474.75"/>
    <n v="3798"/>
    <n v="3323.25"/>
    <x v="0"/>
    <x v="2"/>
    <n v="0"/>
    <n v="0.875"/>
    <n v="0"/>
  </r>
  <r>
    <s v="ORD-6915"/>
    <d v="2025-01-22T00:00:00"/>
    <x v="7"/>
    <s v="CUST-423"/>
    <x v="1"/>
    <x v="1"/>
    <x v="1"/>
    <x v="3"/>
    <x v="0"/>
    <n v="1"/>
    <n v="899"/>
    <n v="0.1"/>
    <n v="89.9"/>
    <n v="899"/>
    <n v="809.1"/>
    <x v="3"/>
    <x v="1"/>
    <n v="0"/>
    <n v="0.9"/>
    <n v="0"/>
  </r>
  <r>
    <s v="ORD-6916"/>
    <d v="2025-09-11T00:00:00"/>
    <x v="3"/>
    <s v="CUST-287"/>
    <x v="1"/>
    <x v="1"/>
    <x v="1"/>
    <x v="13"/>
    <x v="2"/>
    <n v="3"/>
    <n v="449"/>
    <n v="0.25"/>
    <n v="112.25"/>
    <n v="1347"/>
    <n v="1234.75"/>
    <x v="3"/>
    <x v="0"/>
    <n v="40"/>
    <n v="0.91666666666666663"/>
    <n v="0"/>
  </r>
  <r>
    <s v="ORD-6917"/>
    <d v="2025-08-10T00:00:00"/>
    <x v="0"/>
    <s v="CUST-260"/>
    <x v="8"/>
    <x v="1"/>
    <x v="1"/>
    <x v="19"/>
    <x v="2"/>
    <n v="1"/>
    <n v="1499"/>
    <n v="0.2"/>
    <n v="299.8"/>
    <n v="1499"/>
    <n v="1199.2"/>
    <x v="0"/>
    <x v="0"/>
    <n v="80"/>
    <n v="0.8"/>
    <n v="0"/>
  </r>
  <r>
    <s v="ORD-6918"/>
    <d v="2025-03-26T00:00:00"/>
    <x v="1"/>
    <s v="CUST-354"/>
    <x v="4"/>
    <x v="4"/>
    <x v="2"/>
    <x v="11"/>
    <x v="2"/>
    <n v="1"/>
    <n v="5499"/>
    <n v="0"/>
    <n v="0"/>
    <n v="5499"/>
    <n v="5499"/>
    <x v="2"/>
    <x v="0"/>
    <n v="60"/>
    <n v="1"/>
    <n v="0"/>
  </r>
  <r>
    <s v="ORD-6919"/>
    <d v="2025-07-13T00:00:00"/>
    <x v="5"/>
    <s v="CUST-627"/>
    <x v="7"/>
    <x v="7"/>
    <x v="1"/>
    <x v="9"/>
    <x v="1"/>
    <n v="2"/>
    <n v="1899"/>
    <n v="0.1"/>
    <n v="189.9"/>
    <n v="3798"/>
    <n v="3608.1"/>
    <x v="1"/>
    <x v="0"/>
    <n v="60"/>
    <n v="0.95"/>
    <n v="0"/>
  </r>
  <r>
    <s v="ORD-6920"/>
    <d v="2025-09-15T00:00:00"/>
    <x v="3"/>
    <s v="CUST-882"/>
    <x v="6"/>
    <x v="6"/>
    <x v="2"/>
    <x v="3"/>
    <x v="0"/>
    <n v="1"/>
    <n v="899"/>
    <n v="0"/>
    <n v="0"/>
    <n v="899"/>
    <n v="899"/>
    <x v="3"/>
    <x v="0"/>
    <n v="60"/>
    <n v="1"/>
    <n v="0"/>
  </r>
  <r>
    <s v="ORD-6921"/>
    <d v="2025-01-27T00:00:00"/>
    <x v="7"/>
    <s v="CUST-247"/>
    <x v="8"/>
    <x v="1"/>
    <x v="1"/>
    <x v="3"/>
    <x v="0"/>
    <n v="1"/>
    <n v="899"/>
    <n v="0.15"/>
    <n v="134.85"/>
    <n v="899"/>
    <n v="764.15"/>
    <x v="3"/>
    <x v="2"/>
    <n v="60"/>
    <n v="0.85"/>
    <n v="0"/>
  </r>
  <r>
    <s v="ORD-6922"/>
    <d v="2025-01-24T00:00:00"/>
    <x v="7"/>
    <s v="CUST-578"/>
    <x v="3"/>
    <x v="3"/>
    <x v="3"/>
    <x v="9"/>
    <x v="1"/>
    <n v="1"/>
    <n v="1899"/>
    <n v="0.25"/>
    <n v="474.75"/>
    <n v="1899"/>
    <n v="1424.25"/>
    <x v="3"/>
    <x v="0"/>
    <n v="60"/>
    <n v="0.75"/>
    <n v="0"/>
  </r>
  <r>
    <s v="ORD-6923"/>
    <d v="2025-08-09T00:00:00"/>
    <x v="0"/>
    <s v="CUST-391"/>
    <x v="7"/>
    <x v="7"/>
    <x v="1"/>
    <x v="15"/>
    <x v="3"/>
    <n v="1"/>
    <n v="299"/>
    <n v="0.05"/>
    <n v="14.950000000000001"/>
    <n v="299"/>
    <n v="284.05"/>
    <x v="2"/>
    <x v="0"/>
    <n v="40"/>
    <n v="0.95000000000000007"/>
    <n v="0"/>
  </r>
  <r>
    <s v="ORD-6924"/>
    <d v="2025-04-05T00:00:00"/>
    <x v="6"/>
    <s v="CUST-639"/>
    <x v="3"/>
    <x v="3"/>
    <x v="3"/>
    <x v="16"/>
    <x v="4"/>
    <n v="2"/>
    <n v="1599"/>
    <n v="0"/>
    <n v="0"/>
    <n v="3198"/>
    <n v="3198"/>
    <x v="2"/>
    <x v="0"/>
    <n v="40"/>
    <n v="1"/>
    <n v="0"/>
  </r>
  <r>
    <s v="ORD-6925"/>
    <d v="2025-03-31T00:00:00"/>
    <x v="1"/>
    <s v="CUST-535"/>
    <x v="1"/>
    <x v="1"/>
    <x v="1"/>
    <x v="14"/>
    <x v="4"/>
    <n v="2"/>
    <n v="399"/>
    <n v="0"/>
    <n v="0"/>
    <n v="798"/>
    <n v="798"/>
    <x v="3"/>
    <x v="0"/>
    <n v="80"/>
    <n v="1"/>
    <n v="0"/>
  </r>
  <r>
    <s v="ORD-6926"/>
    <d v="2025-04-08T00:00:00"/>
    <x v="6"/>
    <s v="CUST-541"/>
    <x v="9"/>
    <x v="8"/>
    <x v="1"/>
    <x v="15"/>
    <x v="3"/>
    <n v="1"/>
    <n v="299"/>
    <n v="0.1"/>
    <n v="29.900000000000002"/>
    <n v="299"/>
    <n v="269.10000000000002"/>
    <x v="0"/>
    <x v="0"/>
    <n v="60"/>
    <n v="0.9"/>
    <n v="0"/>
  </r>
  <r>
    <s v="ORD-6927"/>
    <d v="2025-04-14T00:00:00"/>
    <x v="6"/>
    <s v="CUST-867"/>
    <x v="3"/>
    <x v="3"/>
    <x v="3"/>
    <x v="11"/>
    <x v="2"/>
    <n v="5"/>
    <n v="5499"/>
    <n v="0.15"/>
    <n v="824.85"/>
    <n v="27495"/>
    <n v="26670.15"/>
    <x v="0"/>
    <x v="0"/>
    <n v="40"/>
    <n v="0.97000000000000008"/>
    <n v="0"/>
  </r>
  <r>
    <s v="ORD-6928"/>
    <d v="2025-07-25T00:00:00"/>
    <x v="5"/>
    <s v="CUST-633"/>
    <x v="3"/>
    <x v="3"/>
    <x v="3"/>
    <x v="18"/>
    <x v="4"/>
    <n v="1"/>
    <n v="1299"/>
    <n v="0.1"/>
    <n v="129.9"/>
    <n v="1299"/>
    <n v="1169.0999999999999"/>
    <x v="2"/>
    <x v="0"/>
    <n v="0"/>
    <n v="0.89999999999999991"/>
    <n v="0"/>
  </r>
  <r>
    <s v="ORD-6929"/>
    <d v="2025-09-12T00:00:00"/>
    <x v="3"/>
    <s v="CUST-390"/>
    <x v="4"/>
    <x v="4"/>
    <x v="2"/>
    <x v="0"/>
    <x v="0"/>
    <n v="3"/>
    <n v="1799"/>
    <n v="0.1"/>
    <n v="179.9"/>
    <n v="5397"/>
    <n v="5217.1000000000004"/>
    <x v="0"/>
    <x v="0"/>
    <n v="0"/>
    <n v="0.96666666666666679"/>
    <n v="0"/>
  </r>
  <r>
    <s v="ORD-6930"/>
    <d v="2025-10-02T00:00:00"/>
    <x v="2"/>
    <s v="CUST-529"/>
    <x v="3"/>
    <x v="3"/>
    <x v="3"/>
    <x v="10"/>
    <x v="0"/>
    <n v="1"/>
    <n v="599"/>
    <n v="0.25"/>
    <n v="149.75"/>
    <n v="599"/>
    <n v="449.25"/>
    <x v="3"/>
    <x v="0"/>
    <n v="80"/>
    <n v="0.75"/>
    <n v="0"/>
  </r>
  <r>
    <s v="ORD-6931"/>
    <d v="2025-12-18T00:00:00"/>
    <x v="4"/>
    <s v="CUST-837"/>
    <x v="4"/>
    <x v="4"/>
    <x v="2"/>
    <x v="15"/>
    <x v="3"/>
    <n v="1"/>
    <n v="299"/>
    <n v="0"/>
    <n v="0"/>
    <n v="299"/>
    <n v="299"/>
    <x v="2"/>
    <x v="2"/>
    <n v="80"/>
    <n v="1"/>
    <n v="0"/>
  </r>
  <r>
    <s v="ORD-6932"/>
    <d v="2025-11-12T00:00:00"/>
    <x v="10"/>
    <s v="CUST-421"/>
    <x v="1"/>
    <x v="1"/>
    <x v="1"/>
    <x v="13"/>
    <x v="2"/>
    <n v="3"/>
    <n v="449"/>
    <n v="0"/>
    <n v="0"/>
    <n v="1347"/>
    <n v="1347"/>
    <x v="2"/>
    <x v="0"/>
    <n v="80"/>
    <n v="1"/>
    <n v="0"/>
  </r>
  <r>
    <s v="ORD-6933"/>
    <d v="2025-06-16T00:00:00"/>
    <x v="11"/>
    <s v="CUST-812"/>
    <x v="1"/>
    <x v="1"/>
    <x v="1"/>
    <x v="3"/>
    <x v="0"/>
    <n v="1"/>
    <n v="899"/>
    <n v="0.25"/>
    <n v="224.75"/>
    <n v="899"/>
    <n v="674.25"/>
    <x v="3"/>
    <x v="0"/>
    <n v="80"/>
    <n v="0.75"/>
    <n v="0"/>
  </r>
  <r>
    <s v="ORD-6934"/>
    <d v="2025-12-18T00:00:00"/>
    <x v="4"/>
    <s v="CUST-804"/>
    <x v="4"/>
    <x v="4"/>
    <x v="2"/>
    <x v="10"/>
    <x v="0"/>
    <n v="2"/>
    <n v="599"/>
    <n v="0.25"/>
    <n v="149.75"/>
    <n v="1198"/>
    <n v="1048.25"/>
    <x v="3"/>
    <x v="0"/>
    <n v="0"/>
    <n v="0.875"/>
    <n v="0"/>
  </r>
  <r>
    <s v="ORD-6935"/>
    <d v="2025-07-08T00:00:00"/>
    <x v="5"/>
    <s v="CUST-767"/>
    <x v="2"/>
    <x v="2"/>
    <x v="2"/>
    <x v="0"/>
    <x v="0"/>
    <n v="1"/>
    <n v="1799"/>
    <n v="0.05"/>
    <n v="89.95"/>
    <n v="1799"/>
    <n v="1709.05"/>
    <x v="1"/>
    <x v="0"/>
    <n v="80"/>
    <n v="0.95"/>
    <n v="0"/>
  </r>
  <r>
    <s v="ORD-6936"/>
    <d v="2025-11-26T00:00:00"/>
    <x v="10"/>
    <s v="CUST-869"/>
    <x v="1"/>
    <x v="1"/>
    <x v="1"/>
    <x v="13"/>
    <x v="2"/>
    <n v="2"/>
    <n v="449"/>
    <n v="0.2"/>
    <n v="89.800000000000011"/>
    <n v="898"/>
    <n v="808.2"/>
    <x v="3"/>
    <x v="0"/>
    <n v="0"/>
    <n v="0.9"/>
    <n v="0"/>
  </r>
  <r>
    <s v="ORD-6937"/>
    <d v="2025-04-15T00:00:00"/>
    <x v="6"/>
    <s v="CUST-690"/>
    <x v="3"/>
    <x v="3"/>
    <x v="3"/>
    <x v="5"/>
    <x v="0"/>
    <n v="2"/>
    <n v="2299"/>
    <n v="0.25"/>
    <n v="574.75"/>
    <n v="4598"/>
    <n v="4023.25"/>
    <x v="3"/>
    <x v="0"/>
    <n v="80"/>
    <n v="0.875"/>
    <n v="0"/>
  </r>
  <r>
    <s v="ORD-6938"/>
    <d v="2025-04-13T00:00:00"/>
    <x v="6"/>
    <s v="CUST-733"/>
    <x v="4"/>
    <x v="4"/>
    <x v="2"/>
    <x v="18"/>
    <x v="4"/>
    <n v="1"/>
    <n v="1299"/>
    <n v="0"/>
    <n v="0"/>
    <n v="1299"/>
    <n v="1299"/>
    <x v="3"/>
    <x v="0"/>
    <n v="40"/>
    <n v="1"/>
    <n v="0"/>
  </r>
  <r>
    <s v="ORD-6939"/>
    <d v="2025-08-21T00:00:00"/>
    <x v="0"/>
    <s v="CUST-204"/>
    <x v="4"/>
    <x v="4"/>
    <x v="2"/>
    <x v="19"/>
    <x v="2"/>
    <n v="3"/>
    <n v="1499"/>
    <n v="0.05"/>
    <n v="74.95"/>
    <n v="4497"/>
    <n v="4422.05"/>
    <x v="3"/>
    <x v="0"/>
    <n v="60"/>
    <n v="0.98333333333333339"/>
    <n v="0"/>
  </r>
  <r>
    <s v="ORD-6940"/>
    <d v="2025-04-14T00:00:00"/>
    <x v="6"/>
    <s v="CUST-321"/>
    <x v="4"/>
    <x v="4"/>
    <x v="2"/>
    <x v="7"/>
    <x v="1"/>
    <n v="2"/>
    <n v="1299"/>
    <n v="0.05"/>
    <n v="64.95"/>
    <n v="2598"/>
    <n v="2533.0500000000002"/>
    <x v="1"/>
    <x v="1"/>
    <n v="40"/>
    <n v="0.97500000000000009"/>
    <n v="0"/>
  </r>
  <r>
    <s v="ORD-6941"/>
    <d v="2025-12-23T00:00:00"/>
    <x v="4"/>
    <s v="CUST-609"/>
    <x v="2"/>
    <x v="2"/>
    <x v="2"/>
    <x v="1"/>
    <x v="1"/>
    <n v="3"/>
    <n v="3999"/>
    <n v="0.25"/>
    <n v="999.75"/>
    <n v="11997"/>
    <n v="10997.25"/>
    <x v="3"/>
    <x v="1"/>
    <n v="0"/>
    <n v="0.91666666666666663"/>
    <n v="0"/>
  </r>
  <r>
    <s v="ORD-6942"/>
    <d v="2025-02-20T00:00:00"/>
    <x v="9"/>
    <s v="CUST-283"/>
    <x v="6"/>
    <x v="6"/>
    <x v="2"/>
    <x v="1"/>
    <x v="1"/>
    <n v="1"/>
    <n v="3999"/>
    <n v="0"/>
    <n v="0"/>
    <n v="3999"/>
    <n v="3999"/>
    <x v="3"/>
    <x v="0"/>
    <n v="80"/>
    <n v="1"/>
    <n v="0"/>
  </r>
  <r>
    <s v="ORD-6943"/>
    <d v="2025-09-26T00:00:00"/>
    <x v="3"/>
    <s v="CUST-475"/>
    <x v="9"/>
    <x v="8"/>
    <x v="1"/>
    <x v="14"/>
    <x v="4"/>
    <n v="1"/>
    <n v="399"/>
    <n v="0.1"/>
    <n v="39.900000000000006"/>
    <n v="399"/>
    <n v="359.1"/>
    <x v="3"/>
    <x v="2"/>
    <n v="60"/>
    <n v="0.9"/>
    <n v="0"/>
  </r>
  <r>
    <s v="ORD-6944"/>
    <d v="2025-07-12T00:00:00"/>
    <x v="5"/>
    <s v="CUST-763"/>
    <x v="2"/>
    <x v="2"/>
    <x v="2"/>
    <x v="11"/>
    <x v="2"/>
    <n v="1"/>
    <n v="5499"/>
    <n v="0.15"/>
    <n v="824.85"/>
    <n v="5499"/>
    <n v="4674.1499999999996"/>
    <x v="0"/>
    <x v="0"/>
    <n v="60"/>
    <n v="0.85"/>
    <n v="0"/>
  </r>
  <r>
    <s v="ORD-6945"/>
    <d v="2025-09-08T00:00:00"/>
    <x v="3"/>
    <s v="CUST-791"/>
    <x v="1"/>
    <x v="1"/>
    <x v="1"/>
    <x v="7"/>
    <x v="1"/>
    <n v="1"/>
    <n v="1299"/>
    <n v="0.15"/>
    <n v="194.85"/>
    <n v="1299"/>
    <n v="1104.1500000000001"/>
    <x v="2"/>
    <x v="0"/>
    <n v="80"/>
    <n v="0.85000000000000009"/>
    <n v="0"/>
  </r>
  <r>
    <s v="ORD-6946"/>
    <d v="2025-12-11T00:00:00"/>
    <x v="4"/>
    <s v="CUST-597"/>
    <x v="6"/>
    <x v="6"/>
    <x v="2"/>
    <x v="9"/>
    <x v="1"/>
    <n v="2"/>
    <n v="1899"/>
    <n v="0.15"/>
    <n v="284.84999999999997"/>
    <n v="3798"/>
    <n v="3513.15"/>
    <x v="2"/>
    <x v="0"/>
    <n v="40"/>
    <n v="0.92500000000000004"/>
    <n v="0"/>
  </r>
  <r>
    <s v="ORD-6947"/>
    <d v="2025-03-07T00:00:00"/>
    <x v="1"/>
    <s v="CUST-223"/>
    <x v="4"/>
    <x v="4"/>
    <x v="2"/>
    <x v="3"/>
    <x v="0"/>
    <n v="1"/>
    <n v="899"/>
    <n v="0.1"/>
    <n v="89.9"/>
    <n v="899"/>
    <n v="809.1"/>
    <x v="2"/>
    <x v="0"/>
    <n v="60"/>
    <n v="0.9"/>
    <n v="0"/>
  </r>
  <r>
    <s v="ORD-6948"/>
    <d v="2025-10-28T00:00:00"/>
    <x v="2"/>
    <s v="CUST-383"/>
    <x v="3"/>
    <x v="3"/>
    <x v="3"/>
    <x v="1"/>
    <x v="1"/>
    <n v="3"/>
    <n v="3999"/>
    <n v="0"/>
    <n v="0"/>
    <n v="11997"/>
    <n v="11997"/>
    <x v="3"/>
    <x v="0"/>
    <n v="0"/>
    <n v="1"/>
    <n v="0"/>
  </r>
  <r>
    <s v="ORD-6949"/>
    <d v="2025-06-27T00:00:00"/>
    <x v="11"/>
    <s v="CUST-449"/>
    <x v="8"/>
    <x v="1"/>
    <x v="1"/>
    <x v="1"/>
    <x v="1"/>
    <n v="1"/>
    <n v="3999"/>
    <n v="0.05"/>
    <n v="199.95000000000002"/>
    <n v="3999"/>
    <n v="3799.05"/>
    <x v="3"/>
    <x v="0"/>
    <n v="80"/>
    <n v="0.95000000000000007"/>
    <n v="0"/>
  </r>
  <r>
    <s v="ORD-6950"/>
    <d v="2025-03-03T00:00:00"/>
    <x v="1"/>
    <s v="CUST-722"/>
    <x v="2"/>
    <x v="2"/>
    <x v="2"/>
    <x v="9"/>
    <x v="1"/>
    <n v="2"/>
    <n v="1899"/>
    <n v="0.25"/>
    <n v="474.75"/>
    <n v="3798"/>
    <n v="3323.25"/>
    <x v="3"/>
    <x v="0"/>
    <n v="60"/>
    <n v="0.875"/>
    <n v="0"/>
  </r>
  <r>
    <s v="ORD-6951"/>
    <d v="2025-01-19T00:00:00"/>
    <x v="7"/>
    <s v="CUST-280"/>
    <x v="6"/>
    <x v="6"/>
    <x v="2"/>
    <x v="10"/>
    <x v="0"/>
    <n v="1"/>
    <n v="599"/>
    <n v="0.25"/>
    <n v="149.75"/>
    <n v="599"/>
    <n v="449.25"/>
    <x v="3"/>
    <x v="0"/>
    <n v="0"/>
    <n v="0.75"/>
    <n v="0"/>
  </r>
  <r>
    <s v="ORD-6952"/>
    <d v="2025-09-10T00:00:00"/>
    <x v="3"/>
    <s v="CUST-599"/>
    <x v="2"/>
    <x v="2"/>
    <x v="2"/>
    <x v="16"/>
    <x v="4"/>
    <n v="4"/>
    <n v="1599"/>
    <n v="0.15"/>
    <n v="239.85"/>
    <n v="6396"/>
    <n v="6156.15"/>
    <x v="3"/>
    <x v="0"/>
    <n v="60"/>
    <n v="0.96249999999999991"/>
    <n v="0"/>
  </r>
  <r>
    <s v="ORD-6953"/>
    <d v="2025-07-31T00:00:00"/>
    <x v="5"/>
    <s v="CUST-865"/>
    <x v="8"/>
    <x v="1"/>
    <x v="1"/>
    <x v="0"/>
    <x v="0"/>
    <n v="3"/>
    <n v="1799"/>
    <n v="0.1"/>
    <n v="179.9"/>
    <n v="5397"/>
    <n v="5217.1000000000004"/>
    <x v="3"/>
    <x v="0"/>
    <n v="40"/>
    <n v="0.96666666666666679"/>
    <n v="0"/>
  </r>
  <r>
    <s v="ORD-6954"/>
    <d v="2025-03-24T00:00:00"/>
    <x v="1"/>
    <s v="CUST-693"/>
    <x v="3"/>
    <x v="3"/>
    <x v="3"/>
    <x v="4"/>
    <x v="3"/>
    <n v="1"/>
    <n v="349"/>
    <n v="0.1"/>
    <n v="34.9"/>
    <n v="349"/>
    <n v="314.10000000000002"/>
    <x v="1"/>
    <x v="0"/>
    <n v="80"/>
    <n v="0.9"/>
    <n v="0"/>
  </r>
  <r>
    <s v="ORD-6955"/>
    <d v="2025-09-16T00:00:00"/>
    <x v="3"/>
    <s v="CUST-472"/>
    <x v="4"/>
    <x v="4"/>
    <x v="2"/>
    <x v="10"/>
    <x v="0"/>
    <n v="5"/>
    <n v="599"/>
    <n v="0"/>
    <n v="0"/>
    <n v="2995"/>
    <n v="2995"/>
    <x v="0"/>
    <x v="0"/>
    <n v="40"/>
    <n v="1"/>
    <n v="0"/>
  </r>
  <r>
    <s v="ORD-6956"/>
    <d v="2025-01-25T00:00:00"/>
    <x v="7"/>
    <s v="CUST-718"/>
    <x v="8"/>
    <x v="1"/>
    <x v="1"/>
    <x v="11"/>
    <x v="2"/>
    <n v="1"/>
    <n v="5499"/>
    <n v="0"/>
    <n v="0"/>
    <n v="5499"/>
    <n v="5499"/>
    <x v="3"/>
    <x v="0"/>
    <n v="40"/>
    <n v="1"/>
    <n v="0"/>
  </r>
  <r>
    <s v="ORD-6957"/>
    <d v="2025-05-15T00:00:00"/>
    <x v="8"/>
    <s v="CUST-359"/>
    <x v="8"/>
    <x v="1"/>
    <x v="1"/>
    <x v="6"/>
    <x v="0"/>
    <n v="1"/>
    <n v="1599"/>
    <n v="0.25"/>
    <n v="399.75"/>
    <n v="1599"/>
    <n v="1199.25"/>
    <x v="2"/>
    <x v="0"/>
    <n v="0"/>
    <n v="0.75"/>
    <n v="0"/>
  </r>
  <r>
    <s v="ORD-6958"/>
    <d v="2025-10-08T00:00:00"/>
    <x v="2"/>
    <s v="CUST-886"/>
    <x v="6"/>
    <x v="6"/>
    <x v="2"/>
    <x v="15"/>
    <x v="3"/>
    <n v="2"/>
    <n v="299"/>
    <n v="0.1"/>
    <n v="29.900000000000002"/>
    <n v="598"/>
    <n v="568.1"/>
    <x v="3"/>
    <x v="0"/>
    <n v="60"/>
    <n v="0.95000000000000007"/>
    <n v="0"/>
  </r>
  <r>
    <s v="ORD-6959"/>
    <d v="2025-06-12T00:00:00"/>
    <x v="11"/>
    <s v="CUST-605"/>
    <x v="3"/>
    <x v="3"/>
    <x v="3"/>
    <x v="22"/>
    <x v="2"/>
    <n v="2"/>
    <n v="3299"/>
    <n v="0.1"/>
    <n v="329.90000000000003"/>
    <n v="6598"/>
    <n v="6268.1"/>
    <x v="2"/>
    <x v="0"/>
    <n v="0"/>
    <n v="0.95000000000000007"/>
    <n v="0"/>
  </r>
  <r>
    <s v="ORD-6960"/>
    <d v="2025-06-04T00:00:00"/>
    <x v="11"/>
    <s v="CUST-289"/>
    <x v="2"/>
    <x v="2"/>
    <x v="2"/>
    <x v="18"/>
    <x v="4"/>
    <n v="1"/>
    <n v="1299"/>
    <n v="0.15"/>
    <n v="194.85"/>
    <n v="1299"/>
    <n v="1104.1500000000001"/>
    <x v="3"/>
    <x v="0"/>
    <n v="40"/>
    <n v="0.85000000000000009"/>
    <n v="0"/>
  </r>
  <r>
    <s v="ORD-6961"/>
    <d v="2025-02-21T00:00:00"/>
    <x v="9"/>
    <s v="CUST-804"/>
    <x v="9"/>
    <x v="8"/>
    <x v="1"/>
    <x v="1"/>
    <x v="1"/>
    <n v="1"/>
    <n v="3999"/>
    <n v="0.05"/>
    <n v="199.95000000000002"/>
    <n v="3999"/>
    <n v="3799.05"/>
    <x v="3"/>
    <x v="0"/>
    <n v="60"/>
    <n v="0.95000000000000007"/>
    <n v="0"/>
  </r>
  <r>
    <s v="ORD-6962"/>
    <d v="2025-05-09T00:00:00"/>
    <x v="8"/>
    <s v="CUST-766"/>
    <x v="9"/>
    <x v="8"/>
    <x v="1"/>
    <x v="20"/>
    <x v="3"/>
    <n v="1"/>
    <n v="499"/>
    <n v="0.2"/>
    <n v="99.800000000000011"/>
    <n v="499"/>
    <n v="399.2"/>
    <x v="2"/>
    <x v="0"/>
    <n v="40"/>
    <n v="0.79999999999999993"/>
    <n v="0"/>
  </r>
  <r>
    <s v="ORD-6963"/>
    <d v="2025-12-14T00:00:00"/>
    <x v="4"/>
    <s v="CUST-724"/>
    <x v="4"/>
    <x v="4"/>
    <x v="2"/>
    <x v="17"/>
    <x v="1"/>
    <n v="3"/>
    <n v="2199"/>
    <n v="0.1"/>
    <n v="219.9"/>
    <n v="6597"/>
    <n v="6377.1"/>
    <x v="3"/>
    <x v="0"/>
    <n v="80"/>
    <n v="0.96666666666666667"/>
    <n v="0"/>
  </r>
  <r>
    <s v="ORD-6964"/>
    <d v="2025-10-30T00:00:00"/>
    <x v="2"/>
    <s v="CUST-776"/>
    <x v="1"/>
    <x v="1"/>
    <x v="1"/>
    <x v="9"/>
    <x v="1"/>
    <n v="1"/>
    <n v="1899"/>
    <n v="0.25"/>
    <n v="474.75"/>
    <n v="1899"/>
    <n v="1424.25"/>
    <x v="0"/>
    <x v="0"/>
    <n v="40"/>
    <n v="0.75"/>
    <n v="0"/>
  </r>
  <r>
    <s v="ORD-6965"/>
    <d v="2025-04-02T00:00:00"/>
    <x v="6"/>
    <s v="CUST-467"/>
    <x v="2"/>
    <x v="2"/>
    <x v="2"/>
    <x v="11"/>
    <x v="2"/>
    <n v="1"/>
    <n v="5499"/>
    <n v="0.05"/>
    <n v="274.95"/>
    <n v="5499"/>
    <n v="5224.05"/>
    <x v="0"/>
    <x v="2"/>
    <n v="60"/>
    <n v="0.95000000000000007"/>
    <n v="0"/>
  </r>
  <r>
    <s v="ORD-6966"/>
    <d v="2025-11-06T00:00:00"/>
    <x v="10"/>
    <s v="CUST-772"/>
    <x v="6"/>
    <x v="6"/>
    <x v="2"/>
    <x v="6"/>
    <x v="0"/>
    <n v="1"/>
    <n v="1599"/>
    <n v="0.1"/>
    <n v="159.9"/>
    <n v="1599"/>
    <n v="1439.1"/>
    <x v="3"/>
    <x v="1"/>
    <n v="40"/>
    <n v="0.89999999999999991"/>
    <n v="0"/>
  </r>
  <r>
    <s v="ORD-6967"/>
    <d v="2025-12-01T00:00:00"/>
    <x v="4"/>
    <s v="CUST-464"/>
    <x v="1"/>
    <x v="1"/>
    <x v="1"/>
    <x v="0"/>
    <x v="0"/>
    <n v="2"/>
    <n v="1799"/>
    <n v="0.05"/>
    <n v="89.95"/>
    <n v="3598"/>
    <n v="3508.05"/>
    <x v="0"/>
    <x v="0"/>
    <n v="40"/>
    <n v="0.97500000000000009"/>
    <n v="0"/>
  </r>
  <r>
    <s v="ORD-6968"/>
    <d v="2025-08-27T00:00:00"/>
    <x v="0"/>
    <s v="CUST-864"/>
    <x v="6"/>
    <x v="6"/>
    <x v="2"/>
    <x v="13"/>
    <x v="2"/>
    <n v="1"/>
    <n v="449"/>
    <n v="0.25"/>
    <n v="112.25"/>
    <n v="449"/>
    <n v="336.75"/>
    <x v="1"/>
    <x v="0"/>
    <n v="0"/>
    <n v="0.75"/>
    <n v="0"/>
  </r>
  <r>
    <s v="ORD-6969"/>
    <d v="2025-05-13T00:00:00"/>
    <x v="8"/>
    <s v="CUST-874"/>
    <x v="6"/>
    <x v="6"/>
    <x v="2"/>
    <x v="20"/>
    <x v="3"/>
    <n v="1"/>
    <n v="499"/>
    <n v="0.25"/>
    <n v="124.75"/>
    <n v="499"/>
    <n v="374.25"/>
    <x v="3"/>
    <x v="0"/>
    <n v="80"/>
    <n v="0.75"/>
    <n v="0"/>
  </r>
  <r>
    <s v="ORD-6970"/>
    <d v="2025-05-17T00:00:00"/>
    <x v="8"/>
    <s v="CUST-448"/>
    <x v="2"/>
    <x v="2"/>
    <x v="2"/>
    <x v="19"/>
    <x v="2"/>
    <n v="1"/>
    <n v="1499"/>
    <n v="0.1"/>
    <n v="149.9"/>
    <n v="1499"/>
    <n v="1349.1"/>
    <x v="1"/>
    <x v="0"/>
    <n v="80"/>
    <n v="0.89999999999999991"/>
    <n v="0"/>
  </r>
  <r>
    <s v="ORD-6971"/>
    <d v="2025-10-31T00:00:00"/>
    <x v="2"/>
    <s v="CUST-283"/>
    <x v="1"/>
    <x v="1"/>
    <x v="1"/>
    <x v="9"/>
    <x v="1"/>
    <n v="1"/>
    <n v="1899"/>
    <n v="0"/>
    <n v="0"/>
    <n v="1899"/>
    <n v="1899"/>
    <x v="2"/>
    <x v="0"/>
    <n v="80"/>
    <n v="1"/>
    <n v="0"/>
  </r>
  <r>
    <s v="ORD-6972"/>
    <d v="2025-04-25T00:00:00"/>
    <x v="6"/>
    <s v="CUST-724"/>
    <x v="3"/>
    <x v="3"/>
    <x v="3"/>
    <x v="15"/>
    <x v="3"/>
    <n v="3"/>
    <n v="299"/>
    <n v="0.2"/>
    <n v="59.800000000000004"/>
    <n v="897"/>
    <n v="837.2"/>
    <x v="2"/>
    <x v="0"/>
    <n v="60"/>
    <n v="0.93333333333333335"/>
    <n v="0"/>
  </r>
  <r>
    <s v="ORD-6973"/>
    <d v="2025-08-23T00:00:00"/>
    <x v="0"/>
    <s v="CUST-258"/>
    <x v="4"/>
    <x v="4"/>
    <x v="2"/>
    <x v="20"/>
    <x v="3"/>
    <n v="1"/>
    <n v="499"/>
    <n v="0"/>
    <n v="0"/>
    <n v="499"/>
    <n v="499"/>
    <x v="3"/>
    <x v="0"/>
    <n v="40"/>
    <n v="1"/>
    <n v="0"/>
  </r>
  <r>
    <s v="ORD-6974"/>
    <d v="2025-01-22T00:00:00"/>
    <x v="7"/>
    <s v="CUST-671"/>
    <x v="1"/>
    <x v="1"/>
    <x v="1"/>
    <x v="18"/>
    <x v="4"/>
    <n v="3"/>
    <n v="1299"/>
    <n v="0.15"/>
    <n v="194.85"/>
    <n v="3897"/>
    <n v="3702.15"/>
    <x v="3"/>
    <x v="0"/>
    <n v="60"/>
    <n v="0.95000000000000007"/>
    <n v="0"/>
  </r>
  <r>
    <s v="ORD-6975"/>
    <d v="2025-08-18T00:00:00"/>
    <x v="0"/>
    <s v="CUST-333"/>
    <x v="8"/>
    <x v="1"/>
    <x v="1"/>
    <x v="18"/>
    <x v="4"/>
    <n v="2"/>
    <n v="1299"/>
    <n v="0"/>
    <n v="0"/>
    <n v="2598"/>
    <n v="2598"/>
    <x v="1"/>
    <x v="0"/>
    <n v="40"/>
    <n v="1"/>
    <n v="0"/>
  </r>
  <r>
    <s v="ORD-6976"/>
    <d v="2025-08-10T00:00:00"/>
    <x v="0"/>
    <s v="CUST-654"/>
    <x v="8"/>
    <x v="1"/>
    <x v="1"/>
    <x v="17"/>
    <x v="1"/>
    <n v="4"/>
    <n v="2199"/>
    <n v="0.1"/>
    <n v="219.9"/>
    <n v="8796"/>
    <n v="8576.1"/>
    <x v="3"/>
    <x v="0"/>
    <n v="40"/>
    <n v="0.97500000000000009"/>
    <n v="0"/>
  </r>
  <r>
    <s v="ORD-6977"/>
    <d v="2025-02-05T00:00:00"/>
    <x v="9"/>
    <s v="CUST-262"/>
    <x v="7"/>
    <x v="7"/>
    <x v="1"/>
    <x v="12"/>
    <x v="1"/>
    <n v="1"/>
    <n v="799"/>
    <n v="0"/>
    <n v="0"/>
    <n v="799"/>
    <n v="799"/>
    <x v="3"/>
    <x v="0"/>
    <n v="80"/>
    <n v="1"/>
    <n v="0"/>
  </r>
  <r>
    <s v="ORD-6978"/>
    <d v="2025-04-17T00:00:00"/>
    <x v="6"/>
    <s v="CUST-461"/>
    <x v="3"/>
    <x v="3"/>
    <x v="3"/>
    <x v="11"/>
    <x v="2"/>
    <n v="1"/>
    <n v="5499"/>
    <n v="0.1"/>
    <n v="549.9"/>
    <n v="5499"/>
    <n v="4949.1000000000004"/>
    <x v="3"/>
    <x v="1"/>
    <n v="60"/>
    <n v="0.9"/>
    <n v="0"/>
  </r>
  <r>
    <s v="ORD-6979"/>
    <d v="2025-12-19T00:00:00"/>
    <x v="4"/>
    <s v="CUST-538"/>
    <x v="3"/>
    <x v="3"/>
    <x v="3"/>
    <x v="5"/>
    <x v="0"/>
    <n v="1"/>
    <n v="2299"/>
    <n v="0.25"/>
    <n v="574.75"/>
    <n v="2299"/>
    <n v="1724.25"/>
    <x v="3"/>
    <x v="0"/>
    <n v="80"/>
    <n v="0.75"/>
    <n v="0"/>
  </r>
  <r>
    <s v="ORD-6980"/>
    <d v="2025-05-27T00:00:00"/>
    <x v="8"/>
    <s v="CUST-247"/>
    <x v="1"/>
    <x v="1"/>
    <x v="1"/>
    <x v="12"/>
    <x v="1"/>
    <n v="1"/>
    <n v="799"/>
    <n v="0.1"/>
    <n v="79.900000000000006"/>
    <n v="799"/>
    <n v="719.1"/>
    <x v="2"/>
    <x v="1"/>
    <n v="60"/>
    <n v="0.9"/>
    <n v="0"/>
  </r>
  <r>
    <s v="ORD-6981"/>
    <d v="2025-01-20T00:00:00"/>
    <x v="7"/>
    <s v="CUST-519"/>
    <x v="7"/>
    <x v="7"/>
    <x v="1"/>
    <x v="1"/>
    <x v="1"/>
    <n v="1"/>
    <n v="3999"/>
    <n v="0.1"/>
    <n v="399.90000000000003"/>
    <n v="3999"/>
    <n v="3599.1"/>
    <x v="1"/>
    <x v="0"/>
    <n v="40"/>
    <n v="0.9"/>
    <n v="0"/>
  </r>
  <r>
    <s v="ORD-6982"/>
    <d v="2025-06-20T00:00:00"/>
    <x v="11"/>
    <s v="CUST-729"/>
    <x v="6"/>
    <x v="6"/>
    <x v="2"/>
    <x v="13"/>
    <x v="2"/>
    <n v="2"/>
    <n v="449"/>
    <n v="0.25"/>
    <n v="112.25"/>
    <n v="898"/>
    <n v="785.75"/>
    <x v="0"/>
    <x v="0"/>
    <n v="80"/>
    <n v="0.875"/>
    <n v="0"/>
  </r>
  <r>
    <s v="ORD-6983"/>
    <d v="2025-04-22T00:00:00"/>
    <x v="6"/>
    <s v="CUST-522"/>
    <x v="9"/>
    <x v="8"/>
    <x v="1"/>
    <x v="19"/>
    <x v="2"/>
    <n v="2"/>
    <n v="1499"/>
    <n v="0.15"/>
    <n v="224.85"/>
    <n v="2998"/>
    <n v="2773.15"/>
    <x v="2"/>
    <x v="0"/>
    <n v="40"/>
    <n v="0.92500000000000004"/>
    <n v="0"/>
  </r>
  <r>
    <s v="ORD-6984"/>
    <d v="2025-01-11T00:00:00"/>
    <x v="7"/>
    <s v="CUST-685"/>
    <x v="3"/>
    <x v="3"/>
    <x v="3"/>
    <x v="10"/>
    <x v="0"/>
    <n v="1"/>
    <n v="599"/>
    <n v="0.1"/>
    <n v="59.900000000000006"/>
    <n v="599"/>
    <n v="539.1"/>
    <x v="2"/>
    <x v="0"/>
    <n v="80"/>
    <n v="0.9"/>
    <n v="0"/>
  </r>
  <r>
    <s v="ORD-6985"/>
    <d v="2025-04-06T00:00:00"/>
    <x v="6"/>
    <s v="CUST-773"/>
    <x v="6"/>
    <x v="6"/>
    <x v="2"/>
    <x v="7"/>
    <x v="1"/>
    <n v="1"/>
    <n v="1299"/>
    <n v="0.25"/>
    <n v="324.75"/>
    <n v="1299"/>
    <n v="974.25"/>
    <x v="2"/>
    <x v="0"/>
    <n v="80"/>
    <n v="0.75"/>
    <n v="0"/>
  </r>
  <r>
    <s v="ORD-6986"/>
    <d v="2025-05-15T00:00:00"/>
    <x v="8"/>
    <s v="CUST-527"/>
    <x v="6"/>
    <x v="6"/>
    <x v="2"/>
    <x v="0"/>
    <x v="0"/>
    <n v="1"/>
    <n v="1799"/>
    <n v="0"/>
    <n v="0"/>
    <n v="1799"/>
    <n v="1799"/>
    <x v="1"/>
    <x v="0"/>
    <n v="0"/>
    <n v="1"/>
    <n v="0"/>
  </r>
  <r>
    <s v="ORD-6987"/>
    <d v="2025-04-13T00:00:00"/>
    <x v="6"/>
    <s v="CUST-268"/>
    <x v="1"/>
    <x v="1"/>
    <x v="1"/>
    <x v="11"/>
    <x v="2"/>
    <n v="3"/>
    <n v="5499"/>
    <n v="0.2"/>
    <n v="1099.8"/>
    <n v="16497"/>
    <n v="15397.2"/>
    <x v="3"/>
    <x v="0"/>
    <n v="60"/>
    <n v="0.93333333333333335"/>
    <n v="0"/>
  </r>
  <r>
    <s v="ORD-6988"/>
    <d v="2025-03-08T00:00:00"/>
    <x v="1"/>
    <s v="CUST-783"/>
    <x v="1"/>
    <x v="1"/>
    <x v="1"/>
    <x v="3"/>
    <x v="0"/>
    <n v="1"/>
    <n v="899"/>
    <n v="0.2"/>
    <n v="179.8"/>
    <n v="899"/>
    <n v="719.2"/>
    <x v="0"/>
    <x v="0"/>
    <n v="60"/>
    <n v="0.8"/>
    <n v="0"/>
  </r>
  <r>
    <s v="ORD-6989"/>
    <d v="2025-07-13T00:00:00"/>
    <x v="5"/>
    <s v="CUST-549"/>
    <x v="3"/>
    <x v="3"/>
    <x v="3"/>
    <x v="2"/>
    <x v="2"/>
    <n v="1"/>
    <n v="2799"/>
    <n v="0"/>
    <n v="0"/>
    <n v="2799"/>
    <n v="2799"/>
    <x v="0"/>
    <x v="0"/>
    <n v="0"/>
    <n v="1"/>
    <n v="0"/>
  </r>
  <r>
    <s v="ORD-6990"/>
    <d v="2025-01-04T00:00:00"/>
    <x v="7"/>
    <s v="CUST-782"/>
    <x v="6"/>
    <x v="6"/>
    <x v="2"/>
    <x v="4"/>
    <x v="3"/>
    <n v="1"/>
    <n v="349"/>
    <n v="0.1"/>
    <n v="34.9"/>
    <n v="349"/>
    <n v="314.10000000000002"/>
    <x v="3"/>
    <x v="0"/>
    <n v="60"/>
    <n v="0.9"/>
    <n v="0"/>
  </r>
  <r>
    <s v="ORD-6991"/>
    <d v="2025-11-30T00:00:00"/>
    <x v="10"/>
    <s v="CUST-626"/>
    <x v="5"/>
    <x v="5"/>
    <x v="3"/>
    <x v="14"/>
    <x v="4"/>
    <n v="3"/>
    <n v="399"/>
    <n v="0.2"/>
    <n v="79.800000000000011"/>
    <n v="1197"/>
    <n v="1117.2"/>
    <x v="3"/>
    <x v="0"/>
    <n v="80"/>
    <n v="0.93333333333333335"/>
    <n v="0"/>
  </r>
  <r>
    <s v="ORD-6992"/>
    <d v="2025-12-13T00:00:00"/>
    <x v="4"/>
    <s v="CUST-422"/>
    <x v="8"/>
    <x v="1"/>
    <x v="1"/>
    <x v="12"/>
    <x v="1"/>
    <n v="4"/>
    <n v="799"/>
    <n v="0.2"/>
    <n v="159.80000000000001"/>
    <n v="3196"/>
    <n v="3036.2"/>
    <x v="2"/>
    <x v="0"/>
    <n v="60"/>
    <n v="0.95"/>
    <n v="0"/>
  </r>
  <r>
    <s v="ORD-6993"/>
    <d v="2025-09-17T00:00:00"/>
    <x v="3"/>
    <s v="CUST-600"/>
    <x v="6"/>
    <x v="6"/>
    <x v="2"/>
    <x v="9"/>
    <x v="1"/>
    <n v="1"/>
    <n v="1899"/>
    <n v="0.1"/>
    <n v="189.9"/>
    <n v="1899"/>
    <n v="1709.1"/>
    <x v="2"/>
    <x v="0"/>
    <n v="0"/>
    <n v="0.89999999999999991"/>
    <n v="0"/>
  </r>
  <r>
    <s v="ORD-6994"/>
    <d v="2025-06-13T00:00:00"/>
    <x v="11"/>
    <s v="CUST-224"/>
    <x v="1"/>
    <x v="1"/>
    <x v="1"/>
    <x v="17"/>
    <x v="1"/>
    <n v="4"/>
    <n v="2199"/>
    <n v="0.05"/>
    <n v="109.95"/>
    <n v="8796"/>
    <n v="8686.0499999999993"/>
    <x v="0"/>
    <x v="0"/>
    <n v="60"/>
    <n v="0.98749999999999993"/>
    <n v="0"/>
  </r>
  <r>
    <s v="ORD-6995"/>
    <d v="2025-11-13T00:00:00"/>
    <x v="10"/>
    <s v="CUST-321"/>
    <x v="4"/>
    <x v="4"/>
    <x v="2"/>
    <x v="15"/>
    <x v="3"/>
    <n v="2"/>
    <n v="299"/>
    <n v="0.1"/>
    <n v="29.900000000000002"/>
    <n v="598"/>
    <n v="568.1"/>
    <x v="3"/>
    <x v="0"/>
    <n v="80"/>
    <n v="0.95000000000000007"/>
    <n v="0"/>
  </r>
  <r>
    <s v="ORD-6996"/>
    <d v="2025-06-21T00:00:00"/>
    <x v="11"/>
    <s v="CUST-431"/>
    <x v="8"/>
    <x v="1"/>
    <x v="1"/>
    <x v="2"/>
    <x v="2"/>
    <n v="4"/>
    <n v="2799"/>
    <n v="0.05"/>
    <n v="139.95000000000002"/>
    <n v="11196"/>
    <n v="11056.05"/>
    <x v="3"/>
    <x v="0"/>
    <n v="40"/>
    <n v="0.98749999999999993"/>
    <n v="0"/>
  </r>
  <r>
    <s v="ORD-6997"/>
    <d v="2025-01-12T00:00:00"/>
    <x v="7"/>
    <s v="CUST-834"/>
    <x v="1"/>
    <x v="1"/>
    <x v="1"/>
    <x v="22"/>
    <x v="2"/>
    <n v="1"/>
    <n v="3299"/>
    <n v="0.2"/>
    <n v="659.80000000000007"/>
    <n v="3299"/>
    <n v="2639.2"/>
    <x v="0"/>
    <x v="0"/>
    <n v="80"/>
    <n v="0.79999999999999993"/>
    <n v="0"/>
  </r>
  <r>
    <s v="ORD-6998"/>
    <d v="2025-04-19T00:00:00"/>
    <x v="6"/>
    <s v="CUST-315"/>
    <x v="1"/>
    <x v="1"/>
    <x v="1"/>
    <x v="16"/>
    <x v="4"/>
    <n v="2"/>
    <n v="1599"/>
    <n v="0.05"/>
    <n v="79.95"/>
    <n v="3198"/>
    <n v="3118.05"/>
    <x v="3"/>
    <x v="0"/>
    <n v="80"/>
    <n v="0.97500000000000009"/>
    <n v="0"/>
  </r>
  <r>
    <s v="ORD-6999"/>
    <d v="2025-07-12T00:00:00"/>
    <x v="5"/>
    <s v="CUST-698"/>
    <x v="4"/>
    <x v="4"/>
    <x v="2"/>
    <x v="11"/>
    <x v="2"/>
    <n v="5"/>
    <n v="5499"/>
    <n v="0.25"/>
    <n v="1374.75"/>
    <n v="27495"/>
    <n v="26120.25"/>
    <x v="3"/>
    <x v="0"/>
    <n v="60"/>
    <n v="0.95"/>
    <n v="0"/>
  </r>
  <r>
    <s v="ORD-7000"/>
    <d v="2025-11-21T00:00:00"/>
    <x v="10"/>
    <s v="CUST-878"/>
    <x v="0"/>
    <x v="0"/>
    <x v="0"/>
    <x v="17"/>
    <x v="1"/>
    <n v="3"/>
    <n v="2199"/>
    <n v="0.15"/>
    <n v="329.84999999999997"/>
    <n v="6597"/>
    <n v="6267.15"/>
    <x v="3"/>
    <x v="0"/>
    <n v="0"/>
    <n v="0.9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E0A46-84BD-4DD7-BAAA-DFCB30D2FD09}" name="PivotTable1"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month">
  <location ref="A3:B15" firstHeaderRow="1" firstDataRow="1" firstDataCol="1"/>
  <pivotFields count="20">
    <pivotField showAll="0"/>
    <pivotField numFmtId="14" showAll="0"/>
    <pivotField axis="axisRow" showAll="0">
      <items count="13">
        <item x="7"/>
        <item x="9"/>
        <item x="1"/>
        <item x="6"/>
        <item x="8"/>
        <item x="11"/>
        <item x="5"/>
        <item x="0"/>
        <item x="3"/>
        <item x="2"/>
        <item x="10"/>
        <item x="4"/>
        <item t="default"/>
      </items>
    </pivotField>
    <pivotField showAll="0"/>
    <pivotField showAll="0"/>
    <pivotField showAll="0">
      <items count="11">
        <item x="0"/>
        <item x="3"/>
        <item x="8"/>
        <item x="4"/>
        <item x="1"/>
        <item x="7"/>
        <item x="2"/>
        <item x="6"/>
        <item x="9"/>
        <item x="5"/>
        <item t="default"/>
      </items>
    </pivotField>
    <pivotField showAll="0">
      <items count="7">
        <item x="0"/>
        <item m="1" x="5"/>
        <item x="3"/>
        <item x="2"/>
        <item h="1" x="4"/>
        <item x="1"/>
        <item t="default"/>
      </items>
    </pivotField>
    <pivotField showAll="0">
      <items count="24">
        <item x="11"/>
        <item x="19"/>
        <item x="8"/>
        <item x="2"/>
        <item x="9"/>
        <item x="21"/>
        <item x="16"/>
        <item x="0"/>
        <item x="6"/>
        <item x="14"/>
        <item x="10"/>
        <item x="22"/>
        <item x="4"/>
        <item x="18"/>
        <item x="7"/>
        <item x="15"/>
        <item x="1"/>
        <item x="5"/>
        <item x="20"/>
        <item x="13"/>
        <item x="17"/>
        <item x="12"/>
        <item x="3"/>
        <item t="default"/>
      </items>
    </pivotField>
    <pivotField showAll="0">
      <items count="6">
        <item x="4"/>
        <item x="3"/>
        <item x="1"/>
        <item x="0"/>
        <item x="2"/>
        <item t="default"/>
      </items>
    </pivotField>
    <pivotField showAll="0"/>
    <pivotField numFmtId="164" showAll="0"/>
    <pivotField numFmtId="9" showAll="0"/>
    <pivotField numFmtId="165" showAll="0"/>
    <pivotField numFmtId="165" showAll="0"/>
    <pivotField dataField="1" numFmtId="165" showAll="0"/>
    <pivotField showAll="0">
      <items count="5">
        <item x="0"/>
        <item x="2"/>
        <item x="1"/>
        <item x="3"/>
        <item t="default"/>
      </items>
    </pivotField>
    <pivotField showAll="0"/>
    <pivotField showAll="0"/>
    <pivotField numFmtId="9" showAll="0"/>
    <pivotField showAll="0"/>
  </pivotFields>
  <rowFields count="1">
    <field x="2"/>
  </rowFields>
  <rowItems count="12">
    <i>
      <x/>
    </i>
    <i>
      <x v="1"/>
    </i>
    <i>
      <x v="2"/>
    </i>
    <i>
      <x v="3"/>
    </i>
    <i>
      <x v="4"/>
    </i>
    <i>
      <x v="5"/>
    </i>
    <i>
      <x v="6"/>
    </i>
    <i>
      <x v="7"/>
    </i>
    <i>
      <x v="8"/>
    </i>
    <i>
      <x v="9"/>
    </i>
    <i>
      <x v="10"/>
    </i>
    <i>
      <x v="11"/>
    </i>
  </rowItems>
  <colItems count="1">
    <i/>
  </colItems>
  <dataFields count="1">
    <dataField name="Sum of Net_revenue" fld="14" baseField="0" baseItem="0" numFmtId="165"/>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FA9ECE-67B5-440C-A922-CE7429302B85}" name="PivotTable3"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8" firstHeaderRow="1" firstDataRow="1" firstDataCol="1"/>
  <pivotFields count="20">
    <pivotField showAll="0"/>
    <pivotField numFmtId="14" showAll="0"/>
    <pivotField showAll="0">
      <items count="13">
        <item x="7"/>
        <item x="9"/>
        <item x="1"/>
        <item x="6"/>
        <item x="8"/>
        <item x="11"/>
        <item x="5"/>
        <item x="0"/>
        <item x="3"/>
        <item x="2"/>
        <item x="10"/>
        <item x="4"/>
        <item t="default"/>
      </items>
    </pivotField>
    <pivotField showAll="0"/>
    <pivotField showAll="0"/>
    <pivotField showAll="0">
      <items count="11">
        <item x="0"/>
        <item x="3"/>
        <item x="8"/>
        <item x="4"/>
        <item x="1"/>
        <item x="7"/>
        <item x="2"/>
        <item x="6"/>
        <item x="9"/>
        <item x="5"/>
        <item t="default"/>
      </items>
    </pivotField>
    <pivotField showAll="0">
      <items count="7">
        <item x="0"/>
        <item m="1" x="5"/>
        <item x="3"/>
        <item x="2"/>
        <item h="1" x="4"/>
        <item x="1"/>
        <item t="default"/>
      </items>
    </pivotField>
    <pivotField showAll="0">
      <items count="24">
        <item x="11"/>
        <item x="19"/>
        <item x="8"/>
        <item x="2"/>
        <item x="9"/>
        <item x="21"/>
        <item x="16"/>
        <item x="0"/>
        <item x="6"/>
        <item x="14"/>
        <item x="10"/>
        <item x="22"/>
        <item x="4"/>
        <item x="18"/>
        <item x="7"/>
        <item x="15"/>
        <item x="1"/>
        <item x="5"/>
        <item x="20"/>
        <item x="13"/>
        <item x="17"/>
        <item x="12"/>
        <item x="3"/>
        <item t="default"/>
      </items>
    </pivotField>
    <pivotField axis="axisRow" showAll="0">
      <items count="6">
        <item x="4"/>
        <item x="3"/>
        <item x="1"/>
        <item x="0"/>
        <item x="2"/>
        <item t="default"/>
      </items>
    </pivotField>
    <pivotField showAll="0"/>
    <pivotField numFmtId="164" showAll="0"/>
    <pivotField numFmtId="9" showAll="0"/>
    <pivotField numFmtId="165" showAll="0"/>
    <pivotField numFmtId="165" showAll="0"/>
    <pivotField dataField="1" numFmtId="165" showAll="0"/>
    <pivotField showAll="0">
      <items count="5">
        <item x="0"/>
        <item x="2"/>
        <item x="1"/>
        <item x="3"/>
        <item t="default"/>
      </items>
    </pivotField>
    <pivotField showAll="0"/>
    <pivotField showAll="0"/>
    <pivotField numFmtId="9" showAll="0"/>
    <pivotField showAll="0"/>
  </pivotFields>
  <rowFields count="1">
    <field x="8"/>
  </rowFields>
  <rowItems count="5">
    <i>
      <x/>
    </i>
    <i>
      <x v="1"/>
    </i>
    <i>
      <x v="2"/>
    </i>
    <i>
      <x v="3"/>
    </i>
    <i>
      <x v="4"/>
    </i>
  </rowItems>
  <colItems count="1">
    <i/>
  </colItems>
  <dataFields count="1">
    <dataField name="Sum of Net_revenue" fld="14"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8" count="1" selected="0">
            <x v="0"/>
          </reference>
        </references>
      </pivotArea>
    </chartFormat>
    <chartFormat chart="7" format="14">
      <pivotArea type="data" outline="0" fieldPosition="0">
        <references count="2">
          <reference field="4294967294" count="1" selected="0">
            <x v="0"/>
          </reference>
          <reference field="8" count="1" selected="0">
            <x v="1"/>
          </reference>
        </references>
      </pivotArea>
    </chartFormat>
    <chartFormat chart="7" format="15">
      <pivotArea type="data" outline="0" fieldPosition="0">
        <references count="2">
          <reference field="4294967294" count="1" selected="0">
            <x v="0"/>
          </reference>
          <reference field="8" count="1" selected="0">
            <x v="2"/>
          </reference>
        </references>
      </pivotArea>
    </chartFormat>
    <chartFormat chart="7" format="16">
      <pivotArea type="data" outline="0" fieldPosition="0">
        <references count="2">
          <reference field="4294967294" count="1" selected="0">
            <x v="0"/>
          </reference>
          <reference field="8" count="1" selected="0">
            <x v="3"/>
          </reference>
        </references>
      </pivotArea>
    </chartFormat>
    <chartFormat chart="7"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1B33DA-0DE0-4C09-88EF-525AE8262301}" name="PivotTable2"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3" firstHeaderRow="1" firstDataRow="1" firstDataCol="1"/>
  <pivotFields count="20">
    <pivotField showAll="0"/>
    <pivotField numFmtId="14" showAll="0"/>
    <pivotField showAll="0">
      <items count="13">
        <item x="7"/>
        <item x="9"/>
        <item x="1"/>
        <item x="6"/>
        <item x="8"/>
        <item x="11"/>
        <item x="5"/>
        <item x="0"/>
        <item x="3"/>
        <item x="2"/>
        <item x="10"/>
        <item x="4"/>
        <item t="default"/>
      </items>
    </pivotField>
    <pivotField showAll="0"/>
    <pivotField showAll="0"/>
    <pivotField showAll="0">
      <items count="11">
        <item x="0"/>
        <item x="3"/>
        <item x="8"/>
        <item x="4"/>
        <item x="1"/>
        <item x="7"/>
        <item x="2"/>
        <item x="6"/>
        <item x="9"/>
        <item x="5"/>
        <item t="default"/>
      </items>
    </pivotField>
    <pivotField showAll="0">
      <items count="7">
        <item x="0"/>
        <item m="1" x="5"/>
        <item x="3"/>
        <item x="2"/>
        <item h="1" x="4"/>
        <item x="1"/>
        <item t="default"/>
      </items>
    </pivotField>
    <pivotField axis="axisRow" showAll="0" measureFilter="1">
      <items count="24">
        <item x="11"/>
        <item x="19"/>
        <item x="8"/>
        <item x="2"/>
        <item x="9"/>
        <item x="21"/>
        <item x="16"/>
        <item x="0"/>
        <item x="6"/>
        <item x="14"/>
        <item x="10"/>
        <item x="22"/>
        <item x="4"/>
        <item x="18"/>
        <item x="7"/>
        <item x="15"/>
        <item x="1"/>
        <item x="5"/>
        <item x="20"/>
        <item x="13"/>
        <item x="17"/>
        <item x="12"/>
        <item x="3"/>
        <item t="default"/>
      </items>
    </pivotField>
    <pivotField showAll="0">
      <items count="6">
        <item x="4"/>
        <item x="3"/>
        <item x="1"/>
        <item x="0"/>
        <item x="2"/>
        <item t="default"/>
      </items>
    </pivotField>
    <pivotField showAll="0"/>
    <pivotField numFmtId="164" showAll="0"/>
    <pivotField numFmtId="9" showAll="0"/>
    <pivotField numFmtId="165" showAll="0"/>
    <pivotField numFmtId="165" showAll="0"/>
    <pivotField dataField="1" numFmtId="165" showAll="0"/>
    <pivotField showAll="0">
      <items count="5">
        <item x="0"/>
        <item x="2"/>
        <item x="1"/>
        <item x="3"/>
        <item t="default"/>
      </items>
    </pivotField>
    <pivotField showAll="0"/>
    <pivotField showAll="0"/>
    <pivotField numFmtId="9" showAll="0"/>
    <pivotField showAll="0"/>
  </pivotFields>
  <rowFields count="1">
    <field x="7"/>
  </rowFields>
  <rowItems count="10">
    <i>
      <x/>
    </i>
    <i>
      <x v="2"/>
    </i>
    <i>
      <x v="3"/>
    </i>
    <i>
      <x v="4"/>
    </i>
    <i>
      <x v="7"/>
    </i>
    <i>
      <x v="11"/>
    </i>
    <i>
      <x v="14"/>
    </i>
    <i>
      <x v="16"/>
    </i>
    <i>
      <x v="17"/>
    </i>
    <i>
      <x v="20"/>
    </i>
  </rowItems>
  <colItems count="1">
    <i/>
  </colItems>
  <dataFields count="1">
    <dataField name="Sum of Net_revenue" fld="14" baseField="0" baseItem="0" numFmtId="165"/>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0"/>
          </reference>
        </references>
      </pivotArea>
    </chartFormat>
    <chartFormat chart="0" format="5">
      <pivotArea type="data" outline="0" fieldPosition="0">
        <references count="2">
          <reference field="4294967294" count="1" selected="0">
            <x v="0"/>
          </reference>
          <reference field="7" count="1" selected="0">
            <x v="7"/>
          </reference>
        </references>
      </pivotArea>
    </chartFormat>
    <chartFormat chart="0" format="6">
      <pivotArea type="data" outline="0" fieldPosition="0">
        <references count="2">
          <reference field="4294967294" count="1" selected="0">
            <x v="0"/>
          </reference>
          <reference field="7" count="1" selected="0">
            <x v="1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 chart="4" format="11">
      <pivotArea type="data" outline="0" fieldPosition="0">
        <references count="2">
          <reference field="4294967294" count="1" selected="0">
            <x v="0"/>
          </reference>
          <reference field="7" count="1" selected="0">
            <x v="7"/>
          </reference>
        </references>
      </pivotArea>
    </chartFormat>
    <chartFormat chart="4" format="12">
      <pivotArea type="data" outline="0" fieldPosition="0">
        <references count="2">
          <reference field="4294967294" count="1" selected="0">
            <x v="0"/>
          </reference>
          <reference field="7" count="1" selected="0">
            <x v="11"/>
          </reference>
        </references>
      </pivotArea>
    </chartFormat>
    <chartFormat chart="4" format="13">
      <pivotArea type="data" outline="0" fieldPosition="0">
        <references count="2">
          <reference field="4294967294" count="1" selected="0">
            <x v="0"/>
          </reference>
          <reference field="7" count="1" selected="0">
            <x v="2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7" count="1" selected="0">
            <x v="0"/>
          </reference>
        </references>
      </pivotArea>
    </chartFormat>
    <chartFormat chart="9" format="16">
      <pivotArea type="data" outline="0" fieldPosition="0">
        <references count="2">
          <reference field="4294967294" count="1" selected="0">
            <x v="0"/>
          </reference>
          <reference field="7" count="1" selected="0">
            <x v="2"/>
          </reference>
        </references>
      </pivotArea>
    </chartFormat>
    <chartFormat chart="9" format="17">
      <pivotArea type="data" outline="0" fieldPosition="0">
        <references count="2">
          <reference field="4294967294" count="1" selected="0">
            <x v="0"/>
          </reference>
          <reference field="7" count="1" selected="0">
            <x v="3"/>
          </reference>
        </references>
      </pivotArea>
    </chartFormat>
    <chartFormat chart="9" format="18">
      <pivotArea type="data" outline="0" fieldPosition="0">
        <references count="2">
          <reference field="4294967294" count="1" selected="0">
            <x v="0"/>
          </reference>
          <reference field="7" count="1" selected="0">
            <x v="7"/>
          </reference>
        </references>
      </pivotArea>
    </chartFormat>
    <chartFormat chart="9" format="19">
      <pivotArea type="data" outline="0" fieldPosition="0">
        <references count="2">
          <reference field="4294967294" count="1" selected="0">
            <x v="0"/>
          </reference>
          <reference field="7" count="1" selected="0">
            <x v="11"/>
          </reference>
        </references>
      </pivotArea>
    </chartFormat>
    <chartFormat chart="9" format="20">
      <pivotArea type="data" outline="0" fieldPosition="0">
        <references count="2">
          <reference field="4294967294" count="1" selected="0">
            <x v="0"/>
          </reference>
          <reference field="7" count="1" selected="0">
            <x v="2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DFD2C9-F451-4880-92FA-F168D3759B48}" name="PivotTable5"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8" firstHeaderRow="1" firstDataRow="1" firstDataCol="1"/>
  <pivotFields count="20">
    <pivotField dataField="1" showAll="0"/>
    <pivotField numFmtId="14" showAll="0"/>
    <pivotField showAll="0">
      <items count="13">
        <item x="7"/>
        <item x="9"/>
        <item x="1"/>
        <item x="6"/>
        <item x="8"/>
        <item x="11"/>
        <item x="5"/>
        <item x="0"/>
        <item x="3"/>
        <item x="2"/>
        <item x="10"/>
        <item x="4"/>
        <item t="default"/>
      </items>
    </pivotField>
    <pivotField showAll="0"/>
    <pivotField axis="axisRow" showAll="0" measureFilter="1">
      <items count="12">
        <item x="9"/>
        <item x="4"/>
        <item x="2"/>
        <item x="3"/>
        <item x="6"/>
        <item x="7"/>
        <item x="0"/>
        <item x="5"/>
        <item x="1"/>
        <item x="8"/>
        <item x="10"/>
        <item t="default"/>
      </items>
    </pivotField>
    <pivotField showAll="0">
      <items count="11">
        <item x="0"/>
        <item x="3"/>
        <item x="8"/>
        <item x="4"/>
        <item x="1"/>
        <item x="7"/>
        <item x="2"/>
        <item x="6"/>
        <item x="9"/>
        <item x="5"/>
        <item t="default"/>
      </items>
    </pivotField>
    <pivotField showAll="0">
      <items count="7">
        <item x="0"/>
        <item m="1" x="5"/>
        <item x="3"/>
        <item x="2"/>
        <item h="1" x="4"/>
        <item x="1"/>
        <item t="default"/>
      </items>
    </pivotField>
    <pivotField showAll="0">
      <items count="24">
        <item x="11"/>
        <item x="19"/>
        <item x="8"/>
        <item x="2"/>
        <item x="9"/>
        <item x="21"/>
        <item x="16"/>
        <item x="0"/>
        <item x="6"/>
        <item x="14"/>
        <item x="10"/>
        <item x="22"/>
        <item x="4"/>
        <item x="18"/>
        <item x="7"/>
        <item x="15"/>
        <item x="1"/>
        <item x="5"/>
        <item x="20"/>
        <item x="13"/>
        <item x="17"/>
        <item x="12"/>
        <item x="3"/>
        <item t="default"/>
      </items>
    </pivotField>
    <pivotField showAll="0">
      <items count="6">
        <item x="4"/>
        <item x="3"/>
        <item x="1"/>
        <item x="0"/>
        <item x="2"/>
        <item t="default"/>
      </items>
    </pivotField>
    <pivotField showAll="0"/>
    <pivotField numFmtId="164" showAll="0"/>
    <pivotField numFmtId="9" showAll="0"/>
    <pivotField numFmtId="165" showAll="0"/>
    <pivotField numFmtId="165" showAll="0"/>
    <pivotField numFmtId="165" showAll="0"/>
    <pivotField showAll="0">
      <items count="5">
        <item x="0"/>
        <item x="2"/>
        <item x="1"/>
        <item x="3"/>
        <item t="default"/>
      </items>
    </pivotField>
    <pivotField showAll="0"/>
    <pivotField showAll="0"/>
    <pivotField numFmtId="9" showAll="0"/>
    <pivotField showAll="0"/>
  </pivotFields>
  <rowFields count="1">
    <field x="4"/>
  </rowFields>
  <rowItems count="5">
    <i>
      <x v="1"/>
    </i>
    <i>
      <x v="3"/>
    </i>
    <i>
      <x v="4"/>
    </i>
    <i>
      <x v="8"/>
    </i>
    <i>
      <x v="9"/>
    </i>
  </rowItems>
  <colItems count="1">
    <i/>
  </colItems>
  <dataFields count="1">
    <dataField name="Count of Order ID" fld="0" subtotal="count" baseField="0" baseItem="0"/>
  </dataFields>
  <chartFormats count="2">
    <chartFormat chart="9"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46F7F9-DE34-4E08-9367-470003DDE678}" name="PivotTable6"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F8" firstHeaderRow="1" firstDataRow="2" firstDataCol="1"/>
  <pivotFields count="20">
    <pivotField dataField="1" showAll="0"/>
    <pivotField showAll="0"/>
    <pivotField showAll="0"/>
    <pivotField showAll="0"/>
    <pivotField showAll="0"/>
    <pivotField showAll="0"/>
    <pivotField axis="axisCol" showAll="0">
      <items count="7">
        <item x="0"/>
        <item x="3"/>
        <item x="2"/>
        <item x="1"/>
        <item m="1" x="5"/>
        <item x="4"/>
        <item t="default"/>
      </items>
    </pivotField>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15"/>
  </rowFields>
  <rowItems count="4">
    <i>
      <x/>
    </i>
    <i>
      <x v="1"/>
    </i>
    <i>
      <x v="2"/>
    </i>
    <i>
      <x v="3"/>
    </i>
  </rowItems>
  <colFields count="1">
    <field x="6"/>
  </colFields>
  <colItems count="5">
    <i>
      <x/>
    </i>
    <i>
      <x v="1"/>
    </i>
    <i>
      <x v="2"/>
    </i>
    <i>
      <x v="3"/>
    </i>
    <i>
      <x v="5"/>
    </i>
  </colItems>
  <dataFields count="1">
    <dataField name="Count of Order ID" fld="0" subtotal="count" baseField="0" baseItem="0"/>
  </dataFields>
  <chartFormats count="1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0"/>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2">
          <reference field="4294967294" count="1" selected="0">
            <x v="0"/>
          </reference>
          <reference field="6" count="1" selected="0">
            <x v="2"/>
          </reference>
        </references>
      </pivotArea>
    </chartFormat>
    <chartFormat chart="3" format="7" series="1">
      <pivotArea type="data" outline="0" fieldPosition="0">
        <references count="2">
          <reference field="4294967294" count="1" selected="0">
            <x v="0"/>
          </reference>
          <reference field="6" count="1" selected="0">
            <x v="3"/>
          </reference>
        </references>
      </pivotArea>
    </chartFormat>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24" format="8" series="1">
      <pivotArea type="data" outline="0" fieldPosition="0">
        <references count="2">
          <reference field="4294967294" count="1" selected="0">
            <x v="0"/>
          </reference>
          <reference field="6" count="1" selected="0">
            <x v="0"/>
          </reference>
        </references>
      </pivotArea>
    </chartFormat>
    <chartFormat chart="24" format="9" series="1">
      <pivotArea type="data" outline="0" fieldPosition="0">
        <references count="2">
          <reference field="4294967294" count="1" selected="0">
            <x v="0"/>
          </reference>
          <reference field="6" count="1" selected="0">
            <x v="1"/>
          </reference>
        </references>
      </pivotArea>
    </chartFormat>
    <chartFormat chart="24" format="10" series="1">
      <pivotArea type="data" outline="0" fieldPosition="0">
        <references count="2">
          <reference field="4294967294" count="1" selected="0">
            <x v="0"/>
          </reference>
          <reference field="6" count="1" selected="0">
            <x v="2"/>
          </reference>
        </references>
      </pivotArea>
    </chartFormat>
    <chartFormat chart="24" format="11" series="1">
      <pivotArea type="data" outline="0" fieldPosition="0">
        <references count="2">
          <reference field="4294967294" count="1" selected="0">
            <x v="0"/>
          </reference>
          <reference field="6" count="1" selected="0">
            <x v="3"/>
          </reference>
        </references>
      </pivotArea>
    </chartFormat>
    <chartFormat chart="24" format="12"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C8CD19-F9FA-48CD-B2BA-C27FECBF55C4}" name="PivotTable8"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8" firstHeaderRow="1" firstDataRow="1" firstDataCol="1"/>
  <pivotFields count="20">
    <pivotField dataField="1" showAll="0"/>
    <pivotField numFmtId="14" showAll="0"/>
    <pivotField showAll="0">
      <items count="13">
        <item x="7"/>
        <item x="9"/>
        <item x="1"/>
        <item x="6"/>
        <item x="8"/>
        <item x="11"/>
        <item x="5"/>
        <item x="0"/>
        <item x="3"/>
        <item x="2"/>
        <item x="10"/>
        <item x="4"/>
        <item t="default"/>
      </items>
    </pivotField>
    <pivotField showAll="0"/>
    <pivotField showAll="0"/>
    <pivotField showAll="0">
      <items count="11">
        <item x="0"/>
        <item x="3"/>
        <item x="8"/>
        <item x="4"/>
        <item x="1"/>
        <item x="7"/>
        <item x="2"/>
        <item x="6"/>
        <item x="9"/>
        <item x="5"/>
        <item t="default"/>
      </items>
    </pivotField>
    <pivotField showAll="0">
      <items count="7">
        <item x="0"/>
        <item m="1" x="5"/>
        <item x="3"/>
        <item x="2"/>
        <item h="1" x="4"/>
        <item x="1"/>
        <item t="default"/>
      </items>
    </pivotField>
    <pivotField showAll="0">
      <items count="24">
        <item x="11"/>
        <item x="19"/>
        <item x="8"/>
        <item x="2"/>
        <item x="9"/>
        <item x="21"/>
        <item x="16"/>
        <item x="0"/>
        <item x="6"/>
        <item x="14"/>
        <item x="10"/>
        <item x="22"/>
        <item x="4"/>
        <item x="18"/>
        <item x="7"/>
        <item x="15"/>
        <item x="1"/>
        <item x="5"/>
        <item x="20"/>
        <item x="13"/>
        <item x="17"/>
        <item x="12"/>
        <item x="3"/>
        <item t="default"/>
      </items>
    </pivotField>
    <pivotField showAll="0">
      <items count="6">
        <item x="4"/>
        <item x="3"/>
        <item x="1"/>
        <item x="0"/>
        <item x="2"/>
        <item t="default"/>
      </items>
    </pivotField>
    <pivotField showAll="0"/>
    <pivotField numFmtId="164" showAll="0"/>
    <pivotField numFmtId="9" showAll="0"/>
    <pivotField numFmtId="165" showAll="0"/>
    <pivotField numFmtId="165" showAll="0"/>
    <pivotField numFmtId="165" showAll="0"/>
    <pivotField showAll="0">
      <items count="5">
        <item x="0"/>
        <item x="2"/>
        <item x="1"/>
        <item x="3"/>
        <item t="default"/>
      </items>
    </pivotField>
    <pivotField axis="axisRow" showAll="0">
      <items count="4">
        <item x="2"/>
        <item x="0"/>
        <item x="1"/>
        <item t="default"/>
      </items>
    </pivotField>
    <pivotField showAll="0"/>
    <pivotField numFmtId="9" showAll="0"/>
    <pivotField showAll="0"/>
  </pivotFields>
  <rowFields count="1">
    <field x="16"/>
  </rowFields>
  <rowItems count="4">
    <i>
      <x/>
    </i>
    <i>
      <x v="1"/>
    </i>
    <i>
      <x v="2"/>
    </i>
    <i t="grand">
      <x/>
    </i>
  </rowItems>
  <colItems count="1">
    <i/>
  </colItems>
  <dataFields count="1">
    <dataField name="Count of Order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07221-F59B-4A19-9EAA-A5BF8554B837}" name="PivotTable7"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F7" firstHeaderRow="1" firstDataRow="2" firstDataCol="1"/>
  <pivotFields count="20">
    <pivotField dataField="1" showAll="0"/>
    <pivotField numFmtId="14" showAll="0"/>
    <pivotField showAll="0">
      <items count="13">
        <item x="7"/>
        <item x="9"/>
        <item x="1"/>
        <item x="6"/>
        <item x="8"/>
        <item x="11"/>
        <item x="5"/>
        <item x="0"/>
        <item x="3"/>
        <item x="2"/>
        <item x="10"/>
        <item x="4"/>
        <item t="default"/>
      </items>
    </pivotField>
    <pivotField showAll="0"/>
    <pivotField showAll="0"/>
    <pivotField showAll="0">
      <items count="11">
        <item x="0"/>
        <item x="3"/>
        <item x="8"/>
        <item x="4"/>
        <item x="1"/>
        <item x="7"/>
        <item x="2"/>
        <item x="6"/>
        <item x="9"/>
        <item x="5"/>
        <item t="default"/>
      </items>
    </pivotField>
    <pivotField showAll="0">
      <items count="7">
        <item x="0"/>
        <item m="1" x="5"/>
        <item x="3"/>
        <item x="2"/>
        <item h="1" x="4"/>
        <item x="1"/>
        <item t="default"/>
      </items>
    </pivotField>
    <pivotField showAll="0">
      <items count="24">
        <item x="11"/>
        <item x="19"/>
        <item x="8"/>
        <item x="2"/>
        <item x="9"/>
        <item x="21"/>
        <item x="16"/>
        <item x="0"/>
        <item x="6"/>
        <item x="14"/>
        <item x="10"/>
        <item x="22"/>
        <item x="4"/>
        <item x="18"/>
        <item x="7"/>
        <item x="15"/>
        <item x="1"/>
        <item x="5"/>
        <item x="20"/>
        <item x="13"/>
        <item x="17"/>
        <item x="12"/>
        <item x="3"/>
        <item t="default"/>
      </items>
    </pivotField>
    <pivotField axis="axisCol" showAll="0">
      <items count="6">
        <item x="4"/>
        <item x="3"/>
        <item x="1"/>
        <item x="0"/>
        <item x="2"/>
        <item t="default"/>
      </items>
    </pivotField>
    <pivotField showAll="0"/>
    <pivotField numFmtId="164" showAll="0"/>
    <pivotField numFmtId="9" showAll="0"/>
    <pivotField numFmtId="165" showAll="0"/>
    <pivotField numFmtId="165" showAll="0"/>
    <pivotField numFmtId="165" showAll="0"/>
    <pivotField showAll="0">
      <items count="5">
        <item x="0"/>
        <item x="2"/>
        <item x="1"/>
        <item x="3"/>
        <item t="default"/>
      </items>
    </pivotField>
    <pivotField axis="axisRow" showAll="0">
      <items count="4">
        <item x="2"/>
        <item x="0"/>
        <item x="1"/>
        <item t="default"/>
      </items>
    </pivotField>
    <pivotField showAll="0"/>
    <pivotField numFmtId="9" showAll="0"/>
    <pivotField showAll="0"/>
  </pivotFields>
  <rowFields count="1">
    <field x="16"/>
  </rowFields>
  <rowItems count="3">
    <i>
      <x/>
    </i>
    <i>
      <x v="1"/>
    </i>
    <i>
      <x v="2"/>
    </i>
  </rowItems>
  <colFields count="1">
    <field x="8"/>
  </colFields>
  <colItems count="5">
    <i>
      <x/>
    </i>
    <i>
      <x v="1"/>
    </i>
    <i>
      <x v="2"/>
    </i>
    <i>
      <x v="3"/>
    </i>
    <i>
      <x v="4"/>
    </i>
  </colItems>
  <dataFields count="1">
    <dataField name="Count of Order ID" fld="0" subtotal="count" baseField="0" baseItem="0"/>
  </dataFields>
  <formats count="1">
    <format dxfId="43">
      <pivotArea collapsedLevelsAreSubtotals="1" fieldPosition="0">
        <references count="2">
          <reference field="8" count="1" selected="0">
            <x v="3"/>
          </reference>
          <reference field="16" count="1">
            <x v="1"/>
          </reference>
        </references>
      </pivotArea>
    </format>
  </formats>
  <chartFormats count="12">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9" format="10" series="1">
      <pivotArea type="data" outline="0" fieldPosition="0">
        <references count="2">
          <reference field="4294967294" count="1" selected="0">
            <x v="0"/>
          </reference>
          <reference field="8" count="1" selected="0">
            <x v="0"/>
          </reference>
        </references>
      </pivotArea>
    </chartFormat>
    <chartFormat chart="9" format="11" series="1">
      <pivotArea type="data" outline="0" fieldPosition="0">
        <references count="2">
          <reference field="4294967294" count="1" selected="0">
            <x v="0"/>
          </reference>
          <reference field="8" count="1" selected="0">
            <x v="1"/>
          </reference>
        </references>
      </pivotArea>
    </chartFormat>
    <chartFormat chart="9" format="12" series="1">
      <pivotArea type="data" outline="0" fieldPosition="0">
        <references count="2">
          <reference field="4294967294" count="1" selected="0">
            <x v="0"/>
          </reference>
          <reference field="8" count="1" selected="0">
            <x v="2"/>
          </reference>
        </references>
      </pivotArea>
    </chartFormat>
    <chartFormat chart="9" format="13" series="1">
      <pivotArea type="data" outline="0" fieldPosition="0">
        <references count="2">
          <reference field="4294967294" count="1" selected="0">
            <x v="0"/>
          </reference>
          <reference field="8" count="1" selected="0">
            <x v="3"/>
          </reference>
        </references>
      </pivotArea>
    </chartFormat>
    <chartFormat chart="9" format="14" series="1">
      <pivotArea type="data" outline="0" fieldPosition="0">
        <references count="2">
          <reference field="4294967294" count="1" selected="0">
            <x v="0"/>
          </reference>
          <reference field="8" count="1" selected="0">
            <x v="4"/>
          </reference>
        </references>
      </pivotArea>
    </chartFormat>
    <chartFormat chart="9" format="1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BE5387-5940-4A62-A20B-734B639AE5A4}" name="PivotTable9" cacheId="1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7" firstHeaderRow="1" firstDataRow="1" firstDataCol="1"/>
  <pivotFields count="20">
    <pivotField showAll="0"/>
    <pivotField numFmtId="14" showAll="0"/>
    <pivotField showAll="0">
      <items count="13">
        <item x="7"/>
        <item x="9"/>
        <item x="1"/>
        <item x="6"/>
        <item x="8"/>
        <item x="11"/>
        <item x="5"/>
        <item x="0"/>
        <item x="3"/>
        <item x="2"/>
        <item x="10"/>
        <item x="4"/>
        <item t="default"/>
      </items>
    </pivotField>
    <pivotField showAll="0"/>
    <pivotField showAll="0"/>
    <pivotField showAll="0">
      <items count="11">
        <item x="0"/>
        <item x="3"/>
        <item x="8"/>
        <item x="4"/>
        <item x="1"/>
        <item x="7"/>
        <item x="2"/>
        <item x="6"/>
        <item x="9"/>
        <item x="5"/>
        <item t="default"/>
      </items>
    </pivotField>
    <pivotField axis="axisRow" showAll="0">
      <items count="7">
        <item x="0"/>
        <item x="3"/>
        <item x="2"/>
        <item x="1"/>
        <item m="1" x="5"/>
        <item h="1" x="4"/>
        <item t="default"/>
      </items>
    </pivotField>
    <pivotField showAll="0">
      <items count="24">
        <item x="11"/>
        <item x="19"/>
        <item x="8"/>
        <item x="2"/>
        <item x="9"/>
        <item x="21"/>
        <item x="16"/>
        <item x="0"/>
        <item x="6"/>
        <item x="14"/>
        <item x="10"/>
        <item x="22"/>
        <item x="4"/>
        <item x="18"/>
        <item x="7"/>
        <item x="15"/>
        <item x="1"/>
        <item x="5"/>
        <item x="20"/>
        <item x="13"/>
        <item x="17"/>
        <item x="12"/>
        <item x="3"/>
        <item t="default"/>
      </items>
    </pivotField>
    <pivotField showAll="0">
      <items count="6">
        <item x="4"/>
        <item x="3"/>
        <item x="1"/>
        <item x="0"/>
        <item x="2"/>
        <item t="default"/>
      </items>
    </pivotField>
    <pivotField showAll="0"/>
    <pivotField numFmtId="164" showAll="0"/>
    <pivotField numFmtId="9" showAll="0"/>
    <pivotField numFmtId="165" showAll="0"/>
    <pivotField numFmtId="165" showAll="0"/>
    <pivotField dataField="1" numFmtId="165" showAll="0"/>
    <pivotField showAll="0">
      <items count="5">
        <item x="0"/>
        <item x="2"/>
        <item x="1"/>
        <item x="3"/>
        <item t="default"/>
      </items>
    </pivotField>
    <pivotField showAll="0"/>
    <pivotField showAll="0"/>
    <pivotField numFmtId="9" showAll="0"/>
    <pivotField showAll="0"/>
  </pivotFields>
  <rowFields count="1">
    <field x="6"/>
  </rowFields>
  <rowItems count="4">
    <i>
      <x/>
    </i>
    <i>
      <x v="1"/>
    </i>
    <i>
      <x v="2"/>
    </i>
    <i>
      <x v="3"/>
    </i>
  </rowItems>
  <colItems count="1">
    <i/>
  </colItems>
  <dataFields count="1">
    <dataField name="Sum of Net_revenue" fld="14" baseField="0" baseItem="0" numFmtId="165"/>
  </dataFields>
  <formats count="3">
    <format dxfId="40">
      <pivotArea outline="0" collapsedLevelsAreSubtotals="1" fieldPosition="0"/>
    </format>
    <format dxfId="41">
      <pivotArea dataOnly="0" labelOnly="1" outline="0" axis="axisValues" fieldPosition="0"/>
    </format>
    <format dxfId="42">
      <pivotArea field="6" type="button" dataOnly="0" labelOnly="1" outline="0" axis="axisRow" fieldPosition="0"/>
    </format>
  </formats>
  <chartFormats count="34">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5"/>
          </reference>
        </references>
      </pivotArea>
    </chartFormat>
    <chartFormat chart="10" format="2">
      <pivotArea type="data" outline="0" fieldPosition="0">
        <references count="2">
          <reference field="4294967294" count="1" selected="0">
            <x v="0"/>
          </reference>
          <reference field="6" count="1" selected="0">
            <x v="0"/>
          </reference>
        </references>
      </pivotArea>
    </chartFormat>
    <chartFormat chart="10" format="3">
      <pivotArea type="data" outline="0" fieldPosition="0">
        <references count="2">
          <reference field="4294967294" count="1" selected="0">
            <x v="0"/>
          </reference>
          <reference field="6" count="1" selected="0">
            <x v="1"/>
          </reference>
        </references>
      </pivotArea>
    </chartFormat>
    <chartFormat chart="10" format="4">
      <pivotArea type="data" outline="0" fieldPosition="0">
        <references count="2">
          <reference field="4294967294" count="1" selected="0">
            <x v="0"/>
          </reference>
          <reference field="6" count="1" selected="0">
            <x v="2"/>
          </reference>
        </references>
      </pivotArea>
    </chartFormat>
    <chartFormat chart="10" format="5">
      <pivotArea type="data" outline="0" fieldPosition="0">
        <references count="2">
          <reference field="4294967294" count="1" selected="0">
            <x v="0"/>
          </reference>
          <reference field="6" count="1" selected="0">
            <x v="3"/>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6" count="1" selected="0">
            <x v="0"/>
          </reference>
        </references>
      </pivotArea>
    </chartFormat>
    <chartFormat chart="12" format="14">
      <pivotArea type="data" outline="0" fieldPosition="0">
        <references count="2">
          <reference field="4294967294" count="1" selected="0">
            <x v="0"/>
          </reference>
          <reference field="6" count="1" selected="0">
            <x v="1"/>
          </reference>
        </references>
      </pivotArea>
    </chartFormat>
    <chartFormat chart="12" format="15">
      <pivotArea type="data" outline="0" fieldPosition="0">
        <references count="2">
          <reference field="4294967294" count="1" selected="0">
            <x v="0"/>
          </reference>
          <reference field="6" count="1" selected="0">
            <x v="2"/>
          </reference>
        </references>
      </pivotArea>
    </chartFormat>
    <chartFormat chart="12" format="16">
      <pivotArea type="data" outline="0" fieldPosition="0">
        <references count="2">
          <reference field="4294967294" count="1" selected="0">
            <x v="0"/>
          </reference>
          <reference field="6" count="1" selected="0">
            <x v="3"/>
          </reference>
        </references>
      </pivotArea>
    </chartFormat>
    <chartFormat chart="12" format="17">
      <pivotArea type="data" outline="0" fieldPosition="0">
        <references count="2">
          <reference field="4294967294" count="1" selected="0">
            <x v="0"/>
          </reference>
          <reference field="6" count="1" selected="0">
            <x v="5"/>
          </reference>
        </references>
      </pivotArea>
    </chartFormat>
    <chartFormat chart="17" format="18" series="1">
      <pivotArea type="data" outline="0" fieldPosition="0">
        <references count="1">
          <reference field="4294967294" count="1" selected="0">
            <x v="0"/>
          </reference>
        </references>
      </pivotArea>
    </chartFormat>
    <chartFormat chart="17" format="19">
      <pivotArea type="data" outline="0" fieldPosition="0">
        <references count="2">
          <reference field="4294967294" count="1" selected="0">
            <x v="0"/>
          </reference>
          <reference field="6" count="1" selected="0">
            <x v="0"/>
          </reference>
        </references>
      </pivotArea>
    </chartFormat>
    <chartFormat chart="17" format="20">
      <pivotArea type="data" outline="0" fieldPosition="0">
        <references count="2">
          <reference field="4294967294" count="1" selected="0">
            <x v="0"/>
          </reference>
          <reference field="6" count="1" selected="0">
            <x v="1"/>
          </reference>
        </references>
      </pivotArea>
    </chartFormat>
    <chartFormat chart="17" format="21">
      <pivotArea type="data" outline="0" fieldPosition="0">
        <references count="2">
          <reference field="4294967294" count="1" selected="0">
            <x v="0"/>
          </reference>
          <reference field="6" count="1" selected="0">
            <x v="2"/>
          </reference>
        </references>
      </pivotArea>
    </chartFormat>
    <chartFormat chart="17" format="22">
      <pivotArea type="data" outline="0" fieldPosition="0">
        <references count="2">
          <reference field="4294967294" count="1" selected="0">
            <x v="0"/>
          </reference>
          <reference field="6" count="1" selected="0">
            <x v="3"/>
          </reference>
        </references>
      </pivotArea>
    </chartFormat>
    <chartFormat chart="17" format="23">
      <pivotArea type="data" outline="0" fieldPosition="0">
        <references count="2">
          <reference field="4294967294" count="1" selected="0">
            <x v="0"/>
          </reference>
          <reference field="6" count="1" selected="0">
            <x v="5"/>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6" count="1" selected="0">
            <x v="0"/>
          </reference>
        </references>
      </pivotArea>
    </chartFormat>
    <chartFormat chart="18" format="26">
      <pivotArea type="data" outline="0" fieldPosition="0">
        <references count="2">
          <reference field="4294967294" count="1" selected="0">
            <x v="0"/>
          </reference>
          <reference field="6" count="1" selected="0">
            <x v="1"/>
          </reference>
        </references>
      </pivotArea>
    </chartFormat>
    <chartFormat chart="18" format="27">
      <pivotArea type="data" outline="0" fieldPosition="0">
        <references count="2">
          <reference field="4294967294" count="1" selected="0">
            <x v="0"/>
          </reference>
          <reference field="6" count="1" selected="0">
            <x v="2"/>
          </reference>
        </references>
      </pivotArea>
    </chartFormat>
    <chartFormat chart="18" format="28">
      <pivotArea type="data" outline="0" fieldPosition="0">
        <references count="2">
          <reference field="4294967294" count="1" selected="0">
            <x v="0"/>
          </reference>
          <reference field="6" count="1" selected="0">
            <x v="3"/>
          </reference>
        </references>
      </pivotArea>
    </chartFormat>
    <chartFormat chart="18" format="29">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09CAC10-14BA-494C-86DC-9C5C874E70A2}" sourceName="Month">
  <pivotTables>
    <pivotTable tabId="6" name="PivotTable1"/>
    <pivotTable tabId="12" name="PivotTable7"/>
    <pivotTable tabId="12" name="PivotTable8"/>
    <pivotTable tabId="8" name="PivotTable3"/>
    <pivotTable tabId="7" name="PivotTable2"/>
    <pivotTable tabId="13" name="PivotTable9"/>
    <pivotTable tabId="9" name="PivotTable5"/>
  </pivotTables>
  <data>
    <tabular pivotCacheId="1297532461">
      <items count="12">
        <i x="7" s="1"/>
        <i x="9" s="1"/>
        <i x="1" s="1"/>
        <i x="6" s="1"/>
        <i x="8" s="1"/>
        <i x="11" s="1"/>
        <i x="5" s="1"/>
        <i x="0" s="1"/>
        <i x="3" s="1"/>
        <i x="2" s="1"/>
        <i x="1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A38694-1092-43AB-A3DA-F572AA479B42}" sourceName="Region">
  <pivotTables>
    <pivotTable tabId="6" name="PivotTable1"/>
    <pivotTable tabId="12" name="PivotTable7"/>
    <pivotTable tabId="12" name="PivotTable8"/>
    <pivotTable tabId="8" name="PivotTable3"/>
    <pivotTable tabId="7" name="PivotTable2"/>
    <pivotTable tabId="13" name="PivotTable9"/>
    <pivotTable tabId="9" name="PivotTable5"/>
  </pivotTables>
  <data>
    <tabular pivotCacheId="1297532461">
      <items count="6">
        <i x="0" s="1"/>
        <i x="3" s="1"/>
        <i x="2" s="1"/>
        <i x="4"/>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F6E1068-2682-4886-AFE3-BF4D7B8DDF88}" sourceName="Product Name">
  <pivotTables>
    <pivotTable tabId="6" name="PivotTable1"/>
    <pivotTable tabId="12" name="PivotTable7"/>
    <pivotTable tabId="12" name="PivotTable8"/>
    <pivotTable tabId="8" name="PivotTable3"/>
    <pivotTable tabId="7" name="PivotTable2"/>
    <pivotTable tabId="13" name="PivotTable9"/>
    <pivotTable tabId="9" name="PivotTable5"/>
  </pivotTables>
  <data>
    <tabular pivotCacheId="1297532461">
      <items count="23">
        <i x="11" s="1"/>
        <i x="19" s="1"/>
        <i x="8" s="1"/>
        <i x="2" s="1"/>
        <i x="9" s="1"/>
        <i x="21" s="1"/>
        <i x="16" s="1"/>
        <i x="0" s="1"/>
        <i x="6" s="1"/>
        <i x="14" s="1"/>
        <i x="10" s="1"/>
        <i x="22" s="1"/>
        <i x="4" s="1"/>
        <i x="18" s="1"/>
        <i x="7" s="1"/>
        <i x="15" s="1"/>
        <i x="1" s="1"/>
        <i x="5" s="1"/>
        <i x="20" s="1"/>
        <i x="13" s="1"/>
        <i x="17" s="1"/>
        <i x="1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49A86C-6B9D-43B8-BDD6-D3B527F49180}" sourceName="Category">
  <pivotTables>
    <pivotTable tabId="6" name="PivotTable1"/>
    <pivotTable tabId="12" name="PivotTable7"/>
    <pivotTable tabId="12" name="PivotTable8"/>
    <pivotTable tabId="8" name="PivotTable3"/>
    <pivotTable tabId="7" name="PivotTable2"/>
    <pivotTable tabId="13" name="PivotTable9"/>
    <pivotTable tabId="9" name="PivotTable5"/>
  </pivotTables>
  <data>
    <tabular pivotCacheId="1297532461">
      <items count="5">
        <i x="4" s="1"/>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06DC514-C129-44CB-915E-0D420AC6AFE8}" sourceName="State">
  <pivotTables>
    <pivotTable tabId="6" name="PivotTable1"/>
    <pivotTable tabId="12" name="PivotTable7"/>
    <pivotTable tabId="12" name="PivotTable8"/>
    <pivotTable tabId="8" name="PivotTable3"/>
    <pivotTable tabId="7" name="PivotTable2"/>
    <pivotTable tabId="13" name="PivotTable9"/>
    <pivotTable tabId="9" name="PivotTable5"/>
  </pivotTables>
  <data>
    <tabular pivotCacheId="1297532461">
      <items count="10">
        <i x="0" s="1"/>
        <i x="3" s="1"/>
        <i x="8" s="1"/>
        <i x="4" s="1"/>
        <i x="1" s="1"/>
        <i x="7" s="1"/>
        <i x="2" s="1"/>
        <i x="6" s="1"/>
        <i x="5" s="1"/>
        <i x="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F3AA7C3-FD0B-4F56-A44C-0351B318A774}" sourceName="Payment Method">
  <pivotTables>
    <pivotTable tabId="6" name="PivotTable1"/>
    <pivotTable tabId="12" name="PivotTable7"/>
    <pivotTable tabId="12" name="PivotTable8"/>
    <pivotTable tabId="8" name="PivotTable3"/>
    <pivotTable tabId="7" name="PivotTable2"/>
    <pivotTable tabId="13" name="PivotTable9"/>
    <pivotTable tabId="9" name="PivotTable5"/>
  </pivotTables>
  <data>
    <tabular pivotCacheId="129753246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55FB6D9-8E36-415D-9932-1E52A192FC2E}" cache="Slicer_Month" caption="Month" rowHeight="234950"/>
  <slicer name="Region" xr10:uid="{C9360787-A924-4478-B4CC-7C92BF5D1824}" cache="Slicer_Region" caption="Region" rowHeight="234950"/>
  <slicer name="Product Name" xr10:uid="{BAAACD3F-AD26-4D80-BABC-D469E48E2556}" cache="Slicer_Product_Name" caption="Product Name" rowHeight="234950"/>
  <slicer name="Category" xr10:uid="{5C80234E-A2EF-446D-BE37-C18CAB147843}" cache="Slicer_Category" caption="Category" rowHeight="234950"/>
  <slicer name="State" xr10:uid="{175C4C2D-077A-4D4D-AFC6-766294E9BB2F}" cache="Slicer_State" caption="State" startItem="1" rowHeight="234950"/>
  <slicer name="Payment Method" xr10:uid="{CCBFA26F-63ED-4C2E-8ABA-69764903D80D}" cache="Slicer_Payment_Method" caption="Payment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AF05A-6058-411F-AAD2-082A52B91EB4}" name="Table1" displayName="Table1" ref="A1:T2001" totalsRowShown="0" headerRowDxfId="77" dataDxfId="76">
  <autoFilter ref="A1:T2001" xr:uid="{98AAF05A-6058-411F-AAD2-082A52B91EB4}">
    <filterColumn colId="4">
      <filters blank="1"/>
    </filterColumn>
    <filterColumn colId="5">
      <filters>
        <filter val="Delhi"/>
      </filters>
    </filterColumn>
  </autoFilter>
  <tableColumns count="20">
    <tableColumn id="1" xr3:uid="{69DD3B1E-F25C-416C-9FFA-D0D6F10B3DBF}" name="Order ID" dataDxfId="75"/>
    <tableColumn id="2" xr3:uid="{E58649B7-CBEA-4E6D-B0C4-864B77B80A02}" name="Order Date" dataDxfId="74"/>
    <tableColumn id="3" xr3:uid="{94B2E3EC-4695-43D4-BDB4-534363A1D40D}" name="Month" dataDxfId="73">
      <calculatedColumnFormula>TEXT(B2,"mmm")</calculatedColumnFormula>
    </tableColumn>
    <tableColumn id="4" xr3:uid="{21A06B00-7137-483E-9D78-4E887BE714E9}" name="Customer ID" dataDxfId="72"/>
    <tableColumn id="5" xr3:uid="{7F3BC085-722A-4D4D-83CA-A6C96E07C37F}" name="Customer City" dataDxfId="71"/>
    <tableColumn id="19" xr3:uid="{5FB24A9F-6FAB-4422-9BD8-A41085D7E125}" name="State" dataDxfId="53">
      <calculatedColumnFormula array="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calculatedColumnFormula>
    </tableColumn>
    <tableColumn id="20" xr3:uid="{75ED997F-4745-4B12-BFA8-C32A6DF3FBBD}" name="Region" dataDxfId="48">
      <calculatedColumnFormula array="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calculatedColumnFormula>
    </tableColumn>
    <tableColumn id="6" xr3:uid="{B0D3775F-2B3B-4849-BE22-9D339B8985B4}" name="Product Name" dataDxfId="70"/>
    <tableColumn id="7" xr3:uid="{D896FC5D-EFC6-4C7C-A9EB-DAA03BAF70B7}" name="Category" dataDxfId="69"/>
    <tableColumn id="8" xr3:uid="{B591BB58-E8CE-4B8E-9A21-6DD4A4E3E6FC}" name="Quantity" dataDxfId="68"/>
    <tableColumn id="9" xr3:uid="{D236341D-8A2B-4244-97B0-B34753121540}" name="Unit Price" dataDxfId="67"/>
    <tableColumn id="10" xr3:uid="{A6F54A5E-EAF5-429B-B50E-E876D371DE1B}" name="Discount %" dataDxfId="66"/>
    <tableColumn id="11" xr3:uid="{79B41C98-4BDB-45FA-A174-37C0620A047C}" name="Discounted_amt" dataDxfId="65">
      <calculatedColumnFormula>K2*L2</calculatedColumnFormula>
    </tableColumn>
    <tableColumn id="12" xr3:uid="{3B913110-4AFD-407E-99AB-BC68F2E1D2FA}" name="Gross_revenue" dataDxfId="64">
      <calculatedColumnFormula>K2*J2</calculatedColumnFormula>
    </tableColumn>
    <tableColumn id="13" xr3:uid="{6A5D793C-BB4F-45F2-9B41-C17A166D810C}" name="Net_revenue" dataDxfId="63">
      <calculatedColumnFormula>N2-M2</calculatedColumnFormula>
    </tableColumn>
    <tableColumn id="14" xr3:uid="{A16EF31E-B97C-4AB9-8793-FC12D22759A8}" name="Payment Method" dataDxfId="62"/>
    <tableColumn id="15" xr3:uid="{77DEE3A5-C746-46EB-AF21-88F899D3A688}" name="Order Status" dataDxfId="61"/>
    <tableColumn id="16" xr3:uid="{FB718251-624D-4313-B475-E095376EE0F7}" name="Shipping Cost" dataDxfId="60"/>
    <tableColumn id="17" xr3:uid="{34399D64-7972-49C0-8013-F98ADF7F8245}" name="revenue %" dataDxfId="59" dataCellStyle="Percent">
      <calculatedColumnFormula>Table1[[#This Row],[Net_revenue]]/Table1[[#This Row],[Gross_revenue]]*100%</calculatedColumnFormula>
    </tableColumn>
    <tableColumn id="18" xr3:uid="{A5DAE3DD-FCE5-4A0F-A074-4ED52AEF8A84}" name="repeated " dataDxfId="58">
      <calculatedColumnFormula>COUNTIFS(Table1[Customer ID], "&gt;1", Table1[Customer ID], 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105EE-CE77-4968-92B2-7FA02A98DB48}">
  <dimension ref="A3:B15"/>
  <sheetViews>
    <sheetView zoomScale="59" workbookViewId="0">
      <selection activeCell="B33" sqref="B33"/>
    </sheetView>
  </sheetViews>
  <sheetFormatPr defaultRowHeight="14.4" x14ac:dyDescent="0.3"/>
  <cols>
    <col min="1" max="1" width="12.5546875" bestFit="1" customWidth="1"/>
    <col min="2" max="2" width="25.5546875" bestFit="1" customWidth="1"/>
  </cols>
  <sheetData>
    <row r="3" spans="1:2" x14ac:dyDescent="0.3">
      <c r="A3" s="14" t="s">
        <v>2751</v>
      </c>
      <c r="B3" t="s">
        <v>2750</v>
      </c>
    </row>
    <row r="4" spans="1:2" x14ac:dyDescent="0.3">
      <c r="A4" s="15" t="s">
        <v>2737</v>
      </c>
      <c r="B4" s="13">
        <v>542910</v>
      </c>
    </row>
    <row r="5" spans="1:2" x14ac:dyDescent="0.3">
      <c r="A5" s="15" t="s">
        <v>2738</v>
      </c>
      <c r="B5" s="13">
        <v>426845.04999999981</v>
      </c>
    </row>
    <row r="6" spans="1:2" x14ac:dyDescent="0.3">
      <c r="A6" s="15" t="s">
        <v>2739</v>
      </c>
      <c r="B6" s="13">
        <v>454297.4499999996</v>
      </c>
    </row>
    <row r="7" spans="1:2" x14ac:dyDescent="0.3">
      <c r="A7" s="15" t="s">
        <v>2740</v>
      </c>
      <c r="B7" s="13">
        <v>578367.84999999963</v>
      </c>
    </row>
    <row r="8" spans="1:2" x14ac:dyDescent="0.3">
      <c r="A8" s="15" t="s">
        <v>2741</v>
      </c>
      <c r="B8" s="13">
        <v>462707.19999999984</v>
      </c>
    </row>
    <row r="9" spans="1:2" x14ac:dyDescent="0.3">
      <c r="A9" s="15" t="s">
        <v>2742</v>
      </c>
      <c r="B9" s="13">
        <v>483619.24999999965</v>
      </c>
    </row>
    <row r="10" spans="1:2" x14ac:dyDescent="0.3">
      <c r="A10" s="15" t="s">
        <v>2743</v>
      </c>
      <c r="B10" s="13">
        <v>503282.59999999986</v>
      </c>
    </row>
    <row r="11" spans="1:2" x14ac:dyDescent="0.3">
      <c r="A11" s="15" t="s">
        <v>2744</v>
      </c>
      <c r="B11" s="13">
        <v>528153.29999999993</v>
      </c>
    </row>
    <row r="12" spans="1:2" x14ac:dyDescent="0.3">
      <c r="A12" s="15" t="s">
        <v>2745</v>
      </c>
      <c r="B12" s="13">
        <v>434953.14999999979</v>
      </c>
    </row>
    <row r="13" spans="1:2" x14ac:dyDescent="0.3">
      <c r="A13" s="15" t="s">
        <v>2746</v>
      </c>
      <c r="B13" s="13">
        <v>465911.05</v>
      </c>
    </row>
    <row r="14" spans="1:2" x14ac:dyDescent="0.3">
      <c r="A14" s="15" t="s">
        <v>2747</v>
      </c>
      <c r="B14" s="13">
        <v>493981.45000000019</v>
      </c>
    </row>
    <row r="15" spans="1:2" x14ac:dyDescent="0.3">
      <c r="A15" s="15" t="s">
        <v>2748</v>
      </c>
      <c r="B15" s="13">
        <v>424706.99999999988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E34E-4B37-4992-9712-FEE490DF14CF}">
  <dimension ref="A3:B8"/>
  <sheetViews>
    <sheetView workbookViewId="0">
      <selection activeCell="D3" sqref="D3"/>
    </sheetView>
  </sheetViews>
  <sheetFormatPr defaultRowHeight="14.4" x14ac:dyDescent="0.3"/>
  <cols>
    <col min="1" max="1" width="14.21875" bestFit="1" customWidth="1"/>
    <col min="2" max="2" width="18.5546875" bestFit="1" customWidth="1"/>
  </cols>
  <sheetData>
    <row r="3" spans="1:2" x14ac:dyDescent="0.3">
      <c r="A3" s="14" t="s">
        <v>2736</v>
      </c>
      <c r="B3" t="s">
        <v>2750</v>
      </c>
    </row>
    <row r="4" spans="1:2" x14ac:dyDescent="0.3">
      <c r="A4" s="15" t="s">
        <v>95</v>
      </c>
      <c r="B4" s="16">
        <v>7.1813785434192215E-2</v>
      </c>
    </row>
    <row r="5" spans="1:2" x14ac:dyDescent="0.3">
      <c r="A5" s="15" t="s">
        <v>37</v>
      </c>
      <c r="B5" s="16">
        <v>1.8992616619998015E-2</v>
      </c>
    </row>
    <row r="6" spans="1:2" x14ac:dyDescent="0.3">
      <c r="A6" s="15" t="s">
        <v>23</v>
      </c>
      <c r="B6" s="16">
        <v>0.41235635863970949</v>
      </c>
    </row>
    <row r="7" spans="1:2" x14ac:dyDescent="0.3">
      <c r="A7" s="15" t="s">
        <v>16</v>
      </c>
      <c r="B7" s="16">
        <v>0.19389495936224047</v>
      </c>
    </row>
    <row r="8" spans="1:2" x14ac:dyDescent="0.3">
      <c r="A8" s="15" t="s">
        <v>29</v>
      </c>
      <c r="B8" s="16">
        <v>0.30294227994385986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D61C-F9AE-43CA-873C-6F10F683778D}">
  <dimension ref="A3:B13"/>
  <sheetViews>
    <sheetView workbookViewId="0">
      <selection activeCell="L21" sqref="L21"/>
    </sheetView>
  </sheetViews>
  <sheetFormatPr defaultRowHeight="14.4" x14ac:dyDescent="0.3"/>
  <cols>
    <col min="1" max="1" width="16.109375" bestFit="1" customWidth="1"/>
    <col min="2" max="2" width="18.5546875" bestFit="1" customWidth="1"/>
  </cols>
  <sheetData>
    <row r="3" spans="1:2" x14ac:dyDescent="0.3">
      <c r="A3" s="14" t="s">
        <v>2736</v>
      </c>
      <c r="B3" t="s">
        <v>2750</v>
      </c>
    </row>
    <row r="4" spans="1:2" x14ac:dyDescent="0.3">
      <c r="A4" s="15" t="s">
        <v>71</v>
      </c>
      <c r="B4" s="13">
        <v>683250.74999999988</v>
      </c>
    </row>
    <row r="5" spans="1:2" x14ac:dyDescent="0.3">
      <c r="A5" s="15" t="s">
        <v>63</v>
      </c>
      <c r="B5" s="13">
        <v>486930.14999999991</v>
      </c>
    </row>
    <row r="6" spans="1:2" x14ac:dyDescent="0.3">
      <c r="A6" s="15" t="s">
        <v>28</v>
      </c>
      <c r="B6" s="13">
        <v>380384.1</v>
      </c>
    </row>
    <row r="7" spans="1:2" x14ac:dyDescent="0.3">
      <c r="A7" s="15" t="s">
        <v>65</v>
      </c>
      <c r="B7" s="13">
        <v>312195.59999999992</v>
      </c>
    </row>
    <row r="8" spans="1:2" x14ac:dyDescent="0.3">
      <c r="A8" s="15" t="s">
        <v>15</v>
      </c>
      <c r="B8" s="13">
        <v>294496.29999999993</v>
      </c>
    </row>
    <row r="9" spans="1:2" x14ac:dyDescent="0.3">
      <c r="A9" s="15" t="s">
        <v>217</v>
      </c>
      <c r="B9" s="13">
        <v>461365.14999999985</v>
      </c>
    </row>
    <row r="10" spans="1:2" x14ac:dyDescent="0.3">
      <c r="A10" s="15" t="s">
        <v>49</v>
      </c>
      <c r="B10" s="13">
        <v>226285.80000000005</v>
      </c>
    </row>
    <row r="11" spans="1:2" x14ac:dyDescent="0.3">
      <c r="A11" s="15" t="s">
        <v>22</v>
      </c>
      <c r="B11" s="13">
        <v>851787.00000000035</v>
      </c>
    </row>
    <row r="12" spans="1:2" x14ac:dyDescent="0.3">
      <c r="A12" s="15" t="s">
        <v>41</v>
      </c>
      <c r="B12" s="13">
        <v>386346.94999999995</v>
      </c>
    </row>
    <row r="13" spans="1:2" x14ac:dyDescent="0.3">
      <c r="A13" s="15" t="s">
        <v>117</v>
      </c>
      <c r="B13" s="13">
        <v>380207.09999999992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552C-9CA8-4002-98B7-59CF9C6EEEAF}">
  <dimension ref="A3:B8"/>
  <sheetViews>
    <sheetView topLeftCell="A2" workbookViewId="0">
      <selection activeCell="E14" sqref="E14"/>
    </sheetView>
  </sheetViews>
  <sheetFormatPr defaultRowHeight="14.4" x14ac:dyDescent="0.3"/>
  <cols>
    <col min="1" max="1" width="12.5546875" bestFit="1" customWidth="1"/>
    <col min="2" max="2" width="15.88671875" bestFit="1" customWidth="1"/>
  </cols>
  <sheetData>
    <row r="3" spans="1:2" x14ac:dyDescent="0.3">
      <c r="A3" s="14" t="s">
        <v>2736</v>
      </c>
      <c r="B3" t="s">
        <v>2753</v>
      </c>
    </row>
    <row r="4" spans="1:2" x14ac:dyDescent="0.3">
      <c r="A4" s="15" t="s">
        <v>48</v>
      </c>
      <c r="B4" s="42">
        <v>300</v>
      </c>
    </row>
    <row r="5" spans="1:2" x14ac:dyDescent="0.3">
      <c r="A5" s="15" t="s">
        <v>40</v>
      </c>
      <c r="B5" s="42">
        <v>307</v>
      </c>
    </row>
    <row r="6" spans="1:2" x14ac:dyDescent="0.3">
      <c r="A6" s="15" t="s">
        <v>56</v>
      </c>
      <c r="B6" s="42">
        <v>207</v>
      </c>
    </row>
    <row r="7" spans="1:2" x14ac:dyDescent="0.3">
      <c r="A7" s="15" t="s">
        <v>21</v>
      </c>
      <c r="B7" s="42">
        <v>354</v>
      </c>
    </row>
    <row r="8" spans="1:2" x14ac:dyDescent="0.3">
      <c r="A8" s="15" t="s">
        <v>120</v>
      </c>
      <c r="B8" s="42">
        <v>191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7A0B-80F5-4ECA-8A3E-E1492DAA4F01}">
  <dimension ref="A3:F8"/>
  <sheetViews>
    <sheetView workbookViewId="0">
      <selection activeCell="A3" sqref="A3"/>
    </sheetView>
  </sheetViews>
  <sheetFormatPr defaultRowHeight="14.4" x14ac:dyDescent="0.3"/>
  <cols>
    <col min="1" max="1" width="15.88671875" bestFit="1" customWidth="1"/>
    <col min="2" max="2" width="15.5546875" bestFit="1" customWidth="1"/>
    <col min="3" max="3" width="5.88671875" bestFit="1" customWidth="1"/>
    <col min="4" max="4" width="6" bestFit="1" customWidth="1"/>
    <col min="5" max="5" width="5.21875" bestFit="1" customWidth="1"/>
    <col min="6" max="6" width="15.109375" bestFit="1" customWidth="1"/>
  </cols>
  <sheetData>
    <row r="3" spans="1:6" x14ac:dyDescent="0.3">
      <c r="A3" s="14" t="s">
        <v>2753</v>
      </c>
      <c r="B3" s="14" t="s">
        <v>2754</v>
      </c>
    </row>
    <row r="4" spans="1:6" x14ac:dyDescent="0.3">
      <c r="A4" s="14" t="s">
        <v>2736</v>
      </c>
      <c r="B4" t="s">
        <v>2769</v>
      </c>
      <c r="C4" t="s">
        <v>2772</v>
      </c>
      <c r="D4" t="s">
        <v>2771</v>
      </c>
      <c r="E4" t="s">
        <v>2770</v>
      </c>
      <c r="F4" t="s">
        <v>2773</v>
      </c>
    </row>
    <row r="5" spans="1:6" x14ac:dyDescent="0.3">
      <c r="A5" s="15" t="s">
        <v>17</v>
      </c>
      <c r="B5" s="42">
        <v>39</v>
      </c>
      <c r="C5" s="42">
        <v>97</v>
      </c>
      <c r="D5" s="42">
        <v>158</v>
      </c>
      <c r="E5" s="42">
        <v>201</v>
      </c>
      <c r="F5" s="42">
        <v>1</v>
      </c>
    </row>
    <row r="6" spans="1:6" x14ac:dyDescent="0.3">
      <c r="A6" s="15" t="s">
        <v>30</v>
      </c>
      <c r="B6" s="42">
        <v>27</v>
      </c>
      <c r="C6" s="42">
        <v>90</v>
      </c>
      <c r="D6" s="42">
        <v>139</v>
      </c>
      <c r="E6" s="42">
        <v>168</v>
      </c>
      <c r="F6" s="42">
        <v>2</v>
      </c>
    </row>
    <row r="7" spans="1:6" x14ac:dyDescent="0.3">
      <c r="A7" s="15" t="s">
        <v>24</v>
      </c>
      <c r="B7" s="42">
        <v>17</v>
      </c>
      <c r="C7" s="42">
        <v>26</v>
      </c>
      <c r="D7" s="42">
        <v>66</v>
      </c>
      <c r="E7" s="42">
        <v>64</v>
      </c>
      <c r="F7" s="42">
        <v>2</v>
      </c>
    </row>
    <row r="8" spans="1:6" x14ac:dyDescent="0.3">
      <c r="A8" s="15" t="s">
        <v>45</v>
      </c>
      <c r="B8" s="42">
        <v>73</v>
      </c>
      <c r="C8" s="42">
        <v>176</v>
      </c>
      <c r="D8" s="42">
        <v>322</v>
      </c>
      <c r="E8" s="42">
        <v>329</v>
      </c>
      <c r="F8" s="42">
        <v>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068C-2979-411D-B4D4-7F00B078F238}">
  <dimension ref="A3:L8"/>
  <sheetViews>
    <sheetView workbookViewId="0">
      <selection activeCell="J15" sqref="J15"/>
    </sheetView>
  </sheetViews>
  <sheetFormatPr defaultRowHeight="14.4" x14ac:dyDescent="0.3"/>
  <cols>
    <col min="1" max="1" width="15.88671875" bestFit="1" customWidth="1"/>
    <col min="2" max="2" width="15.5546875" bestFit="1" customWidth="1"/>
    <col min="3" max="3" width="6.109375" bestFit="1" customWidth="1"/>
    <col min="4" max="4" width="10" bestFit="1" customWidth="1"/>
    <col min="5" max="5" width="7.44140625" bestFit="1" customWidth="1"/>
    <col min="6" max="6" width="14.77734375" bestFit="1" customWidth="1"/>
    <col min="7" max="7" width="10.77734375" bestFit="1" customWidth="1"/>
    <col min="10" max="10" width="12.5546875" bestFit="1" customWidth="1"/>
    <col min="11" max="11" width="15.88671875" bestFit="1" customWidth="1"/>
  </cols>
  <sheetData>
    <row r="3" spans="1:12" x14ac:dyDescent="0.3">
      <c r="A3" s="14" t="s">
        <v>2753</v>
      </c>
      <c r="B3" s="14" t="s">
        <v>2754</v>
      </c>
    </row>
    <row r="4" spans="1:12" x14ac:dyDescent="0.3">
      <c r="A4" s="14" t="s">
        <v>2736</v>
      </c>
      <c r="B4" t="s">
        <v>95</v>
      </c>
      <c r="C4" t="s">
        <v>37</v>
      </c>
      <c r="D4" t="s">
        <v>23</v>
      </c>
      <c r="E4" t="s">
        <v>16</v>
      </c>
      <c r="F4" t="s">
        <v>29</v>
      </c>
      <c r="J4" s="14" t="s">
        <v>2736</v>
      </c>
      <c r="K4" t="s">
        <v>2753</v>
      </c>
    </row>
    <row r="5" spans="1:12" x14ac:dyDescent="0.3">
      <c r="A5" s="15" t="s">
        <v>72</v>
      </c>
      <c r="B5" s="42">
        <v>12</v>
      </c>
      <c r="C5" s="42">
        <v>7</v>
      </c>
      <c r="D5" s="42">
        <v>33</v>
      </c>
      <c r="E5" s="42">
        <v>24</v>
      </c>
      <c r="F5" s="42">
        <v>23</v>
      </c>
      <c r="J5" s="15" t="s">
        <v>72</v>
      </c>
      <c r="K5" s="16">
        <v>4.9698795180722892E-2</v>
      </c>
      <c r="L5" s="16">
        <v>5.0620347394540945E-2</v>
      </c>
    </row>
    <row r="6" spans="1:12" x14ac:dyDescent="0.3">
      <c r="A6" s="15" t="s">
        <v>18</v>
      </c>
      <c r="B6" s="42">
        <v>240</v>
      </c>
      <c r="C6" s="42">
        <v>164</v>
      </c>
      <c r="D6" s="42">
        <v>550</v>
      </c>
      <c r="E6" s="43">
        <v>388</v>
      </c>
      <c r="F6" s="42">
        <v>351</v>
      </c>
      <c r="J6" s="15" t="s">
        <v>18</v>
      </c>
      <c r="K6" s="16">
        <v>0.84989959839357432</v>
      </c>
      <c r="L6" s="16">
        <v>0.85012406947890817</v>
      </c>
    </row>
    <row r="7" spans="1:12" x14ac:dyDescent="0.3">
      <c r="A7" s="15" t="s">
        <v>50</v>
      </c>
      <c r="B7" s="42">
        <v>13</v>
      </c>
      <c r="C7" s="42">
        <v>3</v>
      </c>
      <c r="D7" s="42">
        <v>97</v>
      </c>
      <c r="E7" s="42">
        <v>66</v>
      </c>
      <c r="F7" s="42">
        <v>21</v>
      </c>
      <c r="J7" s="15" t="s">
        <v>50</v>
      </c>
      <c r="K7" s="16">
        <v>0.10040160642570281</v>
      </c>
      <c r="L7" s="16">
        <v>9.9255583126550875E-2</v>
      </c>
    </row>
    <row r="8" spans="1:12" x14ac:dyDescent="0.3">
      <c r="J8" s="15" t="s">
        <v>2749</v>
      </c>
      <c r="K8" s="16">
        <v>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90FE-F7FD-4EAF-994F-EED7AB76AE1A}">
  <dimension ref="A3:B7"/>
  <sheetViews>
    <sheetView tabSelected="1" workbookViewId="0">
      <selection activeCell="D12" sqref="D12"/>
    </sheetView>
  </sheetViews>
  <sheetFormatPr defaultRowHeight="14.4" x14ac:dyDescent="0.3"/>
  <cols>
    <col min="1" max="1" width="12.5546875" bestFit="1" customWidth="1"/>
    <col min="2" max="2" width="18.5546875" bestFit="1" customWidth="1"/>
  </cols>
  <sheetData>
    <row r="3" spans="1:2" x14ac:dyDescent="0.3">
      <c r="A3" s="21" t="s">
        <v>2736</v>
      </c>
      <c r="B3" s="42" t="s">
        <v>2750</v>
      </c>
    </row>
    <row r="4" spans="1:2" x14ac:dyDescent="0.3">
      <c r="A4" s="15" t="s">
        <v>2769</v>
      </c>
      <c r="B4" s="42">
        <v>469185.24999999994</v>
      </c>
    </row>
    <row r="5" spans="1:2" x14ac:dyDescent="0.3">
      <c r="A5" s="15" t="s">
        <v>2772</v>
      </c>
      <c r="B5" s="42">
        <v>1106020.6999999995</v>
      </c>
    </row>
    <row r="6" spans="1:2" x14ac:dyDescent="0.3">
      <c r="A6" s="15" t="s">
        <v>2771</v>
      </c>
      <c r="B6" s="42">
        <v>1994031.600000002</v>
      </c>
    </row>
    <row r="7" spans="1:2" x14ac:dyDescent="0.3">
      <c r="A7" s="15" t="s">
        <v>2770</v>
      </c>
      <c r="B7" s="42">
        <v>2230497.8000000054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17"/>
  <sheetViews>
    <sheetView workbookViewId="0">
      <pane ySplit="1" topLeftCell="A2" activePane="bottomLeft" state="frozen"/>
      <selection pane="bottomLeft" activeCell="G94" sqref="G94"/>
    </sheetView>
  </sheetViews>
  <sheetFormatPr defaultRowHeight="14.4" x14ac:dyDescent="0.3"/>
  <cols>
    <col min="1" max="1" width="11" customWidth="1"/>
    <col min="2" max="2" width="13.44140625" style="6" customWidth="1"/>
    <col min="3" max="3" width="11.5546875" style="6" customWidth="1"/>
    <col min="4" max="4" width="15" customWidth="1"/>
    <col min="5" max="5" width="16.88671875" customWidth="1"/>
    <col min="6" max="6" width="11.33203125" bestFit="1" customWidth="1"/>
    <col min="7" max="7" width="14.21875" bestFit="1" customWidth="1"/>
    <col min="8" max="8" width="11.109375" customWidth="1"/>
    <col min="9" max="9" width="13.44140625" style="9" customWidth="1"/>
    <col min="10" max="10" width="13.88671875" customWidth="1"/>
    <col min="11" max="11" width="19.77734375" style="13" customWidth="1"/>
    <col min="12" max="12" width="19" style="13" customWidth="1"/>
    <col min="13" max="13" width="16.88671875" style="13" customWidth="1"/>
    <col min="14" max="14" width="19.33203125" customWidth="1"/>
    <col min="15" max="15" width="15.109375" customWidth="1"/>
    <col min="16" max="16" width="16.44140625" customWidth="1"/>
    <col min="17" max="17" width="16" bestFit="1" customWidth="1"/>
    <col min="18" max="18" width="14.6640625" bestFit="1" customWidth="1"/>
    <col min="21" max="21" width="10.6640625" bestFit="1" customWidth="1"/>
  </cols>
  <sheetData>
    <row r="1" spans="1:24" x14ac:dyDescent="0.3">
      <c r="A1" s="1" t="s">
        <v>0</v>
      </c>
      <c r="B1" s="4" t="s">
        <v>1</v>
      </c>
      <c r="C1" s="10" t="s">
        <v>2722</v>
      </c>
      <c r="D1" s="1" t="s">
        <v>2</v>
      </c>
      <c r="E1" s="1" t="s">
        <v>3</v>
      </c>
      <c r="F1" s="1" t="s">
        <v>2758</v>
      </c>
      <c r="G1" s="1" t="s">
        <v>2767</v>
      </c>
      <c r="H1" s="1" t="s">
        <v>4</v>
      </c>
      <c r="I1" s="1" t="s">
        <v>5</v>
      </c>
      <c r="J1" s="1" t="s">
        <v>6</v>
      </c>
      <c r="K1" s="7" t="s">
        <v>7</v>
      </c>
      <c r="L1" s="1" t="s">
        <v>8</v>
      </c>
      <c r="M1" s="11" t="s">
        <v>2723</v>
      </c>
      <c r="N1" s="11" t="s">
        <v>2724</v>
      </c>
      <c r="O1" s="11" t="s">
        <v>2725</v>
      </c>
      <c r="P1" s="1" t="s">
        <v>9</v>
      </c>
      <c r="Q1" s="1" t="s">
        <v>10</v>
      </c>
      <c r="R1" s="1" t="s">
        <v>11</v>
      </c>
      <c r="S1" s="19" t="s">
        <v>2752</v>
      </c>
      <c r="T1" s="19" t="s">
        <v>2756</v>
      </c>
    </row>
    <row r="2" spans="1:24" hidden="1" x14ac:dyDescent="0.3">
      <c r="A2" s="2" t="s">
        <v>12</v>
      </c>
      <c r="B2" s="5">
        <v>45896</v>
      </c>
      <c r="C2" s="5" t="str">
        <f>TEXT(B2,"mmm")</f>
        <v>Aug</v>
      </c>
      <c r="D2" s="2" t="s">
        <v>13</v>
      </c>
      <c r="E2" s="2" t="s">
        <v>14</v>
      </c>
      <c r="F2" s="2" t="str" cm="1">
        <f t="array" ref="F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 s="2" t="str" cm="1">
        <f t="array" ref="G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 s="2" t="s">
        <v>15</v>
      </c>
      <c r="I2" s="2" t="s">
        <v>16</v>
      </c>
      <c r="J2" s="2">
        <v>1</v>
      </c>
      <c r="K2" s="8">
        <v>1799</v>
      </c>
      <c r="L2" s="3">
        <v>0.25</v>
      </c>
      <c r="M2" s="12">
        <f>K2*L2</f>
        <v>449.75</v>
      </c>
      <c r="N2" s="12">
        <f>K2*J2</f>
        <v>1799</v>
      </c>
      <c r="O2" s="12">
        <f>N2-M2</f>
        <v>1349.25</v>
      </c>
      <c r="P2" s="2" t="s">
        <v>17</v>
      </c>
      <c r="Q2" s="2" t="s">
        <v>18</v>
      </c>
      <c r="R2" s="2">
        <v>40</v>
      </c>
      <c r="S2" s="20">
        <f>Table1[[#This Row],[Net_revenue]]/Table1[[#This Row],[Gross_revenue]]*100%</f>
        <v>0.75</v>
      </c>
      <c r="T2" s="18">
        <f>COUNTIFS(Table1[Customer ID], "&gt;1", Table1[Customer ID], 1)</f>
        <v>0</v>
      </c>
    </row>
    <row r="3" spans="1:24" hidden="1" x14ac:dyDescent="0.3">
      <c r="A3" s="2" t="s">
        <v>19</v>
      </c>
      <c r="B3" s="5">
        <v>45730</v>
      </c>
      <c r="C3" s="5" t="str">
        <f>TEXT(B3,"mmm")</f>
        <v>Mar</v>
      </c>
      <c r="D3" s="2" t="s">
        <v>20</v>
      </c>
      <c r="E3" s="2" t="s">
        <v>21</v>
      </c>
      <c r="F3" s="2" t="str" cm="1">
        <f t="array" ref="F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 s="2" t="str" cm="1">
        <f t="array" ref="G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 s="2" t="s">
        <v>22</v>
      </c>
      <c r="I3" s="2" t="s">
        <v>23</v>
      </c>
      <c r="J3" s="2">
        <v>1</v>
      </c>
      <c r="K3" s="8">
        <v>3999</v>
      </c>
      <c r="L3" s="3">
        <v>0</v>
      </c>
      <c r="M3" s="12">
        <f>K3*L3</f>
        <v>0</v>
      </c>
      <c r="N3" s="12">
        <f>K3*J3</f>
        <v>3999</v>
      </c>
      <c r="O3" s="12">
        <f>N3-M3</f>
        <v>3999</v>
      </c>
      <c r="P3" s="2" t="s">
        <v>24</v>
      </c>
      <c r="Q3" s="2" t="s">
        <v>18</v>
      </c>
      <c r="R3" s="2">
        <v>80</v>
      </c>
      <c r="S3" s="20">
        <f>Table1[[#This Row],[Net_revenue]]/Table1[[#This Row],[Gross_revenue]]*100%</f>
        <v>1</v>
      </c>
      <c r="T3" s="18">
        <f>COUNTIFS(Table1[Customer ID], "&gt;1", Table1[Customer ID], 1)</f>
        <v>0</v>
      </c>
    </row>
    <row r="4" spans="1:24" hidden="1" x14ac:dyDescent="0.3">
      <c r="A4" s="2" t="s">
        <v>25</v>
      </c>
      <c r="B4" s="5">
        <v>45957</v>
      </c>
      <c r="C4" s="5" t="str">
        <f>TEXT(B4,"mmm")</f>
        <v>Oct</v>
      </c>
      <c r="D4" s="2" t="s">
        <v>26</v>
      </c>
      <c r="E4" s="2" t="s">
        <v>27</v>
      </c>
      <c r="F4" s="2" t="str" cm="1">
        <f t="array" ref="F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 s="2" t="str" cm="1">
        <f t="array" ref="G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 s="2" t="s">
        <v>28</v>
      </c>
      <c r="I4" s="2" t="s">
        <v>29</v>
      </c>
      <c r="J4" s="2">
        <v>1</v>
      </c>
      <c r="K4" s="8">
        <v>2799</v>
      </c>
      <c r="L4" s="3">
        <v>0</v>
      </c>
      <c r="M4" s="12">
        <f>K4*L4</f>
        <v>0</v>
      </c>
      <c r="N4" s="12">
        <f>K4*J4</f>
        <v>2799</v>
      </c>
      <c r="O4" s="12">
        <f>N4-M4</f>
        <v>2799</v>
      </c>
      <c r="P4" s="2" t="s">
        <v>30</v>
      </c>
      <c r="Q4" s="2" t="s">
        <v>18</v>
      </c>
      <c r="R4" s="2">
        <v>60</v>
      </c>
      <c r="S4" s="20">
        <f>Table1[[#This Row],[Net_revenue]]/Table1[[#This Row],[Gross_revenue]]*100%</f>
        <v>1</v>
      </c>
      <c r="T4" s="18">
        <f>COUNTIFS(Table1[Customer ID], "&gt;1", Table1[Customer ID], 1)</f>
        <v>0</v>
      </c>
    </row>
    <row r="5" spans="1:24" hidden="1" x14ac:dyDescent="0.3">
      <c r="A5" s="2" t="s">
        <v>31</v>
      </c>
      <c r="B5" s="5">
        <v>45923</v>
      </c>
      <c r="C5" s="5" t="str">
        <f>TEXT(B5,"mmm")</f>
        <v>Sep</v>
      </c>
      <c r="D5" s="2" t="s">
        <v>32</v>
      </c>
      <c r="E5" s="2" t="s">
        <v>21</v>
      </c>
      <c r="F5" s="2" t="str" cm="1">
        <f t="array" ref="F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 s="2" t="str" cm="1">
        <f t="array" ref="G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 s="2" t="s">
        <v>33</v>
      </c>
      <c r="I5" s="2" t="s">
        <v>16</v>
      </c>
      <c r="J5" s="2">
        <v>2</v>
      </c>
      <c r="K5" s="8">
        <v>899</v>
      </c>
      <c r="L5" s="3">
        <v>0.1</v>
      </c>
      <c r="M5" s="12">
        <f>K5*L5</f>
        <v>89.9</v>
      </c>
      <c r="N5" s="12">
        <f>K5*J5</f>
        <v>1798</v>
      </c>
      <c r="O5" s="12">
        <f>N5-M5</f>
        <v>1708.1</v>
      </c>
      <c r="P5" s="2" t="s">
        <v>17</v>
      </c>
      <c r="Q5" s="2" t="s">
        <v>18</v>
      </c>
      <c r="R5" s="2">
        <v>80</v>
      </c>
      <c r="S5" s="20">
        <f>Table1[[#This Row],[Net_revenue]]/Table1[[#This Row],[Gross_revenue]]*100%</f>
        <v>0.95</v>
      </c>
      <c r="T5" s="18">
        <f>COUNTIFS(Table1[Customer ID], "&gt;1", Table1[Customer ID], 1)</f>
        <v>0</v>
      </c>
    </row>
    <row r="6" spans="1:24" hidden="1" x14ac:dyDescent="0.3">
      <c r="A6" s="2" t="s">
        <v>34</v>
      </c>
      <c r="B6" s="5">
        <v>46020</v>
      </c>
      <c r="C6" s="5" t="str">
        <f>TEXT(B6,"mmm")</f>
        <v>Dec</v>
      </c>
      <c r="D6" s="2" t="s">
        <v>35</v>
      </c>
      <c r="E6" s="2" t="s">
        <v>21</v>
      </c>
      <c r="F6" s="2" t="str" cm="1">
        <f t="array" ref="F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 s="2" t="str" cm="1">
        <f t="array" ref="G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 s="2" t="s">
        <v>36</v>
      </c>
      <c r="I6" s="2" t="s">
        <v>37</v>
      </c>
      <c r="J6" s="2">
        <v>1</v>
      </c>
      <c r="K6" s="8">
        <v>349</v>
      </c>
      <c r="L6" s="3">
        <v>0.1</v>
      </c>
      <c r="M6" s="12">
        <f>K6*L6</f>
        <v>34.9</v>
      </c>
      <c r="N6" s="12">
        <f>K6*J6</f>
        <v>349</v>
      </c>
      <c r="O6" s="12">
        <f>N6-M6</f>
        <v>314.10000000000002</v>
      </c>
      <c r="P6" s="2" t="s">
        <v>17</v>
      </c>
      <c r="Q6" s="2" t="s">
        <v>18</v>
      </c>
      <c r="R6" s="2">
        <v>0</v>
      </c>
      <c r="S6" s="20">
        <f>Table1[[#This Row],[Net_revenue]]/Table1[[#This Row],[Gross_revenue]]*100%</f>
        <v>0.9</v>
      </c>
      <c r="T6" s="18">
        <f>COUNTIFS(Table1[Customer ID], "&gt;1", Table1[Customer ID], 1)</f>
        <v>0</v>
      </c>
    </row>
    <row r="7" spans="1:24" hidden="1" x14ac:dyDescent="0.3">
      <c r="A7" s="2" t="s">
        <v>38</v>
      </c>
      <c r="B7" s="5">
        <v>45855</v>
      </c>
      <c r="C7" s="5" t="str">
        <f>TEXT(B7,"mmm")</f>
        <v>Jul</v>
      </c>
      <c r="D7" s="2" t="s">
        <v>39</v>
      </c>
      <c r="E7" s="2" t="s">
        <v>40</v>
      </c>
      <c r="F7" s="2" t="str" cm="1">
        <f t="array" ref="F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 s="2" t="str" cm="1">
        <f t="array" ref="G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 s="2" t="s">
        <v>41</v>
      </c>
      <c r="I7" s="2" t="s">
        <v>16</v>
      </c>
      <c r="J7" s="2">
        <v>4</v>
      </c>
      <c r="K7" s="8">
        <v>2299</v>
      </c>
      <c r="L7" s="3">
        <v>0</v>
      </c>
      <c r="M7" s="12">
        <f>K7*L7</f>
        <v>0</v>
      </c>
      <c r="N7" s="12">
        <f>K7*J7</f>
        <v>9196</v>
      </c>
      <c r="O7" s="12">
        <f>N7-M7</f>
        <v>9196</v>
      </c>
      <c r="P7" s="2" t="s">
        <v>24</v>
      </c>
      <c r="Q7" s="2" t="s">
        <v>18</v>
      </c>
      <c r="R7" s="2">
        <v>0</v>
      </c>
      <c r="S7" s="20">
        <f>Table1[[#This Row],[Net_revenue]]/Table1[[#This Row],[Gross_revenue]]*100%</f>
        <v>1</v>
      </c>
      <c r="T7" s="18">
        <f>COUNTIFS(Table1[Customer ID], "&gt;1", Table1[Customer ID], 1)</f>
        <v>0</v>
      </c>
    </row>
    <row r="8" spans="1:24" hidden="1" x14ac:dyDescent="0.3">
      <c r="A8" s="2" t="s">
        <v>42</v>
      </c>
      <c r="B8" s="5">
        <v>45872</v>
      </c>
      <c r="C8" s="5" t="str">
        <f>TEXT(B8,"mmm")</f>
        <v>Aug</v>
      </c>
      <c r="D8" s="2" t="s">
        <v>43</v>
      </c>
      <c r="E8" s="2" t="s">
        <v>40</v>
      </c>
      <c r="F8" s="2" t="str" cm="1">
        <f t="array" ref="F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 s="2" t="str" cm="1">
        <f t="array" ref="G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 s="2" t="s">
        <v>44</v>
      </c>
      <c r="I8" s="2" t="s">
        <v>16</v>
      </c>
      <c r="J8" s="2">
        <v>2</v>
      </c>
      <c r="K8" s="8">
        <v>1599</v>
      </c>
      <c r="L8" s="3">
        <v>0</v>
      </c>
      <c r="M8" s="12">
        <f>K8*L8</f>
        <v>0</v>
      </c>
      <c r="N8" s="12">
        <f>K8*J8</f>
        <v>3198</v>
      </c>
      <c r="O8" s="12">
        <f>N8-M8</f>
        <v>3198</v>
      </c>
      <c r="P8" s="2" t="s">
        <v>45</v>
      </c>
      <c r="Q8" s="2" t="s">
        <v>18</v>
      </c>
      <c r="R8" s="2">
        <v>60</v>
      </c>
      <c r="S8" s="20">
        <f>Table1[[#This Row],[Net_revenue]]/Table1[[#This Row],[Gross_revenue]]*100%</f>
        <v>1</v>
      </c>
      <c r="T8" s="18">
        <f>COUNTIFS(Table1[Customer ID], "&gt;1", Table1[Customer ID], 1)</f>
        <v>0</v>
      </c>
    </row>
    <row r="9" spans="1:24" hidden="1" x14ac:dyDescent="0.3">
      <c r="A9" s="2" t="s">
        <v>46</v>
      </c>
      <c r="B9" s="5">
        <v>45718</v>
      </c>
      <c r="C9" s="5" t="str">
        <f>TEXT(B9,"mmm")</f>
        <v>Mar</v>
      </c>
      <c r="D9" s="2" t="s">
        <v>47</v>
      </c>
      <c r="E9" s="2" t="s">
        <v>48</v>
      </c>
      <c r="F9" s="2" t="str" cm="1">
        <f t="array" ref="F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 s="2" t="str" cm="1">
        <f t="array" ref="G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 s="2" t="s">
        <v>49</v>
      </c>
      <c r="I9" s="2" t="s">
        <v>23</v>
      </c>
      <c r="J9" s="2">
        <v>1</v>
      </c>
      <c r="K9" s="8">
        <v>1299</v>
      </c>
      <c r="L9" s="3">
        <v>0.05</v>
      </c>
      <c r="M9" s="12">
        <f>K9*L9</f>
        <v>64.95</v>
      </c>
      <c r="N9" s="12">
        <f>K9*J9</f>
        <v>1299</v>
      </c>
      <c r="O9" s="12">
        <f>N9-M9</f>
        <v>1234.05</v>
      </c>
      <c r="P9" s="2" t="s">
        <v>17</v>
      </c>
      <c r="Q9" s="2" t="s">
        <v>50</v>
      </c>
      <c r="R9" s="2">
        <v>40</v>
      </c>
      <c r="S9" s="20">
        <f>Table1[[#This Row],[Net_revenue]]/Table1[[#This Row],[Gross_revenue]]*100%</f>
        <v>0.95</v>
      </c>
      <c r="T9" s="18">
        <f>COUNTIFS(Table1[Customer ID], "&gt;1", Table1[Customer ID], 1)</f>
        <v>0</v>
      </c>
      <c r="V9" t="str" cm="1">
        <f t="array" ref="V9:V18">_xlfn.UNIQUE(E2:E80)</f>
        <v>Kolkata</v>
      </c>
      <c r="W9" t="s">
        <v>2759</v>
      </c>
      <c r="X9" t="s">
        <v>2769</v>
      </c>
    </row>
    <row r="10" spans="1:24" hidden="1" x14ac:dyDescent="0.3">
      <c r="A10" s="2" t="s">
        <v>51</v>
      </c>
      <c r="B10" s="5">
        <v>45725</v>
      </c>
      <c r="C10" s="5" t="str">
        <f>TEXT(B10,"mmm")</f>
        <v>Mar</v>
      </c>
      <c r="D10" s="2" t="s">
        <v>52</v>
      </c>
      <c r="E10" s="2" t="s">
        <v>53</v>
      </c>
      <c r="F10" s="2" t="str" cm="1">
        <f t="array" ref="F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 s="2" t="str" cm="1">
        <f t="array" ref="G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 s="2" t="s">
        <v>33</v>
      </c>
      <c r="I10" s="2" t="s">
        <v>16</v>
      </c>
      <c r="J10" s="2">
        <v>2</v>
      </c>
      <c r="K10" s="8">
        <v>899</v>
      </c>
      <c r="L10" s="3">
        <v>0.2</v>
      </c>
      <c r="M10" s="12">
        <f>K10*L10</f>
        <v>179.8</v>
      </c>
      <c r="N10" s="12">
        <f>K10*J10</f>
        <v>1798</v>
      </c>
      <c r="O10" s="12">
        <f>N10-M10</f>
        <v>1618.2</v>
      </c>
      <c r="P10" s="2" t="s">
        <v>45</v>
      </c>
      <c r="Q10" s="2" t="s">
        <v>50</v>
      </c>
      <c r="R10" s="2">
        <v>60</v>
      </c>
      <c r="S10" s="20">
        <f>Table1[[#This Row],[Net_revenue]]/Table1[[#This Row],[Gross_revenue]]*100%</f>
        <v>0.9</v>
      </c>
      <c r="T10" s="18">
        <f>COUNTIFS(Table1[Customer ID], "&gt;1", Table1[Customer ID], 1)</f>
        <v>0</v>
      </c>
      <c r="V10" t="str">
        <v>Mumbai</v>
      </c>
      <c r="W10" t="s">
        <v>2760</v>
      </c>
      <c r="X10" t="s">
        <v>2770</v>
      </c>
    </row>
    <row r="11" spans="1:24" hidden="1" x14ac:dyDescent="0.3">
      <c r="A11" s="2" t="s">
        <v>54</v>
      </c>
      <c r="B11" s="5">
        <v>45765</v>
      </c>
      <c r="C11" s="5" t="str">
        <f>TEXT(B11,"mmm")</f>
        <v>Apr</v>
      </c>
      <c r="D11" s="2" t="s">
        <v>55</v>
      </c>
      <c r="E11" s="2" t="s">
        <v>56</v>
      </c>
      <c r="F11" s="2" t="str" cm="1">
        <f t="array" ref="F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 s="2" t="str" cm="1">
        <f t="array" ref="G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 s="2" t="s">
        <v>36</v>
      </c>
      <c r="I11" s="2" t="s">
        <v>37</v>
      </c>
      <c r="J11" s="2">
        <v>1</v>
      </c>
      <c r="K11" s="8">
        <v>349</v>
      </c>
      <c r="L11" s="3">
        <v>0.05</v>
      </c>
      <c r="M11" s="12">
        <f>K11*L11</f>
        <v>17.45</v>
      </c>
      <c r="N11" s="12">
        <f>K11*J11</f>
        <v>349</v>
      </c>
      <c r="O11" s="12">
        <f>N11-M11</f>
        <v>331.55</v>
      </c>
      <c r="P11" s="2" t="s">
        <v>45</v>
      </c>
      <c r="Q11" s="2" t="s">
        <v>18</v>
      </c>
      <c r="R11" s="2">
        <v>40</v>
      </c>
      <c r="S11" s="20">
        <f>Table1[[#This Row],[Net_revenue]]/Table1[[#This Row],[Gross_revenue]]*100%</f>
        <v>0.95000000000000007</v>
      </c>
      <c r="T11" s="18">
        <f>COUNTIFS(Table1[Customer ID], "&gt;1", Table1[Customer ID], 1)</f>
        <v>0</v>
      </c>
      <c r="V11" t="str">
        <v>Chennai</v>
      </c>
      <c r="W11" t="s">
        <v>2761</v>
      </c>
      <c r="X11" t="s">
        <v>2771</v>
      </c>
    </row>
    <row r="12" spans="1:24" hidden="1" x14ac:dyDescent="0.3">
      <c r="A12" s="2" t="s">
        <v>57</v>
      </c>
      <c r="B12" s="5">
        <v>45662</v>
      </c>
      <c r="C12" s="5" t="str">
        <f>TEXT(B12,"mmm")</f>
        <v>Jan</v>
      </c>
      <c r="D12" s="2" t="s">
        <v>58</v>
      </c>
      <c r="E12" s="2" t="s">
        <v>21</v>
      </c>
      <c r="F12" s="2" t="str" cm="1">
        <f t="array" ref="F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 s="2" t="str" cm="1">
        <f t="array" ref="G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 s="2" t="s">
        <v>22</v>
      </c>
      <c r="I12" s="2" t="s">
        <v>23</v>
      </c>
      <c r="J12" s="2">
        <v>3</v>
      </c>
      <c r="K12" s="8">
        <v>3999</v>
      </c>
      <c r="L12" s="3">
        <v>0.15</v>
      </c>
      <c r="M12" s="12">
        <f>K12*L12</f>
        <v>599.85</v>
      </c>
      <c r="N12" s="12">
        <f>K12*J12</f>
        <v>11997</v>
      </c>
      <c r="O12" s="12">
        <f>N12-M12</f>
        <v>11397.15</v>
      </c>
      <c r="P12" s="2" t="s">
        <v>17</v>
      </c>
      <c r="Q12" s="2" t="s">
        <v>18</v>
      </c>
      <c r="R12" s="2">
        <v>40</v>
      </c>
      <c r="S12" s="20">
        <f>Table1[[#This Row],[Net_revenue]]/Table1[[#This Row],[Gross_revenue]]*100%</f>
        <v>0.95</v>
      </c>
      <c r="T12" s="18">
        <f>COUNTIFS(Table1[Customer ID], "&gt;1", Table1[Customer ID], 1)</f>
        <v>0</v>
      </c>
      <c r="V12" t="str">
        <v>Delhi</v>
      </c>
      <c r="W12" t="s">
        <v>40</v>
      </c>
      <c r="X12" t="s">
        <v>2772</v>
      </c>
    </row>
    <row r="13" spans="1:24" hidden="1" x14ac:dyDescent="0.3">
      <c r="A13" s="2" t="s">
        <v>59</v>
      </c>
      <c r="B13" s="5">
        <v>45848</v>
      </c>
      <c r="C13" s="5" t="str">
        <f>TEXT(B13,"mmm")</f>
        <v>Jul</v>
      </c>
      <c r="D13" s="2" t="s">
        <v>60</v>
      </c>
      <c r="E13" s="2" t="s">
        <v>21</v>
      </c>
      <c r="F13" s="2" t="str" cm="1">
        <f t="array" ref="F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 s="2" t="str" cm="1">
        <f t="array" ref="G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 s="2" t="s">
        <v>22</v>
      </c>
      <c r="I13" s="2" t="s">
        <v>23</v>
      </c>
      <c r="J13" s="2">
        <v>1</v>
      </c>
      <c r="K13" s="8">
        <v>3999</v>
      </c>
      <c r="L13" s="3">
        <v>0.25</v>
      </c>
      <c r="M13" s="12">
        <f>K13*L13</f>
        <v>999.75</v>
      </c>
      <c r="N13" s="12">
        <f>K13*J13</f>
        <v>3999</v>
      </c>
      <c r="O13" s="12">
        <f>N13-M13</f>
        <v>2999.25</v>
      </c>
      <c r="P13" s="2" t="s">
        <v>45</v>
      </c>
      <c r="Q13" s="2" t="s">
        <v>18</v>
      </c>
      <c r="R13" s="2">
        <v>40</v>
      </c>
      <c r="S13" s="20">
        <f>Table1[[#This Row],[Net_revenue]]/Table1[[#This Row],[Gross_revenue]]*100%</f>
        <v>0.75</v>
      </c>
      <c r="T13" s="18">
        <f>COUNTIFS(Table1[Customer ID], "&gt;1", Table1[Customer ID], 1)</f>
        <v>0</v>
      </c>
      <c r="V13" t="str">
        <v>Bengaluru</v>
      </c>
      <c r="W13" t="s">
        <v>2763</v>
      </c>
      <c r="X13" t="s">
        <v>2771</v>
      </c>
    </row>
    <row r="14" spans="1:24" hidden="1" x14ac:dyDescent="0.3">
      <c r="A14" s="2" t="s">
        <v>61</v>
      </c>
      <c r="B14" s="5">
        <v>45936</v>
      </c>
      <c r="C14" s="5" t="str">
        <f>TEXT(B14,"mmm")</f>
        <v>Oct</v>
      </c>
      <c r="D14" s="2" t="s">
        <v>62</v>
      </c>
      <c r="E14" s="2" t="s">
        <v>27</v>
      </c>
      <c r="F14" s="2" t="str" cm="1">
        <f t="array" ref="F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 s="2" t="str" cm="1">
        <f t="array" ref="G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 s="2" t="s">
        <v>63</v>
      </c>
      <c r="I14" s="2" t="s">
        <v>23</v>
      </c>
      <c r="J14" s="2">
        <v>2</v>
      </c>
      <c r="K14" s="8">
        <v>2499</v>
      </c>
      <c r="L14" s="3">
        <v>0.1</v>
      </c>
      <c r="M14" s="12">
        <f>K14*L14</f>
        <v>249.9</v>
      </c>
      <c r="N14" s="12">
        <f>K14*J14</f>
        <v>4998</v>
      </c>
      <c r="O14" s="12">
        <f>N14-M14</f>
        <v>4748.1000000000004</v>
      </c>
      <c r="P14" s="2" t="s">
        <v>45</v>
      </c>
      <c r="Q14" s="2" t="s">
        <v>18</v>
      </c>
      <c r="R14" s="2">
        <v>0</v>
      </c>
      <c r="S14" s="20">
        <f>Table1[[#This Row],[Net_revenue]]/Table1[[#This Row],[Gross_revenue]]*100%</f>
        <v>0.95000000000000007</v>
      </c>
      <c r="T14" s="18">
        <f>COUNTIFS(Table1[Customer ID], "&gt;1", Table1[Customer ID], 1)</f>
        <v>0</v>
      </c>
      <c r="V14" t="str">
        <v>Lucknow</v>
      </c>
      <c r="W14" t="s">
        <v>2762</v>
      </c>
      <c r="X14" t="s">
        <v>2772</v>
      </c>
    </row>
    <row r="15" spans="1:24" hidden="1" x14ac:dyDescent="0.3">
      <c r="A15" s="2" t="s">
        <v>64</v>
      </c>
      <c r="B15" s="5">
        <v>45788</v>
      </c>
      <c r="C15" s="5" t="str">
        <f>TEXT(B15,"mmm")</f>
        <v>May</v>
      </c>
      <c r="D15" s="2" t="s">
        <v>52</v>
      </c>
      <c r="E15" s="2" t="s">
        <v>14</v>
      </c>
      <c r="F15" s="2" t="str" cm="1">
        <f t="array" ref="F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5" s="2" t="str" cm="1">
        <f t="array" ref="G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5" s="2" t="s">
        <v>65</v>
      </c>
      <c r="I15" s="2" t="s">
        <v>23</v>
      </c>
      <c r="J15" s="2">
        <v>2</v>
      </c>
      <c r="K15" s="8">
        <v>1899</v>
      </c>
      <c r="L15" s="3">
        <v>0.1</v>
      </c>
      <c r="M15" s="12">
        <f>K15*L15</f>
        <v>189.9</v>
      </c>
      <c r="N15" s="12">
        <f>K15*J15</f>
        <v>3798</v>
      </c>
      <c r="O15" s="12">
        <f>N15-M15</f>
        <v>3608.1</v>
      </c>
      <c r="P15" s="2" t="s">
        <v>17</v>
      </c>
      <c r="Q15" s="2" t="s">
        <v>18</v>
      </c>
      <c r="R15" s="2">
        <v>60</v>
      </c>
      <c r="S15" s="20">
        <f>Table1[[#This Row],[Net_revenue]]/Table1[[#This Row],[Gross_revenue]]*100%</f>
        <v>0.95</v>
      </c>
      <c r="T15" s="18">
        <f>COUNTIFS(Table1[Customer ID], "&gt;1", Table1[Customer ID], 1)</f>
        <v>0</v>
      </c>
      <c r="V15" t="str">
        <v>Hyderabad</v>
      </c>
      <c r="W15" t="s">
        <v>2764</v>
      </c>
      <c r="X15" t="s">
        <v>2771</v>
      </c>
    </row>
    <row r="16" spans="1:24" hidden="1" x14ac:dyDescent="0.3">
      <c r="A16" s="2" t="s">
        <v>66</v>
      </c>
      <c r="B16" s="5">
        <v>45722</v>
      </c>
      <c r="C16" s="5" t="str">
        <f>TEXT(B16,"mmm")</f>
        <v>Mar</v>
      </c>
      <c r="D16" s="2" t="s">
        <v>67</v>
      </c>
      <c r="E16" s="2" t="s">
        <v>27</v>
      </c>
      <c r="F16" s="2" t="str" cm="1">
        <f t="array" ref="F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 s="2" t="str" cm="1">
        <f t="array" ref="G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 s="2" t="s">
        <v>68</v>
      </c>
      <c r="I16" s="2" t="s">
        <v>16</v>
      </c>
      <c r="J16" s="2">
        <v>1</v>
      </c>
      <c r="K16" s="8">
        <v>599</v>
      </c>
      <c r="L16" s="3">
        <v>0.1</v>
      </c>
      <c r="M16" s="12">
        <f>K16*L16</f>
        <v>59.900000000000006</v>
      </c>
      <c r="N16" s="12">
        <f>K16*J16</f>
        <v>599</v>
      </c>
      <c r="O16" s="12">
        <f>N16-M16</f>
        <v>539.1</v>
      </c>
      <c r="P16" s="2" t="s">
        <v>45</v>
      </c>
      <c r="Q16" s="2" t="s">
        <v>18</v>
      </c>
      <c r="R16" s="2">
        <v>40</v>
      </c>
      <c r="S16" s="20">
        <f>Table1[[#This Row],[Net_revenue]]/Table1[[#This Row],[Gross_revenue]]*100%</f>
        <v>0.9</v>
      </c>
      <c r="T16" s="18">
        <f>COUNTIFS(Table1[Customer ID], "&gt;1", Table1[Customer ID], 1)</f>
        <v>0</v>
      </c>
      <c r="V16" t="str">
        <v>Jaipur</v>
      </c>
      <c r="W16" t="s">
        <v>2765</v>
      </c>
      <c r="X16" t="s">
        <v>2770</v>
      </c>
    </row>
    <row r="17" spans="1:24" hidden="1" x14ac:dyDescent="0.3">
      <c r="A17" s="2" t="s">
        <v>69</v>
      </c>
      <c r="B17" s="5">
        <v>45795</v>
      </c>
      <c r="C17" s="5" t="str">
        <f>TEXT(B17,"mmm")</f>
        <v>May</v>
      </c>
      <c r="D17" s="2" t="s">
        <v>70</v>
      </c>
      <c r="E17" s="2" t="s">
        <v>40</v>
      </c>
      <c r="F17" s="2" t="str" cm="1">
        <f t="array" ref="F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 s="2" t="str" cm="1">
        <f t="array" ref="G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 s="2" t="s">
        <v>71</v>
      </c>
      <c r="I17" s="2" t="s">
        <v>29</v>
      </c>
      <c r="J17" s="2">
        <v>1</v>
      </c>
      <c r="K17" s="8">
        <v>5499</v>
      </c>
      <c r="L17" s="3">
        <v>0.2</v>
      </c>
      <c r="M17" s="12">
        <f>K17*L17</f>
        <v>1099.8</v>
      </c>
      <c r="N17" s="12">
        <f>K17*J17</f>
        <v>5499</v>
      </c>
      <c r="O17" s="12">
        <f>N17-M17</f>
        <v>4399.2</v>
      </c>
      <c r="P17" s="2" t="s">
        <v>17</v>
      </c>
      <c r="Q17" s="2" t="s">
        <v>72</v>
      </c>
      <c r="R17" s="2">
        <v>40</v>
      </c>
      <c r="S17" s="20">
        <f>Table1[[#This Row],[Net_revenue]]/Table1[[#This Row],[Gross_revenue]]*100%</f>
        <v>0.79999999999999993</v>
      </c>
      <c r="T17" s="18">
        <f>COUNTIFS(Table1[Customer ID], "&gt;1", Table1[Customer ID], 1)</f>
        <v>0</v>
      </c>
      <c r="V17" t="str">
        <v>Pune</v>
      </c>
      <c r="W17" t="s">
        <v>2760</v>
      </c>
      <c r="X17" t="s">
        <v>2770</v>
      </c>
    </row>
    <row r="18" spans="1:24" hidden="1" x14ac:dyDescent="0.3">
      <c r="A18" s="2" t="s">
        <v>73</v>
      </c>
      <c r="B18" s="5">
        <v>45888</v>
      </c>
      <c r="C18" s="5" t="str">
        <f>TEXT(B18,"mmm")</f>
        <v>Aug</v>
      </c>
      <c r="D18" s="2" t="s">
        <v>74</v>
      </c>
      <c r="E18" s="2" t="s">
        <v>75</v>
      </c>
      <c r="F18" s="2" t="str" cm="1">
        <f t="array" ref="F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 s="2" t="str" cm="1">
        <f t="array" ref="G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 s="2" t="s">
        <v>63</v>
      </c>
      <c r="I18" s="2" t="s">
        <v>23</v>
      </c>
      <c r="J18" s="2">
        <v>2</v>
      </c>
      <c r="K18" s="8">
        <v>2499</v>
      </c>
      <c r="L18" s="3">
        <v>0.15</v>
      </c>
      <c r="M18" s="12">
        <f>K18*L18</f>
        <v>374.84999999999997</v>
      </c>
      <c r="N18" s="12">
        <f>K18*J18</f>
        <v>4998</v>
      </c>
      <c r="O18" s="12">
        <f>N18-M18</f>
        <v>4623.1499999999996</v>
      </c>
      <c r="P18" s="2" t="s">
        <v>17</v>
      </c>
      <c r="Q18" s="2" t="s">
        <v>18</v>
      </c>
      <c r="R18" s="2">
        <v>0</v>
      </c>
      <c r="S18" s="20">
        <f>Table1[[#This Row],[Net_revenue]]/Table1[[#This Row],[Gross_revenue]]*100%</f>
        <v>0.92499999999999993</v>
      </c>
      <c r="T18" s="18">
        <f>COUNTIFS(Table1[Customer ID], "&gt;1", Table1[Customer ID], 1)</f>
        <v>0</v>
      </c>
      <c r="V18" t="str">
        <v>Ahmedabad</v>
      </c>
      <c r="W18" t="s">
        <v>2766</v>
      </c>
      <c r="X18" t="s">
        <v>2770</v>
      </c>
    </row>
    <row r="19" spans="1:24" hidden="1" x14ac:dyDescent="0.3">
      <c r="A19" s="2" t="s">
        <v>76</v>
      </c>
      <c r="B19" s="5">
        <v>46016</v>
      </c>
      <c r="C19" s="5" t="str">
        <f>TEXT(B19,"mmm")</f>
        <v>Dec</v>
      </c>
      <c r="D19" s="2" t="s">
        <v>77</v>
      </c>
      <c r="E19" s="2" t="s">
        <v>21</v>
      </c>
      <c r="F19" s="2" t="str" cm="1">
        <f t="array" ref="F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 s="2" t="str" cm="1">
        <f t="array" ref="G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 s="2" t="s">
        <v>41</v>
      </c>
      <c r="I19" s="2" t="s">
        <v>16</v>
      </c>
      <c r="J19" s="2">
        <v>4</v>
      </c>
      <c r="K19" s="8">
        <v>2299</v>
      </c>
      <c r="L19" s="3">
        <v>0.1</v>
      </c>
      <c r="M19" s="12">
        <f>K19*L19</f>
        <v>229.9</v>
      </c>
      <c r="N19" s="12">
        <f>K19*J19</f>
        <v>9196</v>
      </c>
      <c r="O19" s="12">
        <f>N19-M19</f>
        <v>8966.1</v>
      </c>
      <c r="P19" s="2" t="s">
        <v>45</v>
      </c>
      <c r="Q19" s="2" t="s">
        <v>50</v>
      </c>
      <c r="R19" s="2">
        <v>60</v>
      </c>
      <c r="S19" s="20">
        <f>Table1[[#This Row],[Net_revenue]]/Table1[[#This Row],[Gross_revenue]]*100%</f>
        <v>0.97500000000000009</v>
      </c>
      <c r="T19" s="18">
        <f>COUNTIFS(Table1[Customer ID], "&gt;1", Table1[Customer ID], 1)</f>
        <v>0</v>
      </c>
    </row>
    <row r="20" spans="1:24" hidden="1" x14ac:dyDescent="0.3">
      <c r="A20" s="2" t="s">
        <v>78</v>
      </c>
      <c r="B20" s="5">
        <v>45696</v>
      </c>
      <c r="C20" s="5" t="str">
        <f>TEXT(B20,"mmm")</f>
        <v>Feb</v>
      </c>
      <c r="D20" s="2" t="s">
        <v>79</v>
      </c>
      <c r="E20" s="2" t="s">
        <v>14</v>
      </c>
      <c r="F20" s="2" t="str" cm="1">
        <f t="array" ref="F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0" s="2" t="str" cm="1">
        <f t="array" ref="G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0" s="2" t="s">
        <v>80</v>
      </c>
      <c r="I20" s="2" t="s">
        <v>23</v>
      </c>
      <c r="J20" s="2">
        <v>1</v>
      </c>
      <c r="K20" s="8">
        <v>799</v>
      </c>
      <c r="L20" s="3">
        <v>0.25</v>
      </c>
      <c r="M20" s="12">
        <f>K20*L20</f>
        <v>199.75</v>
      </c>
      <c r="N20" s="12">
        <f>K20*J20</f>
        <v>799</v>
      </c>
      <c r="O20" s="12">
        <f>N20-M20</f>
        <v>599.25</v>
      </c>
      <c r="P20" s="2" t="s">
        <v>30</v>
      </c>
      <c r="Q20" s="2" t="s">
        <v>18</v>
      </c>
      <c r="R20" s="2">
        <v>60</v>
      </c>
      <c r="S20" s="20">
        <f>Table1[[#This Row],[Net_revenue]]/Table1[[#This Row],[Gross_revenue]]*100%</f>
        <v>0.75</v>
      </c>
      <c r="T20" s="18">
        <f>COUNTIFS(Table1[Customer ID], "&gt;1", Table1[Customer ID], 1)</f>
        <v>0</v>
      </c>
    </row>
    <row r="21" spans="1:24" hidden="1" x14ac:dyDescent="0.3">
      <c r="A21" s="2" t="s">
        <v>81</v>
      </c>
      <c r="B21" s="5">
        <v>45697</v>
      </c>
      <c r="C21" s="5" t="str">
        <f>TEXT(B21,"mmm")</f>
        <v>Feb</v>
      </c>
      <c r="D21" s="2" t="s">
        <v>82</v>
      </c>
      <c r="E21" s="2" t="s">
        <v>56</v>
      </c>
      <c r="F21" s="2" t="str" cm="1">
        <f t="array" ref="F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1" s="2" t="str" cm="1">
        <f t="array" ref="G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1" s="2" t="s">
        <v>49</v>
      </c>
      <c r="I21" s="2" t="s">
        <v>23</v>
      </c>
      <c r="J21" s="2">
        <v>4</v>
      </c>
      <c r="K21" s="8">
        <v>1299</v>
      </c>
      <c r="L21" s="3">
        <v>0.2</v>
      </c>
      <c r="M21" s="12">
        <f>K21*L21</f>
        <v>259.8</v>
      </c>
      <c r="N21" s="12">
        <f>K21*J21</f>
        <v>5196</v>
      </c>
      <c r="O21" s="12">
        <f>N21-M21</f>
        <v>4936.2</v>
      </c>
      <c r="P21" s="2" t="s">
        <v>17</v>
      </c>
      <c r="Q21" s="2" t="s">
        <v>50</v>
      </c>
      <c r="R21" s="2">
        <v>80</v>
      </c>
      <c r="S21" s="20">
        <f>Table1[[#This Row],[Net_revenue]]/Table1[[#This Row],[Gross_revenue]]*100%</f>
        <v>0.95</v>
      </c>
      <c r="T21" s="18">
        <f>COUNTIFS(Table1[Customer ID], "&gt;1", Table1[Customer ID], 1)</f>
        <v>0</v>
      </c>
    </row>
    <row r="22" spans="1:24" hidden="1" x14ac:dyDescent="0.3">
      <c r="A22" s="2" t="s">
        <v>83</v>
      </c>
      <c r="B22" s="5">
        <v>45951</v>
      </c>
      <c r="C22" s="5" t="str">
        <f>TEXT(B22,"mmm")</f>
        <v>Oct</v>
      </c>
      <c r="D22" s="2" t="s">
        <v>84</v>
      </c>
      <c r="E22" s="2" t="s">
        <v>48</v>
      </c>
      <c r="F22" s="2" t="str" cm="1">
        <f t="array" ref="F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2" s="2" t="str" cm="1">
        <f t="array" ref="G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2" s="2" t="s">
        <v>68</v>
      </c>
      <c r="I22" s="2" t="s">
        <v>16</v>
      </c>
      <c r="J22" s="2">
        <v>5</v>
      </c>
      <c r="K22" s="8">
        <v>599</v>
      </c>
      <c r="L22" s="3">
        <v>0</v>
      </c>
      <c r="M22" s="12">
        <f>K22*L22</f>
        <v>0</v>
      </c>
      <c r="N22" s="12">
        <f>K22*J22</f>
        <v>2995</v>
      </c>
      <c r="O22" s="12">
        <f>N22-M22</f>
        <v>2995</v>
      </c>
      <c r="P22" s="2" t="s">
        <v>30</v>
      </c>
      <c r="Q22" s="2" t="s">
        <v>18</v>
      </c>
      <c r="R22" s="2">
        <v>80</v>
      </c>
      <c r="S22" s="20">
        <f>Table1[[#This Row],[Net_revenue]]/Table1[[#This Row],[Gross_revenue]]*100%</f>
        <v>1</v>
      </c>
      <c r="T22" s="18">
        <f>COUNTIFS(Table1[Customer ID], "&gt;1", Table1[Customer ID], 1)</f>
        <v>0</v>
      </c>
    </row>
    <row r="23" spans="1:24" hidden="1" x14ac:dyDescent="0.3">
      <c r="A23" s="2" t="s">
        <v>85</v>
      </c>
      <c r="B23" s="5">
        <v>45700</v>
      </c>
      <c r="C23" s="5" t="str">
        <f>TEXT(B23,"mmm")</f>
        <v>Feb</v>
      </c>
      <c r="D23" s="2" t="s">
        <v>86</v>
      </c>
      <c r="E23" s="2" t="s">
        <v>40</v>
      </c>
      <c r="F23" s="2" t="str" cm="1">
        <f t="array" ref="F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3" s="2" t="str" cm="1">
        <f t="array" ref="G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3" s="2" t="s">
        <v>15</v>
      </c>
      <c r="I23" s="2" t="s">
        <v>16</v>
      </c>
      <c r="J23" s="2">
        <v>1</v>
      </c>
      <c r="K23" s="8">
        <v>1799</v>
      </c>
      <c r="L23" s="3">
        <v>0</v>
      </c>
      <c r="M23" s="12">
        <f>K23*L23</f>
        <v>0</v>
      </c>
      <c r="N23" s="12">
        <f>K23*J23</f>
        <v>1799</v>
      </c>
      <c r="O23" s="12">
        <f>N23-M23</f>
        <v>1799</v>
      </c>
      <c r="P23" s="2" t="s">
        <v>17</v>
      </c>
      <c r="Q23" s="2" t="s">
        <v>50</v>
      </c>
      <c r="R23" s="2">
        <v>80</v>
      </c>
      <c r="S23" s="20">
        <f>Table1[[#This Row],[Net_revenue]]/Table1[[#This Row],[Gross_revenue]]*100%</f>
        <v>1</v>
      </c>
      <c r="T23" s="18">
        <f>COUNTIFS(Table1[Customer ID], "&gt;1", Table1[Customer ID], 1)</f>
        <v>0</v>
      </c>
    </row>
    <row r="24" spans="1:24" hidden="1" x14ac:dyDescent="0.3">
      <c r="A24" s="2" t="s">
        <v>87</v>
      </c>
      <c r="B24" s="5">
        <v>45788</v>
      </c>
      <c r="C24" s="5" t="str">
        <f>TEXT(B24,"mmm")</f>
        <v>May</v>
      </c>
      <c r="D24" s="2" t="s">
        <v>88</v>
      </c>
      <c r="E24" s="2" t="s">
        <v>40</v>
      </c>
      <c r="F24" s="2" t="str" cm="1">
        <f t="array" ref="F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4" s="2" t="str" cm="1">
        <f t="array" ref="G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4" s="2" t="s">
        <v>89</v>
      </c>
      <c r="I24" s="2" t="s">
        <v>29</v>
      </c>
      <c r="J24" s="2">
        <v>1</v>
      </c>
      <c r="K24" s="8">
        <v>449</v>
      </c>
      <c r="L24" s="3">
        <v>0</v>
      </c>
      <c r="M24" s="12">
        <f>K24*L24</f>
        <v>0</v>
      </c>
      <c r="N24" s="12">
        <f>K24*J24</f>
        <v>449</v>
      </c>
      <c r="O24" s="12">
        <f>N24-M24</f>
        <v>449</v>
      </c>
      <c r="P24" s="2" t="s">
        <v>45</v>
      </c>
      <c r="Q24" s="2" t="s">
        <v>18</v>
      </c>
      <c r="R24" s="2">
        <v>60</v>
      </c>
      <c r="S24" s="20">
        <f>Table1[[#This Row],[Net_revenue]]/Table1[[#This Row],[Gross_revenue]]*100%</f>
        <v>1</v>
      </c>
      <c r="T24" s="18">
        <f>COUNTIFS(Table1[Customer ID], "&gt;1", Table1[Customer ID], 1)</f>
        <v>0</v>
      </c>
    </row>
    <row r="25" spans="1:24" hidden="1" x14ac:dyDescent="0.3">
      <c r="A25" s="2" t="s">
        <v>90</v>
      </c>
      <c r="B25" s="5">
        <v>45913</v>
      </c>
      <c r="C25" s="5" t="str">
        <f>TEXT(B25,"mmm")</f>
        <v>Sep</v>
      </c>
      <c r="D25" s="2" t="s">
        <v>91</v>
      </c>
      <c r="E25" s="2" t="s">
        <v>27</v>
      </c>
      <c r="F25" s="2" t="str" cm="1">
        <f t="array" ref="F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5" s="2" t="str" cm="1">
        <f t="array" ref="G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 s="2" t="s">
        <v>89</v>
      </c>
      <c r="I25" s="2" t="s">
        <v>29</v>
      </c>
      <c r="J25" s="2">
        <v>1</v>
      </c>
      <c r="K25" s="8">
        <v>449</v>
      </c>
      <c r="L25" s="3">
        <v>0.1</v>
      </c>
      <c r="M25" s="12">
        <f>K25*L25</f>
        <v>44.900000000000006</v>
      </c>
      <c r="N25" s="12">
        <f>K25*J25</f>
        <v>449</v>
      </c>
      <c r="O25" s="12">
        <f>N25-M25</f>
        <v>404.1</v>
      </c>
      <c r="P25" s="2" t="s">
        <v>30</v>
      </c>
      <c r="Q25" s="2" t="s">
        <v>18</v>
      </c>
      <c r="R25" s="2">
        <v>40</v>
      </c>
      <c r="S25" s="20">
        <f>Table1[[#This Row],[Net_revenue]]/Table1[[#This Row],[Gross_revenue]]*100%</f>
        <v>0.9</v>
      </c>
      <c r="T25" s="18">
        <f>COUNTIFS(Table1[Customer ID], "&gt;1", Table1[Customer ID], 1)</f>
        <v>0</v>
      </c>
    </row>
    <row r="26" spans="1:24" hidden="1" x14ac:dyDescent="0.3">
      <c r="A26" s="2" t="s">
        <v>92</v>
      </c>
      <c r="B26" s="5">
        <v>45770</v>
      </c>
      <c r="C26" s="5" t="str">
        <f>TEXT(B26,"mmm")</f>
        <v>Apr</v>
      </c>
      <c r="D26" s="2" t="s">
        <v>93</v>
      </c>
      <c r="E26" s="2" t="s">
        <v>14</v>
      </c>
      <c r="F26" s="2" t="str" cm="1">
        <f t="array" ref="F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6" s="2" t="str" cm="1">
        <f t="array" ref="G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6" s="2" t="s">
        <v>94</v>
      </c>
      <c r="I26" s="2" t="s">
        <v>95</v>
      </c>
      <c r="J26" s="2">
        <v>1</v>
      </c>
      <c r="K26" s="8">
        <v>399</v>
      </c>
      <c r="L26" s="3">
        <v>0.15</v>
      </c>
      <c r="M26" s="12">
        <f>K26*L26</f>
        <v>59.849999999999994</v>
      </c>
      <c r="N26" s="12">
        <f>K26*J26</f>
        <v>399</v>
      </c>
      <c r="O26" s="12">
        <f>N26-M26</f>
        <v>339.15</v>
      </c>
      <c r="P26" s="2" t="s">
        <v>30</v>
      </c>
      <c r="Q26" s="2" t="s">
        <v>18</v>
      </c>
      <c r="R26" s="2">
        <v>0</v>
      </c>
      <c r="S26" s="20">
        <f>Table1[[#This Row],[Net_revenue]]/Table1[[#This Row],[Gross_revenue]]*100%</f>
        <v>0.85</v>
      </c>
      <c r="T26" s="18">
        <f>COUNTIFS(Table1[Customer ID], "&gt;1", Table1[Customer ID], 1)</f>
        <v>0</v>
      </c>
    </row>
    <row r="27" spans="1:24" hidden="1" x14ac:dyDescent="0.3">
      <c r="A27" s="2" t="s">
        <v>96</v>
      </c>
      <c r="B27" s="5">
        <v>45744</v>
      </c>
      <c r="C27" s="5" t="str">
        <f>TEXT(B27,"mmm")</f>
        <v>Mar</v>
      </c>
      <c r="D27" s="2" t="s">
        <v>97</v>
      </c>
      <c r="E27" s="2" t="s">
        <v>14</v>
      </c>
      <c r="F27" s="2" t="str" cm="1">
        <f t="array" ref="F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7" s="2" t="str" cm="1">
        <f t="array" ref="G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7" s="2" t="s">
        <v>98</v>
      </c>
      <c r="I27" s="2" t="s">
        <v>37</v>
      </c>
      <c r="J27" s="2">
        <v>1</v>
      </c>
      <c r="K27" s="8">
        <v>299</v>
      </c>
      <c r="L27" s="3">
        <v>0</v>
      </c>
      <c r="M27" s="12">
        <f>K27*L27</f>
        <v>0</v>
      </c>
      <c r="N27" s="12">
        <f>K27*J27</f>
        <v>299</v>
      </c>
      <c r="O27" s="12">
        <f>N27-M27</f>
        <v>299</v>
      </c>
      <c r="P27" s="2" t="s">
        <v>45</v>
      </c>
      <c r="Q27" s="2" t="s">
        <v>18</v>
      </c>
      <c r="R27" s="2">
        <v>80</v>
      </c>
      <c r="S27" s="20">
        <f>Table1[[#This Row],[Net_revenue]]/Table1[[#This Row],[Gross_revenue]]*100%</f>
        <v>1</v>
      </c>
      <c r="T27" s="18">
        <f>COUNTIFS(Table1[Customer ID], "&gt;1", Table1[Customer ID], 1)</f>
        <v>0</v>
      </c>
    </row>
    <row r="28" spans="1:24" hidden="1" x14ac:dyDescent="0.3">
      <c r="A28" s="2" t="s">
        <v>99</v>
      </c>
      <c r="B28" s="5">
        <v>45889</v>
      </c>
      <c r="C28" s="5" t="str">
        <f>TEXT(B28,"mmm")</f>
        <v>Aug</v>
      </c>
      <c r="D28" s="2" t="s">
        <v>100</v>
      </c>
      <c r="E28" s="2" t="s">
        <v>21</v>
      </c>
      <c r="F28" s="2" t="str" cm="1">
        <f t="array" ref="F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8" s="2" t="str" cm="1">
        <f t="array" ref="G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8" s="2" t="s">
        <v>28</v>
      </c>
      <c r="I28" s="2" t="s">
        <v>29</v>
      </c>
      <c r="J28" s="2">
        <v>1</v>
      </c>
      <c r="K28" s="8">
        <v>2799</v>
      </c>
      <c r="L28" s="3">
        <v>0.15</v>
      </c>
      <c r="M28" s="12">
        <f>K28*L28</f>
        <v>419.84999999999997</v>
      </c>
      <c r="N28" s="12">
        <f>K28*J28</f>
        <v>2799</v>
      </c>
      <c r="O28" s="12">
        <f>N28-M28</f>
        <v>2379.15</v>
      </c>
      <c r="P28" s="2" t="s">
        <v>30</v>
      </c>
      <c r="Q28" s="2" t="s">
        <v>50</v>
      </c>
      <c r="R28" s="2">
        <v>60</v>
      </c>
      <c r="S28" s="20">
        <f>Table1[[#This Row],[Net_revenue]]/Table1[[#This Row],[Gross_revenue]]*100%</f>
        <v>0.85</v>
      </c>
      <c r="T28" s="18">
        <f>COUNTIFS(Table1[Customer ID], "&gt;1", Table1[Customer ID], 1)</f>
        <v>0</v>
      </c>
    </row>
    <row r="29" spans="1:24" hidden="1" x14ac:dyDescent="0.3">
      <c r="A29" s="2" t="s">
        <v>101</v>
      </c>
      <c r="B29" s="5">
        <v>45667</v>
      </c>
      <c r="C29" s="5" t="str">
        <f>TEXT(B29,"mmm")</f>
        <v>Jan</v>
      </c>
      <c r="D29" s="2" t="s">
        <v>102</v>
      </c>
      <c r="E29" s="2" t="s">
        <v>40</v>
      </c>
      <c r="F29" s="2" t="str" cm="1">
        <f t="array" ref="F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9" s="2" t="str" cm="1">
        <f t="array" ref="G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9" s="2" t="s">
        <v>65</v>
      </c>
      <c r="I29" s="2" t="s">
        <v>23</v>
      </c>
      <c r="J29" s="2">
        <v>1</v>
      </c>
      <c r="K29" s="8">
        <v>1899</v>
      </c>
      <c r="L29" s="3">
        <v>0.05</v>
      </c>
      <c r="M29" s="12">
        <f>K29*L29</f>
        <v>94.95</v>
      </c>
      <c r="N29" s="12">
        <f>K29*J29</f>
        <v>1899</v>
      </c>
      <c r="O29" s="12">
        <f>N29-M29</f>
        <v>1804.05</v>
      </c>
      <c r="P29" s="2" t="s">
        <v>45</v>
      </c>
      <c r="Q29" s="2" t="s">
        <v>72</v>
      </c>
      <c r="R29" s="2">
        <v>0</v>
      </c>
      <c r="S29" s="20">
        <f>Table1[[#This Row],[Net_revenue]]/Table1[[#This Row],[Gross_revenue]]*100%</f>
        <v>0.95</v>
      </c>
      <c r="T29" s="18">
        <f>COUNTIFS(Table1[Customer ID], "&gt;1", Table1[Customer ID], 1)</f>
        <v>0</v>
      </c>
    </row>
    <row r="30" spans="1:24" hidden="1" x14ac:dyDescent="0.3">
      <c r="A30" s="2" t="s">
        <v>103</v>
      </c>
      <c r="B30" s="5">
        <v>45886</v>
      </c>
      <c r="C30" s="5" t="str">
        <f>TEXT(B30,"mmm")</f>
        <v>Aug</v>
      </c>
      <c r="D30" s="2" t="s">
        <v>104</v>
      </c>
      <c r="E30" s="2" t="s">
        <v>75</v>
      </c>
      <c r="F30" s="2" t="str" cm="1">
        <f t="array" ref="F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30" s="2" t="str" cm="1">
        <f t="array" ref="G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0" s="2" t="s">
        <v>36</v>
      </c>
      <c r="I30" s="2" t="s">
        <v>37</v>
      </c>
      <c r="J30" s="2">
        <v>2</v>
      </c>
      <c r="K30" s="8">
        <v>349</v>
      </c>
      <c r="L30" s="3">
        <v>0</v>
      </c>
      <c r="M30" s="12">
        <f>K30*L30</f>
        <v>0</v>
      </c>
      <c r="N30" s="12">
        <f>K30*J30</f>
        <v>698</v>
      </c>
      <c r="O30" s="12">
        <f>N30-M30</f>
        <v>698</v>
      </c>
      <c r="P30" s="2" t="s">
        <v>17</v>
      </c>
      <c r="Q30" s="2" t="s">
        <v>18</v>
      </c>
      <c r="R30" s="2">
        <v>40</v>
      </c>
      <c r="S30" s="20">
        <f>Table1[[#This Row],[Net_revenue]]/Table1[[#This Row],[Gross_revenue]]*100%</f>
        <v>1</v>
      </c>
      <c r="T30" s="18">
        <f>COUNTIFS(Table1[Customer ID], "&gt;1", Table1[Customer ID], 1)</f>
        <v>0</v>
      </c>
    </row>
    <row r="31" spans="1:24" hidden="1" x14ac:dyDescent="0.3">
      <c r="A31" s="2" t="s">
        <v>105</v>
      </c>
      <c r="B31" s="5">
        <v>45749</v>
      </c>
      <c r="C31" s="5" t="str">
        <f>TEXT(B31,"mmm")</f>
        <v>Apr</v>
      </c>
      <c r="D31" s="2" t="s">
        <v>106</v>
      </c>
      <c r="E31" s="2" t="s">
        <v>21</v>
      </c>
      <c r="F31" s="2" t="str" cm="1">
        <f t="array" ref="F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 s="2" t="str" cm="1">
        <f t="array" ref="G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 s="2" t="s">
        <v>107</v>
      </c>
      <c r="I31" s="2" t="s">
        <v>95</v>
      </c>
      <c r="J31" s="2">
        <v>2</v>
      </c>
      <c r="K31" s="8">
        <v>1599</v>
      </c>
      <c r="L31" s="3">
        <v>0</v>
      </c>
      <c r="M31" s="12">
        <f>K31*L31</f>
        <v>0</v>
      </c>
      <c r="N31" s="12">
        <f>K31*J31</f>
        <v>3198</v>
      </c>
      <c r="O31" s="12">
        <f>N31-M31</f>
        <v>3198</v>
      </c>
      <c r="P31" s="2" t="s">
        <v>45</v>
      </c>
      <c r="Q31" s="2" t="s">
        <v>18</v>
      </c>
      <c r="R31" s="2">
        <v>60</v>
      </c>
      <c r="S31" s="20">
        <f>Table1[[#This Row],[Net_revenue]]/Table1[[#This Row],[Gross_revenue]]*100%</f>
        <v>1</v>
      </c>
      <c r="T31" s="18">
        <f>COUNTIFS(Table1[Customer ID], "&gt;1", Table1[Customer ID], 1)</f>
        <v>0</v>
      </c>
    </row>
    <row r="32" spans="1:24" hidden="1" x14ac:dyDescent="0.3">
      <c r="A32" s="2" t="s">
        <v>108</v>
      </c>
      <c r="B32" s="5">
        <v>45914</v>
      </c>
      <c r="C32" s="5" t="str">
        <f>TEXT(B32,"mmm")</f>
        <v>Sep</v>
      </c>
      <c r="D32" s="2" t="s">
        <v>109</v>
      </c>
      <c r="E32" s="2" t="s">
        <v>21</v>
      </c>
      <c r="F32" s="2" t="str" cm="1">
        <f t="array" ref="F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2" s="2" t="str" cm="1">
        <f t="array" ref="G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2" s="2" t="s">
        <v>15</v>
      </c>
      <c r="I32" s="2" t="s">
        <v>16</v>
      </c>
      <c r="J32" s="2">
        <v>1</v>
      </c>
      <c r="K32" s="8">
        <v>1799</v>
      </c>
      <c r="L32" s="3">
        <v>0.05</v>
      </c>
      <c r="M32" s="12">
        <f>K32*L32</f>
        <v>89.95</v>
      </c>
      <c r="N32" s="12">
        <f>K32*J32</f>
        <v>1799</v>
      </c>
      <c r="O32" s="12">
        <f>N32-M32</f>
        <v>1709.05</v>
      </c>
      <c r="P32" s="2" t="s">
        <v>24</v>
      </c>
      <c r="Q32" s="2" t="s">
        <v>18</v>
      </c>
      <c r="R32" s="2">
        <v>80</v>
      </c>
      <c r="S32" s="20">
        <f>Table1[[#This Row],[Net_revenue]]/Table1[[#This Row],[Gross_revenue]]*100%</f>
        <v>0.95</v>
      </c>
      <c r="T32" s="18">
        <f>COUNTIFS(Table1[Customer ID], "&gt;1", Table1[Customer ID], 1)</f>
        <v>0</v>
      </c>
    </row>
    <row r="33" spans="1:20" hidden="1" x14ac:dyDescent="0.3">
      <c r="A33" s="2" t="s">
        <v>110</v>
      </c>
      <c r="B33" s="5">
        <v>45880</v>
      </c>
      <c r="C33" s="5" t="str">
        <f>TEXT(B33,"mmm")</f>
        <v>Aug</v>
      </c>
      <c r="D33" s="2" t="s">
        <v>91</v>
      </c>
      <c r="E33" s="2" t="s">
        <v>48</v>
      </c>
      <c r="F33" s="2" t="str" cm="1">
        <f t="array" ref="F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3" s="2" t="str" cm="1">
        <f t="array" ref="G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3" s="2" t="s">
        <v>68</v>
      </c>
      <c r="I33" s="2" t="s">
        <v>16</v>
      </c>
      <c r="J33" s="2">
        <v>2</v>
      </c>
      <c r="K33" s="8">
        <v>599</v>
      </c>
      <c r="L33" s="3">
        <v>0.1</v>
      </c>
      <c r="M33" s="12">
        <f>K33*L33</f>
        <v>59.900000000000006</v>
      </c>
      <c r="N33" s="12">
        <f>K33*J33</f>
        <v>1198</v>
      </c>
      <c r="O33" s="12">
        <f>N33-M33</f>
        <v>1138.0999999999999</v>
      </c>
      <c r="P33" s="2" t="s">
        <v>30</v>
      </c>
      <c r="Q33" s="2" t="s">
        <v>18</v>
      </c>
      <c r="R33" s="2">
        <v>80</v>
      </c>
      <c r="S33" s="20">
        <f>Table1[[#This Row],[Net_revenue]]/Table1[[#This Row],[Gross_revenue]]*100%</f>
        <v>0.95</v>
      </c>
      <c r="T33" s="18">
        <f>COUNTIFS(Table1[Customer ID], "&gt;1", Table1[Customer ID], 1)</f>
        <v>0</v>
      </c>
    </row>
    <row r="34" spans="1:20" hidden="1" x14ac:dyDescent="0.3">
      <c r="A34" s="2" t="s">
        <v>111</v>
      </c>
      <c r="B34" s="5">
        <v>45758</v>
      </c>
      <c r="C34" s="5" t="str">
        <f>TEXT(B34,"mmm")</f>
        <v>Apr</v>
      </c>
      <c r="D34" s="2" t="s">
        <v>112</v>
      </c>
      <c r="E34" s="2" t="s">
        <v>14</v>
      </c>
      <c r="F34" s="2" t="str" cm="1">
        <f t="array" ref="F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34" s="2" t="str" cm="1">
        <f t="array" ref="G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34" s="2" t="s">
        <v>49</v>
      </c>
      <c r="I34" s="2" t="s">
        <v>23</v>
      </c>
      <c r="J34" s="2">
        <v>1</v>
      </c>
      <c r="K34" s="8">
        <v>1299</v>
      </c>
      <c r="L34" s="3">
        <v>0</v>
      </c>
      <c r="M34" s="12">
        <f>K34*L34</f>
        <v>0</v>
      </c>
      <c r="N34" s="12">
        <f>K34*J34</f>
        <v>1299</v>
      </c>
      <c r="O34" s="12">
        <f>N34-M34</f>
        <v>1299</v>
      </c>
      <c r="P34" s="2" t="s">
        <v>24</v>
      </c>
      <c r="Q34" s="2" t="s">
        <v>18</v>
      </c>
      <c r="R34" s="2">
        <v>80</v>
      </c>
      <c r="S34" s="20">
        <f>Table1[[#This Row],[Net_revenue]]/Table1[[#This Row],[Gross_revenue]]*100%</f>
        <v>1</v>
      </c>
      <c r="T34" s="18">
        <f>COUNTIFS(Table1[Customer ID], "&gt;1", Table1[Customer ID], 1)</f>
        <v>0</v>
      </c>
    </row>
    <row r="35" spans="1:20" hidden="1" x14ac:dyDescent="0.3">
      <c r="A35" s="2" t="s">
        <v>113</v>
      </c>
      <c r="B35" s="5">
        <v>45708</v>
      </c>
      <c r="C35" s="5" t="str">
        <f>TEXT(B35,"mmm")</f>
        <v>Feb</v>
      </c>
      <c r="D35" s="2" t="s">
        <v>114</v>
      </c>
      <c r="E35" s="2" t="s">
        <v>53</v>
      </c>
      <c r="F35" s="2" t="str" cm="1">
        <f t="array" ref="F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35" s="2" t="str" cm="1">
        <f t="array" ref="G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5" s="2" t="s">
        <v>63</v>
      </c>
      <c r="I35" s="2" t="s">
        <v>23</v>
      </c>
      <c r="J35" s="2">
        <v>1</v>
      </c>
      <c r="K35" s="8">
        <v>2499</v>
      </c>
      <c r="L35" s="3">
        <v>0</v>
      </c>
      <c r="M35" s="12">
        <f>K35*L35</f>
        <v>0</v>
      </c>
      <c r="N35" s="12">
        <f>K35*J35</f>
        <v>2499</v>
      </c>
      <c r="O35" s="12">
        <f>N35-M35</f>
        <v>2499</v>
      </c>
      <c r="P35" s="2" t="s">
        <v>17</v>
      </c>
      <c r="Q35" s="2" t="s">
        <v>18</v>
      </c>
      <c r="R35" s="2">
        <v>60</v>
      </c>
      <c r="S35" s="20">
        <f>Table1[[#This Row],[Net_revenue]]/Table1[[#This Row],[Gross_revenue]]*100%</f>
        <v>1</v>
      </c>
      <c r="T35" s="18">
        <f>COUNTIFS(Table1[Customer ID], "&gt;1", Table1[Customer ID], 1)</f>
        <v>0</v>
      </c>
    </row>
    <row r="36" spans="1:20" hidden="1" x14ac:dyDescent="0.3">
      <c r="A36" s="2" t="s">
        <v>115</v>
      </c>
      <c r="B36" s="5">
        <v>45666</v>
      </c>
      <c r="C36" s="5" t="str">
        <f>TEXT(B36,"mmm")</f>
        <v>Jan</v>
      </c>
      <c r="D36" s="2" t="s">
        <v>116</v>
      </c>
      <c r="E36" s="2" t="s">
        <v>56</v>
      </c>
      <c r="F36" s="2" t="str" cm="1">
        <f t="array" ref="F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6" s="2" t="str" cm="1">
        <f t="array" ref="G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6" s="2" t="s">
        <v>117</v>
      </c>
      <c r="I36" s="2" t="s">
        <v>23</v>
      </c>
      <c r="J36" s="2">
        <v>1</v>
      </c>
      <c r="K36" s="8">
        <v>2199</v>
      </c>
      <c r="L36" s="3">
        <v>0.15</v>
      </c>
      <c r="M36" s="12">
        <f>K36*L36</f>
        <v>329.84999999999997</v>
      </c>
      <c r="N36" s="12">
        <f>K36*J36</f>
        <v>2199</v>
      </c>
      <c r="O36" s="12">
        <f>N36-M36</f>
        <v>1869.15</v>
      </c>
      <c r="P36" s="2" t="s">
        <v>30</v>
      </c>
      <c r="Q36" s="2" t="s">
        <v>50</v>
      </c>
      <c r="R36" s="2">
        <v>80</v>
      </c>
      <c r="S36" s="20">
        <f>Table1[[#This Row],[Net_revenue]]/Table1[[#This Row],[Gross_revenue]]*100%</f>
        <v>0.85000000000000009</v>
      </c>
      <c r="T36" s="18">
        <f>COUNTIFS(Table1[Customer ID], "&gt;1", Table1[Customer ID], 1)</f>
        <v>0</v>
      </c>
    </row>
    <row r="37" spans="1:20" hidden="1" x14ac:dyDescent="0.3">
      <c r="A37" s="2" t="s">
        <v>118</v>
      </c>
      <c r="B37" s="5">
        <v>45690</v>
      </c>
      <c r="C37" s="5" t="str">
        <f>TEXT(B37,"mmm")</f>
        <v>Feb</v>
      </c>
      <c r="D37" s="2" t="s">
        <v>119</v>
      </c>
      <c r="E37" s="2" t="s">
        <v>120</v>
      </c>
      <c r="F37" s="2" t="str" cm="1">
        <f t="array" ref="F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 s="2" t="str" cm="1">
        <f t="array" ref="G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 s="2" t="s">
        <v>121</v>
      </c>
      <c r="I37" s="2" t="s">
        <v>95</v>
      </c>
      <c r="J37" s="2">
        <v>2</v>
      </c>
      <c r="K37" s="8">
        <v>1299</v>
      </c>
      <c r="L37" s="3">
        <v>0.2</v>
      </c>
      <c r="M37" s="12">
        <f>K37*L37</f>
        <v>259.8</v>
      </c>
      <c r="N37" s="12">
        <f>K37*J37</f>
        <v>2598</v>
      </c>
      <c r="O37" s="12">
        <f>N37-M37</f>
        <v>2338.1999999999998</v>
      </c>
      <c r="P37" s="2" t="s">
        <v>30</v>
      </c>
      <c r="Q37" s="2" t="s">
        <v>18</v>
      </c>
      <c r="R37" s="2">
        <v>80</v>
      </c>
      <c r="S37" s="20">
        <f>Table1[[#This Row],[Net_revenue]]/Table1[[#This Row],[Gross_revenue]]*100%</f>
        <v>0.89999999999999991</v>
      </c>
      <c r="T37" s="18">
        <f>COUNTIFS(Table1[Customer ID], "&gt;1", Table1[Customer ID], 1)</f>
        <v>0</v>
      </c>
    </row>
    <row r="38" spans="1:20" hidden="1" x14ac:dyDescent="0.3">
      <c r="A38" s="2" t="s">
        <v>122</v>
      </c>
      <c r="B38" s="5">
        <v>45923</v>
      </c>
      <c r="C38" s="5" t="str">
        <f>TEXT(B38,"mmm")</f>
        <v>Sep</v>
      </c>
      <c r="D38" s="2" t="s">
        <v>123</v>
      </c>
      <c r="E38" s="2" t="s">
        <v>120</v>
      </c>
      <c r="F38" s="2" t="str" cm="1">
        <f t="array" ref="F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8" s="2" t="str" cm="1">
        <f t="array" ref="G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8" s="2" t="s">
        <v>65</v>
      </c>
      <c r="I38" s="2" t="s">
        <v>23</v>
      </c>
      <c r="J38" s="2">
        <v>4</v>
      </c>
      <c r="K38" s="8">
        <v>1899</v>
      </c>
      <c r="L38" s="3">
        <v>0.25</v>
      </c>
      <c r="M38" s="12">
        <f>K38*L38</f>
        <v>474.75</v>
      </c>
      <c r="N38" s="12">
        <f>K38*J38</f>
        <v>7596</v>
      </c>
      <c r="O38" s="12">
        <f>N38-M38</f>
        <v>7121.25</v>
      </c>
      <c r="P38" s="2" t="s">
        <v>45</v>
      </c>
      <c r="Q38" s="2" t="s">
        <v>18</v>
      </c>
      <c r="R38" s="2">
        <v>60</v>
      </c>
      <c r="S38" s="20">
        <f>Table1[[#This Row],[Net_revenue]]/Table1[[#This Row],[Gross_revenue]]*100%</f>
        <v>0.9375</v>
      </c>
      <c r="T38" s="18">
        <f>COUNTIFS(Table1[Customer ID], "&gt;1", Table1[Customer ID], 1)</f>
        <v>0</v>
      </c>
    </row>
    <row r="39" spans="1:20" hidden="1" x14ac:dyDescent="0.3">
      <c r="A39" s="2" t="s">
        <v>124</v>
      </c>
      <c r="B39" s="5">
        <v>45925</v>
      </c>
      <c r="C39" s="5" t="str">
        <f>TEXT(B39,"mmm")</f>
        <v>Sep</v>
      </c>
      <c r="D39" s="2" t="s">
        <v>125</v>
      </c>
      <c r="E39" s="2" t="s">
        <v>40</v>
      </c>
      <c r="F39" s="2" t="str" cm="1">
        <f t="array" ref="F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9" s="2" t="str" cm="1">
        <f t="array" ref="G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9" s="2" t="s">
        <v>121</v>
      </c>
      <c r="I39" s="2" t="s">
        <v>95</v>
      </c>
      <c r="J39" s="2">
        <v>1</v>
      </c>
      <c r="K39" s="8">
        <v>1299</v>
      </c>
      <c r="L39" s="3">
        <v>0.1</v>
      </c>
      <c r="M39" s="12">
        <f>K39*L39</f>
        <v>129.9</v>
      </c>
      <c r="N39" s="12">
        <f>K39*J39</f>
        <v>1299</v>
      </c>
      <c r="O39" s="12">
        <f>N39-M39</f>
        <v>1169.0999999999999</v>
      </c>
      <c r="P39" s="2" t="s">
        <v>30</v>
      </c>
      <c r="Q39" s="2" t="s">
        <v>18</v>
      </c>
      <c r="R39" s="2">
        <v>60</v>
      </c>
      <c r="S39" s="20">
        <f>Table1[[#This Row],[Net_revenue]]/Table1[[#This Row],[Gross_revenue]]*100%</f>
        <v>0.89999999999999991</v>
      </c>
      <c r="T39" s="18">
        <f>COUNTIFS(Table1[Customer ID], "&gt;1", Table1[Customer ID], 1)</f>
        <v>0</v>
      </c>
    </row>
    <row r="40" spans="1:20" hidden="1" x14ac:dyDescent="0.3">
      <c r="A40" s="2" t="s">
        <v>126</v>
      </c>
      <c r="B40" s="5">
        <v>45868</v>
      </c>
      <c r="C40" s="5" t="str">
        <f>TEXT(B40,"mmm")</f>
        <v>Jul</v>
      </c>
      <c r="D40" s="2" t="s">
        <v>127</v>
      </c>
      <c r="E40" s="2" t="s">
        <v>56</v>
      </c>
      <c r="F40" s="2" t="str" cm="1">
        <f t="array" ref="F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0" s="2" t="str" cm="1">
        <f t="array" ref="G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0" s="2" t="s">
        <v>33</v>
      </c>
      <c r="I40" s="2" t="s">
        <v>16</v>
      </c>
      <c r="J40" s="2">
        <v>1</v>
      </c>
      <c r="K40" s="8">
        <v>899</v>
      </c>
      <c r="L40" s="3">
        <v>0</v>
      </c>
      <c r="M40" s="12">
        <f>K40*L40</f>
        <v>0</v>
      </c>
      <c r="N40" s="12">
        <f>K40*J40</f>
        <v>899</v>
      </c>
      <c r="O40" s="12">
        <f>N40-M40</f>
        <v>899</v>
      </c>
      <c r="P40" s="2" t="s">
        <v>45</v>
      </c>
      <c r="Q40" s="2" t="s">
        <v>18</v>
      </c>
      <c r="R40" s="2">
        <v>80</v>
      </c>
      <c r="S40" s="20">
        <f>Table1[[#This Row],[Net_revenue]]/Table1[[#This Row],[Gross_revenue]]*100%</f>
        <v>1</v>
      </c>
      <c r="T40" s="18">
        <f>COUNTIFS(Table1[Customer ID], "&gt;1", Table1[Customer ID], 1)</f>
        <v>0</v>
      </c>
    </row>
    <row r="41" spans="1:20" hidden="1" x14ac:dyDescent="0.3">
      <c r="A41" s="2" t="s">
        <v>128</v>
      </c>
      <c r="B41" s="5">
        <v>45720</v>
      </c>
      <c r="C41" s="5" t="str">
        <f>TEXT(B41,"mmm")</f>
        <v>Mar</v>
      </c>
      <c r="D41" s="2" t="s">
        <v>129</v>
      </c>
      <c r="E41" s="2" t="s">
        <v>48</v>
      </c>
      <c r="F41" s="2" t="str" cm="1">
        <f t="array" ref="F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1" s="2" t="str" cm="1">
        <f t="array" ref="G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1" s="2" t="s">
        <v>15</v>
      </c>
      <c r="I41" s="2" t="s">
        <v>16</v>
      </c>
      <c r="J41" s="2">
        <v>1</v>
      </c>
      <c r="K41" s="8">
        <v>1799</v>
      </c>
      <c r="L41" s="3">
        <v>0.25</v>
      </c>
      <c r="M41" s="12">
        <f>K41*L41</f>
        <v>449.75</v>
      </c>
      <c r="N41" s="12">
        <f>K41*J41</f>
        <v>1799</v>
      </c>
      <c r="O41" s="12">
        <f>N41-M41</f>
        <v>1349.25</v>
      </c>
      <c r="P41" s="2" t="s">
        <v>24</v>
      </c>
      <c r="Q41" s="2" t="s">
        <v>72</v>
      </c>
      <c r="R41" s="2">
        <v>80</v>
      </c>
      <c r="S41" s="20">
        <f>Table1[[#This Row],[Net_revenue]]/Table1[[#This Row],[Gross_revenue]]*100%</f>
        <v>0.75</v>
      </c>
      <c r="T41" s="18">
        <f>COUNTIFS(Table1[Customer ID], "&gt;1", Table1[Customer ID], 1)</f>
        <v>0</v>
      </c>
    </row>
    <row r="42" spans="1:20" hidden="1" x14ac:dyDescent="0.3">
      <c r="A42" s="2" t="s">
        <v>130</v>
      </c>
      <c r="B42" s="5">
        <v>45910</v>
      </c>
      <c r="C42" s="5" t="str">
        <f>TEXT(B42,"mmm")</f>
        <v>Sep</v>
      </c>
      <c r="D42" s="2" t="s">
        <v>131</v>
      </c>
      <c r="E42" s="2" t="s">
        <v>56</v>
      </c>
      <c r="F42" s="2" t="str" cm="1">
        <f t="array" ref="F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2" s="2" t="str" cm="1">
        <f t="array" ref="G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2" s="2" t="s">
        <v>49</v>
      </c>
      <c r="I42" s="2" t="s">
        <v>23</v>
      </c>
      <c r="J42" s="2">
        <v>1</v>
      </c>
      <c r="K42" s="8">
        <v>1299</v>
      </c>
      <c r="L42" s="3">
        <v>0.05</v>
      </c>
      <c r="M42" s="12">
        <f>K42*L42</f>
        <v>64.95</v>
      </c>
      <c r="N42" s="12">
        <f>K42*J42</f>
        <v>1299</v>
      </c>
      <c r="O42" s="12">
        <f>N42-M42</f>
        <v>1234.05</v>
      </c>
      <c r="P42" s="2" t="s">
        <v>45</v>
      </c>
      <c r="Q42" s="2" t="s">
        <v>18</v>
      </c>
      <c r="R42" s="2">
        <v>80</v>
      </c>
      <c r="S42" s="20">
        <f>Table1[[#This Row],[Net_revenue]]/Table1[[#This Row],[Gross_revenue]]*100%</f>
        <v>0.95</v>
      </c>
      <c r="T42" s="18">
        <f>COUNTIFS(Table1[Customer ID], "&gt;1", Table1[Customer ID], 1)</f>
        <v>0</v>
      </c>
    </row>
    <row r="43" spans="1:20" hidden="1" x14ac:dyDescent="0.3">
      <c r="A43" s="2" t="s">
        <v>132</v>
      </c>
      <c r="B43" s="5">
        <v>45724</v>
      </c>
      <c r="C43" s="5" t="str">
        <f>TEXT(B43,"mmm")</f>
        <v>Mar</v>
      </c>
      <c r="D43" s="2" t="s">
        <v>133</v>
      </c>
      <c r="E43" s="2" t="s">
        <v>120</v>
      </c>
      <c r="F43" s="2" t="str" cm="1">
        <f t="array" ref="F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3" s="2" t="str" cm="1">
        <f t="array" ref="G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3" s="2" t="s">
        <v>134</v>
      </c>
      <c r="I43" s="2" t="s">
        <v>29</v>
      </c>
      <c r="J43" s="2">
        <v>1</v>
      </c>
      <c r="K43" s="8">
        <v>1499</v>
      </c>
      <c r="L43" s="3">
        <v>0</v>
      </c>
      <c r="M43" s="12">
        <f>K43*L43</f>
        <v>0</v>
      </c>
      <c r="N43" s="12">
        <f>K43*J43</f>
        <v>1499</v>
      </c>
      <c r="O43" s="12">
        <f>N43-M43</f>
        <v>1499</v>
      </c>
      <c r="P43" s="2" t="s">
        <v>45</v>
      </c>
      <c r="Q43" s="2" t="s">
        <v>18</v>
      </c>
      <c r="R43" s="2">
        <v>60</v>
      </c>
      <c r="S43" s="20">
        <f>Table1[[#This Row],[Net_revenue]]/Table1[[#This Row],[Gross_revenue]]*100%</f>
        <v>1</v>
      </c>
      <c r="T43" s="18">
        <f>COUNTIFS(Table1[Customer ID], "&gt;1", Table1[Customer ID], 1)</f>
        <v>0</v>
      </c>
    </row>
    <row r="44" spans="1:20" hidden="1" x14ac:dyDescent="0.3">
      <c r="A44" s="2" t="s">
        <v>135</v>
      </c>
      <c r="B44" s="5">
        <v>45711</v>
      </c>
      <c r="C44" s="5" t="str">
        <f>TEXT(B44,"mmm")</f>
        <v>Feb</v>
      </c>
      <c r="D44" s="2" t="s">
        <v>136</v>
      </c>
      <c r="E44" s="2" t="s">
        <v>27</v>
      </c>
      <c r="F44" s="2" t="str" cm="1">
        <f t="array" ref="F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4" s="2" t="str" cm="1">
        <f t="array" ref="G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4" s="2" t="s">
        <v>49</v>
      </c>
      <c r="I44" s="2" t="s">
        <v>23</v>
      </c>
      <c r="J44" s="2">
        <v>2</v>
      </c>
      <c r="K44" s="8">
        <v>1299</v>
      </c>
      <c r="L44" s="3">
        <v>0.25</v>
      </c>
      <c r="M44" s="12">
        <f>K44*L44</f>
        <v>324.75</v>
      </c>
      <c r="N44" s="12">
        <f>K44*J44</f>
        <v>2598</v>
      </c>
      <c r="O44" s="12">
        <f>N44-M44</f>
        <v>2273.25</v>
      </c>
      <c r="P44" s="2" t="s">
        <v>30</v>
      </c>
      <c r="Q44" s="2" t="s">
        <v>50</v>
      </c>
      <c r="R44" s="2">
        <v>80</v>
      </c>
      <c r="S44" s="20">
        <f>Table1[[#This Row],[Net_revenue]]/Table1[[#This Row],[Gross_revenue]]*100%</f>
        <v>0.875</v>
      </c>
      <c r="T44" s="18">
        <f>COUNTIFS(Table1[Customer ID], "&gt;1", Table1[Customer ID], 1)</f>
        <v>0</v>
      </c>
    </row>
    <row r="45" spans="1:20" hidden="1" x14ac:dyDescent="0.3">
      <c r="A45" s="2" t="s">
        <v>137</v>
      </c>
      <c r="B45" s="5">
        <v>45869</v>
      </c>
      <c r="C45" s="5" t="str">
        <f>TEXT(B45,"mmm")</f>
        <v>Jul</v>
      </c>
      <c r="D45" s="2" t="s">
        <v>138</v>
      </c>
      <c r="E45" s="2" t="s">
        <v>27</v>
      </c>
      <c r="F45" s="2" t="str" cm="1">
        <f t="array" ref="F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5" s="2" t="str" cm="1">
        <f t="array" ref="G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5" s="2" t="s">
        <v>117</v>
      </c>
      <c r="I45" s="2" t="s">
        <v>23</v>
      </c>
      <c r="J45" s="2">
        <v>1</v>
      </c>
      <c r="K45" s="8">
        <v>2199</v>
      </c>
      <c r="L45" s="3">
        <v>0.05</v>
      </c>
      <c r="M45" s="12">
        <f>K45*L45</f>
        <v>109.95</v>
      </c>
      <c r="N45" s="12">
        <f>K45*J45</f>
        <v>2199</v>
      </c>
      <c r="O45" s="12">
        <f>N45-M45</f>
        <v>2089.0500000000002</v>
      </c>
      <c r="P45" s="2" t="s">
        <v>17</v>
      </c>
      <c r="Q45" s="2" t="s">
        <v>18</v>
      </c>
      <c r="R45" s="2">
        <v>40</v>
      </c>
      <c r="S45" s="20">
        <f>Table1[[#This Row],[Net_revenue]]/Table1[[#This Row],[Gross_revenue]]*100%</f>
        <v>0.95000000000000007</v>
      </c>
      <c r="T45" s="18">
        <f>COUNTIFS(Table1[Customer ID], "&gt;1", Table1[Customer ID], 1)</f>
        <v>0</v>
      </c>
    </row>
    <row r="46" spans="1:20" hidden="1" x14ac:dyDescent="0.3">
      <c r="A46" s="2" t="s">
        <v>139</v>
      </c>
      <c r="B46" s="5">
        <v>45979</v>
      </c>
      <c r="C46" s="5" t="str">
        <f>TEXT(B46,"mmm")</f>
        <v>Nov</v>
      </c>
      <c r="D46" s="2" t="s">
        <v>140</v>
      </c>
      <c r="E46" s="2" t="s">
        <v>40</v>
      </c>
      <c r="F46" s="2" t="str" cm="1">
        <f t="array" ref="F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6" s="2" t="str" cm="1">
        <f t="array" ref="G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6" s="2" t="s">
        <v>117</v>
      </c>
      <c r="I46" s="2" t="s">
        <v>23</v>
      </c>
      <c r="J46" s="2">
        <v>1</v>
      </c>
      <c r="K46" s="8">
        <v>2199</v>
      </c>
      <c r="L46" s="3">
        <v>0.05</v>
      </c>
      <c r="M46" s="12">
        <f>K46*L46</f>
        <v>109.95</v>
      </c>
      <c r="N46" s="12">
        <f>K46*J46</f>
        <v>2199</v>
      </c>
      <c r="O46" s="12">
        <f>N46-M46</f>
        <v>2089.0500000000002</v>
      </c>
      <c r="P46" s="2" t="s">
        <v>24</v>
      </c>
      <c r="Q46" s="2" t="s">
        <v>18</v>
      </c>
      <c r="R46" s="2">
        <v>0</v>
      </c>
      <c r="S46" s="20">
        <f>Table1[[#This Row],[Net_revenue]]/Table1[[#This Row],[Gross_revenue]]*100%</f>
        <v>0.95000000000000007</v>
      </c>
      <c r="T46" s="18">
        <f>COUNTIFS(Table1[Customer ID], "&gt;1", Table1[Customer ID], 1)</f>
        <v>0</v>
      </c>
    </row>
    <row r="47" spans="1:20" hidden="1" x14ac:dyDescent="0.3">
      <c r="A47" s="2" t="s">
        <v>141</v>
      </c>
      <c r="B47" s="5">
        <v>45725</v>
      </c>
      <c r="C47" s="5" t="str">
        <f>TEXT(B47,"mmm")</f>
        <v>Mar</v>
      </c>
      <c r="D47" s="2" t="s">
        <v>142</v>
      </c>
      <c r="E47" s="2" t="s">
        <v>56</v>
      </c>
      <c r="F47" s="2" t="str" cm="1">
        <f t="array" ref="F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7" s="2" t="str" cm="1">
        <f t="array" ref="G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7" s="2" t="s">
        <v>63</v>
      </c>
      <c r="I47" s="2" t="s">
        <v>23</v>
      </c>
      <c r="J47" s="2">
        <v>1</v>
      </c>
      <c r="K47" s="8">
        <v>2499</v>
      </c>
      <c r="L47" s="3">
        <v>0</v>
      </c>
      <c r="M47" s="12">
        <f>K47*L47</f>
        <v>0</v>
      </c>
      <c r="N47" s="12">
        <f>K47*J47</f>
        <v>2499</v>
      </c>
      <c r="O47" s="12">
        <f>N47-M47</f>
        <v>2499</v>
      </c>
      <c r="P47" s="2" t="s">
        <v>30</v>
      </c>
      <c r="Q47" s="2" t="s">
        <v>50</v>
      </c>
      <c r="R47" s="2">
        <v>40</v>
      </c>
      <c r="S47" s="20">
        <f>Table1[[#This Row],[Net_revenue]]/Table1[[#This Row],[Gross_revenue]]*100%</f>
        <v>1</v>
      </c>
      <c r="T47" s="18">
        <f>COUNTIFS(Table1[Customer ID], "&gt;1", Table1[Customer ID], 1)</f>
        <v>0</v>
      </c>
    </row>
    <row r="48" spans="1:20" hidden="1" x14ac:dyDescent="0.3">
      <c r="A48" s="2" t="s">
        <v>143</v>
      </c>
      <c r="B48" s="5">
        <v>45707</v>
      </c>
      <c r="C48" s="5" t="str">
        <f>TEXT(B48,"mmm")</f>
        <v>Feb</v>
      </c>
      <c r="D48" s="2" t="s">
        <v>144</v>
      </c>
      <c r="E48" s="2" t="s">
        <v>21</v>
      </c>
      <c r="F48" s="2" t="str" cm="1">
        <f t="array" ref="F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8" s="2" t="str" cm="1">
        <f t="array" ref="G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 s="2" t="s">
        <v>68</v>
      </c>
      <c r="I48" s="2" t="s">
        <v>16</v>
      </c>
      <c r="J48" s="2">
        <v>2</v>
      </c>
      <c r="K48" s="8">
        <v>599</v>
      </c>
      <c r="L48" s="3">
        <v>0.1</v>
      </c>
      <c r="M48" s="12">
        <f>K48*L48</f>
        <v>59.900000000000006</v>
      </c>
      <c r="N48" s="12">
        <f>K48*J48</f>
        <v>1198</v>
      </c>
      <c r="O48" s="12">
        <f>N48-M48</f>
        <v>1138.0999999999999</v>
      </c>
      <c r="P48" s="2" t="s">
        <v>17</v>
      </c>
      <c r="Q48" s="2" t="s">
        <v>18</v>
      </c>
      <c r="R48" s="2">
        <v>60</v>
      </c>
      <c r="S48" s="20">
        <f>Table1[[#This Row],[Net_revenue]]/Table1[[#This Row],[Gross_revenue]]*100%</f>
        <v>0.95</v>
      </c>
      <c r="T48" s="18">
        <f>COUNTIFS(Table1[Customer ID], "&gt;1", Table1[Customer ID], 1)</f>
        <v>0</v>
      </c>
    </row>
    <row r="49" spans="1:20" hidden="1" x14ac:dyDescent="0.3">
      <c r="A49" s="2" t="s">
        <v>145</v>
      </c>
      <c r="B49" s="5">
        <v>45694</v>
      </c>
      <c r="C49" s="5" t="str">
        <f>TEXT(B49,"mmm")</f>
        <v>Feb</v>
      </c>
      <c r="D49" s="2" t="s">
        <v>146</v>
      </c>
      <c r="E49" s="2" t="s">
        <v>27</v>
      </c>
      <c r="F49" s="2" t="str" cm="1">
        <f t="array" ref="F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9" s="2" t="str" cm="1">
        <f t="array" ref="G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9" s="2" t="s">
        <v>33</v>
      </c>
      <c r="I49" s="2" t="s">
        <v>16</v>
      </c>
      <c r="J49" s="2">
        <v>1</v>
      </c>
      <c r="K49" s="8">
        <v>899</v>
      </c>
      <c r="L49" s="3">
        <v>0.25</v>
      </c>
      <c r="M49" s="12">
        <f>K49*L49</f>
        <v>224.75</v>
      </c>
      <c r="N49" s="12">
        <f>K49*J49</f>
        <v>899</v>
      </c>
      <c r="O49" s="12">
        <f>N49-M49</f>
        <v>674.25</v>
      </c>
      <c r="P49" s="2" t="s">
        <v>30</v>
      </c>
      <c r="Q49" s="2" t="s">
        <v>50</v>
      </c>
      <c r="R49" s="2">
        <v>80</v>
      </c>
      <c r="S49" s="20">
        <f>Table1[[#This Row],[Net_revenue]]/Table1[[#This Row],[Gross_revenue]]*100%</f>
        <v>0.75</v>
      </c>
      <c r="T49" s="18">
        <f>COUNTIFS(Table1[Customer ID], "&gt;1", Table1[Customer ID], 1)</f>
        <v>0</v>
      </c>
    </row>
    <row r="50" spans="1:20" hidden="1" x14ac:dyDescent="0.3">
      <c r="A50" s="2" t="s">
        <v>147</v>
      </c>
      <c r="B50" s="5">
        <v>45716</v>
      </c>
      <c r="C50" s="5" t="str">
        <f>TEXT(B50,"mmm")</f>
        <v>Feb</v>
      </c>
      <c r="D50" s="2" t="s">
        <v>148</v>
      </c>
      <c r="E50" s="2" t="s">
        <v>75</v>
      </c>
      <c r="F50" s="2" t="str" cm="1">
        <f t="array" ref="F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0" s="2" t="str" cm="1">
        <f t="array" ref="G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0" s="2" t="s">
        <v>63</v>
      </c>
      <c r="I50" s="2" t="s">
        <v>23</v>
      </c>
      <c r="J50" s="2">
        <v>1</v>
      </c>
      <c r="K50" s="8">
        <v>2499</v>
      </c>
      <c r="L50" s="3">
        <v>0.1</v>
      </c>
      <c r="M50" s="12">
        <f>K50*L50</f>
        <v>249.9</v>
      </c>
      <c r="N50" s="12">
        <f>K50*J50</f>
        <v>2499</v>
      </c>
      <c r="O50" s="12">
        <f>N50-M50</f>
        <v>2249.1</v>
      </c>
      <c r="P50" s="2" t="s">
        <v>45</v>
      </c>
      <c r="Q50" s="2" t="s">
        <v>72</v>
      </c>
      <c r="R50" s="2">
        <v>0</v>
      </c>
      <c r="S50" s="20">
        <f>Table1[[#This Row],[Net_revenue]]/Table1[[#This Row],[Gross_revenue]]*100%</f>
        <v>0.89999999999999991</v>
      </c>
      <c r="T50" s="18">
        <f>COUNTIFS(Table1[Customer ID], "&gt;1", Table1[Customer ID], 1)</f>
        <v>0</v>
      </c>
    </row>
    <row r="51" spans="1:20" hidden="1" x14ac:dyDescent="0.3">
      <c r="A51" s="2" t="s">
        <v>149</v>
      </c>
      <c r="B51" s="5">
        <v>45894</v>
      </c>
      <c r="C51" s="5" t="str">
        <f>TEXT(B51,"mmm")</f>
        <v>Aug</v>
      </c>
      <c r="D51" s="2" t="s">
        <v>150</v>
      </c>
      <c r="E51" s="2" t="s">
        <v>48</v>
      </c>
      <c r="F51" s="2" t="str" cm="1">
        <f t="array" ref="F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1" s="2" t="str" cm="1">
        <f t="array" ref="G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1" s="2" t="s">
        <v>117</v>
      </c>
      <c r="I51" s="2" t="s">
        <v>23</v>
      </c>
      <c r="J51" s="2">
        <v>2</v>
      </c>
      <c r="K51" s="8">
        <v>2199</v>
      </c>
      <c r="L51" s="3">
        <v>0</v>
      </c>
      <c r="M51" s="12">
        <f>K51*L51</f>
        <v>0</v>
      </c>
      <c r="N51" s="12">
        <f>K51*J51</f>
        <v>4398</v>
      </c>
      <c r="O51" s="12">
        <f>N51-M51</f>
        <v>4398</v>
      </c>
      <c r="P51" s="2" t="s">
        <v>45</v>
      </c>
      <c r="Q51" s="2" t="s">
        <v>18</v>
      </c>
      <c r="R51" s="2">
        <v>40</v>
      </c>
      <c r="S51" s="20">
        <f>Table1[[#This Row],[Net_revenue]]/Table1[[#This Row],[Gross_revenue]]*100%</f>
        <v>1</v>
      </c>
      <c r="T51" s="18">
        <f>COUNTIFS(Table1[Customer ID], "&gt;1", Table1[Customer ID], 1)</f>
        <v>0</v>
      </c>
    </row>
    <row r="52" spans="1:20" hidden="1" x14ac:dyDescent="0.3">
      <c r="A52" s="2" t="s">
        <v>151</v>
      </c>
      <c r="B52" s="5">
        <v>45982</v>
      </c>
      <c r="C52" s="5" t="str">
        <f>TEXT(B52,"mmm")</f>
        <v>Nov</v>
      </c>
      <c r="D52" s="2" t="s">
        <v>152</v>
      </c>
      <c r="E52" s="2" t="s">
        <v>48</v>
      </c>
      <c r="F52" s="2" t="str" cm="1">
        <f t="array" ref="F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2" s="2" t="str" cm="1">
        <f t="array" ref="G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2" s="2" t="s">
        <v>71</v>
      </c>
      <c r="I52" s="2" t="s">
        <v>29</v>
      </c>
      <c r="J52" s="2">
        <v>1</v>
      </c>
      <c r="K52" s="8">
        <v>5499</v>
      </c>
      <c r="L52" s="3">
        <v>0.1</v>
      </c>
      <c r="M52" s="12">
        <f>K52*L52</f>
        <v>549.9</v>
      </c>
      <c r="N52" s="12">
        <f>K52*J52</f>
        <v>5499</v>
      </c>
      <c r="O52" s="12">
        <f>N52-M52</f>
        <v>4949.1000000000004</v>
      </c>
      <c r="P52" s="2" t="s">
        <v>45</v>
      </c>
      <c r="Q52" s="2" t="s">
        <v>18</v>
      </c>
      <c r="R52" s="2">
        <v>40</v>
      </c>
      <c r="S52" s="20">
        <f>Table1[[#This Row],[Net_revenue]]/Table1[[#This Row],[Gross_revenue]]*100%</f>
        <v>0.9</v>
      </c>
      <c r="T52" s="18">
        <f>COUNTIFS(Table1[Customer ID], "&gt;1", Table1[Customer ID], 1)</f>
        <v>0</v>
      </c>
    </row>
    <row r="53" spans="1:20" hidden="1" x14ac:dyDescent="0.3">
      <c r="A53" s="2" t="s">
        <v>153</v>
      </c>
      <c r="B53" s="5">
        <v>45823</v>
      </c>
      <c r="C53" s="5" t="str">
        <f>TEXT(B53,"mmm")</f>
        <v>Jun</v>
      </c>
      <c r="D53" s="2" t="s">
        <v>154</v>
      </c>
      <c r="E53" s="2" t="s">
        <v>75</v>
      </c>
      <c r="F53" s="2" t="str" cm="1">
        <f t="array" ref="F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3" s="2" t="str" cm="1">
        <f t="array" ref="G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 s="2" t="s">
        <v>80</v>
      </c>
      <c r="I53" s="2" t="s">
        <v>23</v>
      </c>
      <c r="J53" s="2">
        <v>3</v>
      </c>
      <c r="K53" s="8">
        <v>799</v>
      </c>
      <c r="L53" s="3">
        <v>0</v>
      </c>
      <c r="M53" s="12">
        <f>K53*L53</f>
        <v>0</v>
      </c>
      <c r="N53" s="12">
        <f>K53*J53</f>
        <v>2397</v>
      </c>
      <c r="O53" s="12">
        <f>N53-M53</f>
        <v>2397</v>
      </c>
      <c r="P53" s="2" t="s">
        <v>17</v>
      </c>
      <c r="Q53" s="2" t="s">
        <v>18</v>
      </c>
      <c r="R53" s="2">
        <v>40</v>
      </c>
      <c r="S53" s="20">
        <f>Table1[[#This Row],[Net_revenue]]/Table1[[#This Row],[Gross_revenue]]*100%</f>
        <v>1</v>
      </c>
      <c r="T53" s="18">
        <f>COUNTIFS(Table1[Customer ID], "&gt;1", Table1[Customer ID], 1)</f>
        <v>0</v>
      </c>
    </row>
    <row r="54" spans="1:20" hidden="1" x14ac:dyDescent="0.3">
      <c r="A54" s="2" t="s">
        <v>155</v>
      </c>
      <c r="B54" s="5">
        <v>45790</v>
      </c>
      <c r="C54" s="5" t="str">
        <f>TEXT(B54,"mmm")</f>
        <v>May</v>
      </c>
      <c r="D54" s="2" t="s">
        <v>156</v>
      </c>
      <c r="E54" s="2" t="s">
        <v>14</v>
      </c>
      <c r="F54" s="2" t="str" cm="1">
        <f t="array" ref="F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4" s="2" t="str" cm="1">
        <f t="array" ref="G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4" s="2" t="s">
        <v>41</v>
      </c>
      <c r="I54" s="2" t="s">
        <v>16</v>
      </c>
      <c r="J54" s="2">
        <v>3</v>
      </c>
      <c r="K54" s="8">
        <v>2299</v>
      </c>
      <c r="L54" s="3">
        <v>0.1</v>
      </c>
      <c r="M54" s="12">
        <f>K54*L54</f>
        <v>229.9</v>
      </c>
      <c r="N54" s="12">
        <f>K54*J54</f>
        <v>6897</v>
      </c>
      <c r="O54" s="12">
        <f>N54-M54</f>
        <v>6667.1</v>
      </c>
      <c r="P54" s="2" t="s">
        <v>45</v>
      </c>
      <c r="Q54" s="2" t="s">
        <v>18</v>
      </c>
      <c r="R54" s="2">
        <v>60</v>
      </c>
      <c r="S54" s="20">
        <f>Table1[[#This Row],[Net_revenue]]/Table1[[#This Row],[Gross_revenue]]*100%</f>
        <v>0.96666666666666667</v>
      </c>
      <c r="T54" s="18">
        <f>COUNTIFS(Table1[Customer ID], "&gt;1", Table1[Customer ID], 1)</f>
        <v>0</v>
      </c>
    </row>
    <row r="55" spans="1:20" hidden="1" x14ac:dyDescent="0.3">
      <c r="A55" s="2" t="s">
        <v>157</v>
      </c>
      <c r="B55" s="5">
        <v>45879</v>
      </c>
      <c r="C55" s="5" t="str">
        <f>TEXT(B55,"mmm")</f>
        <v>Aug</v>
      </c>
      <c r="D55" s="2" t="s">
        <v>158</v>
      </c>
      <c r="E55" s="2" t="s">
        <v>14</v>
      </c>
      <c r="F55" s="2" t="str" cm="1">
        <f t="array" ref="F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5" s="2" t="str" cm="1">
        <f t="array" ref="G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5" s="2" t="s">
        <v>107</v>
      </c>
      <c r="I55" s="2" t="s">
        <v>95</v>
      </c>
      <c r="J55" s="2">
        <v>1</v>
      </c>
      <c r="K55" s="8">
        <v>1599</v>
      </c>
      <c r="L55" s="3">
        <v>0.05</v>
      </c>
      <c r="M55" s="12">
        <f>K55*L55</f>
        <v>79.95</v>
      </c>
      <c r="N55" s="12">
        <f>K55*J55</f>
        <v>1599</v>
      </c>
      <c r="O55" s="12">
        <f>N55-M55</f>
        <v>1519.05</v>
      </c>
      <c r="P55" s="2" t="s">
        <v>45</v>
      </c>
      <c r="Q55" s="2" t="s">
        <v>18</v>
      </c>
      <c r="R55" s="2">
        <v>0</v>
      </c>
      <c r="S55" s="20">
        <f>Table1[[#This Row],[Net_revenue]]/Table1[[#This Row],[Gross_revenue]]*100%</f>
        <v>0.95</v>
      </c>
      <c r="T55" s="18">
        <f>COUNTIFS(Table1[Customer ID], "&gt;1", Table1[Customer ID], 1)</f>
        <v>0</v>
      </c>
    </row>
    <row r="56" spans="1:20" hidden="1" x14ac:dyDescent="0.3">
      <c r="A56" s="2" t="s">
        <v>159</v>
      </c>
      <c r="B56" s="5">
        <v>45985</v>
      </c>
      <c r="C56" s="5" t="str">
        <f>TEXT(B56,"mmm")</f>
        <v>Nov</v>
      </c>
      <c r="D56" s="2" t="s">
        <v>160</v>
      </c>
      <c r="E56" s="2" t="s">
        <v>40</v>
      </c>
      <c r="F56" s="2" t="str" cm="1">
        <f t="array" ref="F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6" s="2" t="str" cm="1">
        <f t="array" ref="G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6" s="2" t="s">
        <v>22</v>
      </c>
      <c r="I56" s="2" t="s">
        <v>23</v>
      </c>
      <c r="J56" s="2">
        <v>1</v>
      </c>
      <c r="K56" s="8">
        <v>3999</v>
      </c>
      <c r="L56" s="3">
        <v>0</v>
      </c>
      <c r="M56" s="12">
        <f>K56*L56</f>
        <v>0</v>
      </c>
      <c r="N56" s="12">
        <f>K56*J56</f>
        <v>3999</v>
      </c>
      <c r="O56" s="12">
        <f>N56-M56</f>
        <v>3999</v>
      </c>
      <c r="P56" s="2" t="s">
        <v>45</v>
      </c>
      <c r="Q56" s="2" t="s">
        <v>18</v>
      </c>
      <c r="R56" s="2">
        <v>80</v>
      </c>
      <c r="S56" s="20">
        <f>Table1[[#This Row],[Net_revenue]]/Table1[[#This Row],[Gross_revenue]]*100%</f>
        <v>1</v>
      </c>
      <c r="T56" s="18">
        <f>COUNTIFS(Table1[Customer ID], "&gt;1", Table1[Customer ID], 1)</f>
        <v>0</v>
      </c>
    </row>
    <row r="57" spans="1:20" hidden="1" x14ac:dyDescent="0.3">
      <c r="A57" s="2" t="s">
        <v>161</v>
      </c>
      <c r="B57" s="5">
        <v>45697</v>
      </c>
      <c r="C57" s="5" t="str">
        <f>TEXT(B57,"mmm")</f>
        <v>Feb</v>
      </c>
      <c r="D57" s="2" t="s">
        <v>162</v>
      </c>
      <c r="E57" s="2" t="s">
        <v>120</v>
      </c>
      <c r="F57" s="2" t="str" cm="1">
        <f t="array" ref="F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7" s="2" t="str" cm="1">
        <f t="array" ref="G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7" s="2" t="s">
        <v>15</v>
      </c>
      <c r="I57" s="2" t="s">
        <v>16</v>
      </c>
      <c r="J57" s="2">
        <v>1</v>
      </c>
      <c r="K57" s="8">
        <v>1799</v>
      </c>
      <c r="L57" s="3">
        <v>0.2</v>
      </c>
      <c r="M57" s="12">
        <f>K57*L57</f>
        <v>359.8</v>
      </c>
      <c r="N57" s="12">
        <f>K57*J57</f>
        <v>1799</v>
      </c>
      <c r="O57" s="12">
        <f>N57-M57</f>
        <v>1439.2</v>
      </c>
      <c r="P57" s="2" t="s">
        <v>30</v>
      </c>
      <c r="Q57" s="2" t="s">
        <v>18</v>
      </c>
      <c r="R57" s="2">
        <v>0</v>
      </c>
      <c r="S57" s="20">
        <f>Table1[[#This Row],[Net_revenue]]/Table1[[#This Row],[Gross_revenue]]*100%</f>
        <v>0.8</v>
      </c>
      <c r="T57" s="18">
        <f>COUNTIFS(Table1[Customer ID], "&gt;1", Table1[Customer ID], 1)</f>
        <v>0</v>
      </c>
    </row>
    <row r="58" spans="1:20" hidden="1" x14ac:dyDescent="0.3">
      <c r="A58" s="2" t="s">
        <v>163</v>
      </c>
      <c r="B58" s="5">
        <v>45779</v>
      </c>
      <c r="C58" s="5" t="str">
        <f>TEXT(B58,"mmm")</f>
        <v>May</v>
      </c>
      <c r="D58" s="2" t="s">
        <v>164</v>
      </c>
      <c r="E58" s="2" t="s">
        <v>27</v>
      </c>
      <c r="F58" s="2" t="str" cm="1">
        <f t="array" ref="F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8" s="2" t="str" cm="1">
        <f t="array" ref="G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8" s="2" t="s">
        <v>80</v>
      </c>
      <c r="I58" s="2" t="s">
        <v>23</v>
      </c>
      <c r="J58" s="2">
        <v>1</v>
      </c>
      <c r="K58" s="8">
        <v>799</v>
      </c>
      <c r="L58" s="3">
        <v>0.1</v>
      </c>
      <c r="M58" s="12">
        <f>K58*L58</f>
        <v>79.900000000000006</v>
      </c>
      <c r="N58" s="12">
        <f>K58*J58</f>
        <v>799</v>
      </c>
      <c r="O58" s="12">
        <f>N58-M58</f>
        <v>719.1</v>
      </c>
      <c r="P58" s="2" t="s">
        <v>45</v>
      </c>
      <c r="Q58" s="2" t="s">
        <v>18</v>
      </c>
      <c r="R58" s="2">
        <v>60</v>
      </c>
      <c r="S58" s="20">
        <f>Table1[[#This Row],[Net_revenue]]/Table1[[#This Row],[Gross_revenue]]*100%</f>
        <v>0.9</v>
      </c>
      <c r="T58" s="18">
        <f>COUNTIFS(Table1[Customer ID], "&gt;1", Table1[Customer ID], 1)</f>
        <v>0</v>
      </c>
    </row>
    <row r="59" spans="1:20" hidden="1" x14ac:dyDescent="0.3">
      <c r="A59" s="2" t="s">
        <v>165</v>
      </c>
      <c r="B59" s="5">
        <v>45939</v>
      </c>
      <c r="C59" s="5" t="str">
        <f>TEXT(B59,"mmm")</f>
        <v>Oct</v>
      </c>
      <c r="D59" s="2" t="s">
        <v>166</v>
      </c>
      <c r="E59" s="2" t="s">
        <v>27</v>
      </c>
      <c r="F59" s="2" t="str" cm="1">
        <f t="array" ref="F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9" s="2" t="str" cm="1">
        <f t="array" ref="G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9" s="2" t="s">
        <v>22</v>
      </c>
      <c r="I59" s="2" t="s">
        <v>23</v>
      </c>
      <c r="J59" s="2">
        <v>4</v>
      </c>
      <c r="K59" s="8">
        <v>3999</v>
      </c>
      <c r="L59" s="3">
        <v>0.2</v>
      </c>
      <c r="M59" s="12">
        <f>K59*L59</f>
        <v>799.80000000000007</v>
      </c>
      <c r="N59" s="12">
        <f>K59*J59</f>
        <v>15996</v>
      </c>
      <c r="O59" s="12">
        <f>N59-M59</f>
        <v>15196.2</v>
      </c>
      <c r="P59" s="2" t="s">
        <v>30</v>
      </c>
      <c r="Q59" s="2" t="s">
        <v>18</v>
      </c>
      <c r="R59" s="2">
        <v>0</v>
      </c>
      <c r="S59" s="20">
        <f>Table1[[#This Row],[Net_revenue]]/Table1[[#This Row],[Gross_revenue]]*100%</f>
        <v>0.95000000000000007</v>
      </c>
      <c r="T59" s="18">
        <f>COUNTIFS(Table1[Customer ID], "&gt;1", Table1[Customer ID], 1)</f>
        <v>0</v>
      </c>
    </row>
    <row r="60" spans="1:20" hidden="1" x14ac:dyDescent="0.3">
      <c r="A60" s="2" t="s">
        <v>167</v>
      </c>
      <c r="B60" s="5">
        <v>45855</v>
      </c>
      <c r="C60" s="5" t="str">
        <f>TEXT(B60,"mmm")</f>
        <v>Jul</v>
      </c>
      <c r="D60" s="2" t="s">
        <v>168</v>
      </c>
      <c r="E60" s="2" t="s">
        <v>56</v>
      </c>
      <c r="F60" s="2" t="str" cm="1">
        <f t="array" ref="F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0" s="2" t="str" cm="1">
        <f t="array" ref="G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0" s="2" t="s">
        <v>68</v>
      </c>
      <c r="I60" s="2" t="s">
        <v>16</v>
      </c>
      <c r="J60" s="2">
        <v>1</v>
      </c>
      <c r="K60" s="8">
        <v>599</v>
      </c>
      <c r="L60" s="3">
        <v>0.05</v>
      </c>
      <c r="M60" s="12">
        <f>K60*L60</f>
        <v>29.950000000000003</v>
      </c>
      <c r="N60" s="12">
        <f>K60*J60</f>
        <v>599</v>
      </c>
      <c r="O60" s="12">
        <f>N60-M60</f>
        <v>569.04999999999995</v>
      </c>
      <c r="P60" s="2" t="s">
        <v>17</v>
      </c>
      <c r="Q60" s="2" t="s">
        <v>18</v>
      </c>
      <c r="R60" s="2">
        <v>80</v>
      </c>
      <c r="S60" s="20">
        <f>Table1[[#This Row],[Net_revenue]]/Table1[[#This Row],[Gross_revenue]]*100%</f>
        <v>0.95</v>
      </c>
      <c r="T60" s="18">
        <f>COUNTIFS(Table1[Customer ID], "&gt;1", Table1[Customer ID], 1)</f>
        <v>0</v>
      </c>
    </row>
    <row r="61" spans="1:20" hidden="1" x14ac:dyDescent="0.3">
      <c r="A61" s="2" t="s">
        <v>169</v>
      </c>
      <c r="B61" s="5">
        <v>45803</v>
      </c>
      <c r="C61" s="5" t="str">
        <f>TEXT(B61,"mmm")</f>
        <v>May</v>
      </c>
      <c r="D61" s="2" t="s">
        <v>170</v>
      </c>
      <c r="E61" s="2" t="s">
        <v>48</v>
      </c>
      <c r="F61" s="2" t="str" cm="1">
        <f t="array" ref="F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1" s="2" t="str" cm="1">
        <f t="array" ref="G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1" s="2" t="s">
        <v>98</v>
      </c>
      <c r="I61" s="2" t="s">
        <v>37</v>
      </c>
      <c r="J61" s="2">
        <v>2</v>
      </c>
      <c r="K61" s="8">
        <v>299</v>
      </c>
      <c r="L61" s="3">
        <v>0.2</v>
      </c>
      <c r="M61" s="12">
        <f>K61*L61</f>
        <v>59.800000000000004</v>
      </c>
      <c r="N61" s="12">
        <f>K61*J61</f>
        <v>598</v>
      </c>
      <c r="O61" s="12">
        <f>N61-M61</f>
        <v>538.20000000000005</v>
      </c>
      <c r="P61" s="2" t="s">
        <v>45</v>
      </c>
      <c r="Q61" s="2" t="s">
        <v>18</v>
      </c>
      <c r="R61" s="2">
        <v>60</v>
      </c>
      <c r="S61" s="20">
        <f>Table1[[#This Row],[Net_revenue]]/Table1[[#This Row],[Gross_revenue]]*100%</f>
        <v>0.9</v>
      </c>
      <c r="T61" s="18">
        <f>COUNTIFS(Table1[Customer ID], "&gt;1", Table1[Customer ID], 1)</f>
        <v>0</v>
      </c>
    </row>
    <row r="62" spans="1:20" hidden="1" x14ac:dyDescent="0.3">
      <c r="A62" s="2" t="s">
        <v>171</v>
      </c>
      <c r="B62" s="5">
        <v>45671</v>
      </c>
      <c r="C62" s="5" t="str">
        <f>TEXT(B62,"mmm")</f>
        <v>Jan</v>
      </c>
      <c r="D62" s="2" t="s">
        <v>172</v>
      </c>
      <c r="E62" s="2" t="s">
        <v>21</v>
      </c>
      <c r="F62" s="2" t="str" cm="1">
        <f t="array" ref="F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2" s="2" t="str" cm="1">
        <f t="array" ref="G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 s="2" t="s">
        <v>134</v>
      </c>
      <c r="I62" s="2" t="s">
        <v>29</v>
      </c>
      <c r="J62" s="2">
        <v>2</v>
      </c>
      <c r="K62" s="8">
        <v>1499</v>
      </c>
      <c r="L62" s="3">
        <v>0</v>
      </c>
      <c r="M62" s="12">
        <f>K62*L62</f>
        <v>0</v>
      </c>
      <c r="N62" s="12">
        <f>K62*J62</f>
        <v>2998</v>
      </c>
      <c r="O62" s="12">
        <f>N62-M62</f>
        <v>2998</v>
      </c>
      <c r="P62" s="2" t="s">
        <v>30</v>
      </c>
      <c r="Q62" s="2" t="s">
        <v>18</v>
      </c>
      <c r="R62" s="2">
        <v>80</v>
      </c>
      <c r="S62" s="20">
        <f>Table1[[#This Row],[Net_revenue]]/Table1[[#This Row],[Gross_revenue]]*100%</f>
        <v>1</v>
      </c>
      <c r="T62" s="18">
        <f>COUNTIFS(Table1[Customer ID], "&gt;1", Table1[Customer ID], 1)</f>
        <v>0</v>
      </c>
    </row>
    <row r="63" spans="1:20" hidden="1" x14ac:dyDescent="0.3">
      <c r="A63" s="2" t="s">
        <v>173</v>
      </c>
      <c r="B63" s="5">
        <v>45861</v>
      </c>
      <c r="C63" s="5" t="str">
        <f>TEXT(B63,"mmm")</f>
        <v>Jul</v>
      </c>
      <c r="D63" s="2" t="s">
        <v>174</v>
      </c>
      <c r="E63" s="2" t="s">
        <v>21</v>
      </c>
      <c r="F63" s="2" t="str" cm="1">
        <f t="array" ref="F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3" s="2" t="str" cm="1">
        <f t="array" ref="G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3" s="2" t="s">
        <v>22</v>
      </c>
      <c r="I63" s="2" t="s">
        <v>23</v>
      </c>
      <c r="J63" s="2">
        <v>2</v>
      </c>
      <c r="K63" s="8">
        <v>3999</v>
      </c>
      <c r="L63" s="3">
        <v>0</v>
      </c>
      <c r="M63" s="12">
        <f>K63*L63</f>
        <v>0</v>
      </c>
      <c r="N63" s="12">
        <f>K63*J63</f>
        <v>7998</v>
      </c>
      <c r="O63" s="12">
        <f>N63-M63</f>
        <v>7998</v>
      </c>
      <c r="P63" s="2" t="s">
        <v>30</v>
      </c>
      <c r="Q63" s="2" t="s">
        <v>18</v>
      </c>
      <c r="R63" s="2">
        <v>80</v>
      </c>
      <c r="S63" s="20">
        <f>Table1[[#This Row],[Net_revenue]]/Table1[[#This Row],[Gross_revenue]]*100%</f>
        <v>1</v>
      </c>
      <c r="T63" s="18">
        <f>COUNTIFS(Table1[Customer ID], "&gt;1", Table1[Customer ID], 1)</f>
        <v>0</v>
      </c>
    </row>
    <row r="64" spans="1:20" hidden="1" x14ac:dyDescent="0.3">
      <c r="A64" s="2" t="s">
        <v>175</v>
      </c>
      <c r="B64" s="5">
        <v>45782</v>
      </c>
      <c r="C64" s="5" t="str">
        <f>TEXT(B64,"mmm")</f>
        <v>May</v>
      </c>
      <c r="D64" s="2" t="s">
        <v>176</v>
      </c>
      <c r="E64" s="2" t="s">
        <v>21</v>
      </c>
      <c r="F64" s="2" t="str" cm="1">
        <f t="array" ref="F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4" s="2" t="str" cm="1">
        <f t="array" ref="G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4" s="2" t="s">
        <v>134</v>
      </c>
      <c r="I64" s="2" t="s">
        <v>29</v>
      </c>
      <c r="J64" s="2">
        <v>1</v>
      </c>
      <c r="K64" s="8">
        <v>1499</v>
      </c>
      <c r="L64" s="3">
        <v>0</v>
      </c>
      <c r="M64" s="12">
        <f>K64*L64</f>
        <v>0</v>
      </c>
      <c r="N64" s="12">
        <f>K64*J64</f>
        <v>1499</v>
      </c>
      <c r="O64" s="12">
        <f>N64-M64</f>
        <v>1499</v>
      </c>
      <c r="P64" s="2" t="s">
        <v>24</v>
      </c>
      <c r="Q64" s="2" t="s">
        <v>18</v>
      </c>
      <c r="R64" s="2">
        <v>40</v>
      </c>
      <c r="S64" s="20">
        <f>Table1[[#This Row],[Net_revenue]]/Table1[[#This Row],[Gross_revenue]]*100%</f>
        <v>1</v>
      </c>
      <c r="T64" s="18">
        <f>COUNTIFS(Table1[Customer ID], "&gt;1", Table1[Customer ID], 1)</f>
        <v>0</v>
      </c>
    </row>
    <row r="65" spans="1:20" hidden="1" x14ac:dyDescent="0.3">
      <c r="A65" s="2" t="s">
        <v>177</v>
      </c>
      <c r="B65" s="5">
        <v>45683</v>
      </c>
      <c r="C65" s="5" t="str">
        <f>TEXT(B65,"mmm")</f>
        <v>Jan</v>
      </c>
      <c r="D65" s="2" t="s">
        <v>178</v>
      </c>
      <c r="E65" s="2" t="s">
        <v>48</v>
      </c>
      <c r="F65" s="2" t="str" cm="1">
        <f t="array" ref="F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5" s="2" t="str" cm="1">
        <f t="array" ref="G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5" s="2" t="s">
        <v>71</v>
      </c>
      <c r="I65" s="2" t="s">
        <v>29</v>
      </c>
      <c r="J65" s="2">
        <v>1</v>
      </c>
      <c r="K65" s="8">
        <v>5499</v>
      </c>
      <c r="L65" s="3">
        <v>0.2</v>
      </c>
      <c r="M65" s="12">
        <f>K65*L65</f>
        <v>1099.8</v>
      </c>
      <c r="N65" s="12">
        <f>K65*J65</f>
        <v>5499</v>
      </c>
      <c r="O65" s="12">
        <f>N65-M65</f>
        <v>4399.2</v>
      </c>
      <c r="P65" s="2" t="s">
        <v>45</v>
      </c>
      <c r="Q65" s="2" t="s">
        <v>18</v>
      </c>
      <c r="R65" s="2">
        <v>60</v>
      </c>
      <c r="S65" s="20">
        <f>Table1[[#This Row],[Net_revenue]]/Table1[[#This Row],[Gross_revenue]]*100%</f>
        <v>0.79999999999999993</v>
      </c>
      <c r="T65" s="18">
        <f>COUNTIFS(Table1[Customer ID], "&gt;1", Table1[Customer ID], 1)</f>
        <v>0</v>
      </c>
    </row>
    <row r="66" spans="1:20" hidden="1" x14ac:dyDescent="0.3">
      <c r="A66" s="2" t="s">
        <v>179</v>
      </c>
      <c r="B66" s="5">
        <v>45891</v>
      </c>
      <c r="C66" s="5" t="str">
        <f>TEXT(B66,"mmm")</f>
        <v>Aug</v>
      </c>
      <c r="D66" s="2" t="s">
        <v>180</v>
      </c>
      <c r="E66" s="2" t="s">
        <v>14</v>
      </c>
      <c r="F66" s="2" t="str" cm="1">
        <f t="array" ref="F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6" s="2" t="str" cm="1">
        <f t="array" ref="G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6" s="2" t="s">
        <v>44</v>
      </c>
      <c r="I66" s="2" t="s">
        <v>16</v>
      </c>
      <c r="J66" s="2">
        <v>2</v>
      </c>
      <c r="K66" s="8">
        <v>1599</v>
      </c>
      <c r="L66" s="3">
        <v>0.1</v>
      </c>
      <c r="M66" s="12">
        <f>K66*L66</f>
        <v>159.9</v>
      </c>
      <c r="N66" s="12">
        <f>K66*J66</f>
        <v>3198</v>
      </c>
      <c r="O66" s="12">
        <f>N66-M66</f>
        <v>3038.1</v>
      </c>
      <c r="P66" s="2" t="s">
        <v>17</v>
      </c>
      <c r="Q66" s="2" t="s">
        <v>18</v>
      </c>
      <c r="R66" s="2">
        <v>40</v>
      </c>
      <c r="S66" s="20">
        <f>Table1[[#This Row],[Net_revenue]]/Table1[[#This Row],[Gross_revenue]]*100%</f>
        <v>0.95</v>
      </c>
      <c r="T66" s="18">
        <f>COUNTIFS(Table1[Customer ID], "&gt;1", Table1[Customer ID], 1)</f>
        <v>0</v>
      </c>
    </row>
    <row r="67" spans="1:20" hidden="1" x14ac:dyDescent="0.3">
      <c r="A67" s="2" t="s">
        <v>181</v>
      </c>
      <c r="B67" s="5">
        <v>45723</v>
      </c>
      <c r="C67" s="5" t="str">
        <f>TEXT(B67,"mmm")</f>
        <v>Mar</v>
      </c>
      <c r="D67" s="2" t="s">
        <v>182</v>
      </c>
      <c r="E67" s="2" t="s">
        <v>14</v>
      </c>
      <c r="F67" s="2" t="str" cm="1">
        <f t="array" ref="F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7" s="2" t="str" cm="1">
        <f t="array" ref="G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7" s="2" t="s">
        <v>183</v>
      </c>
      <c r="I67" s="2" t="s">
        <v>37</v>
      </c>
      <c r="J67" s="2">
        <v>1</v>
      </c>
      <c r="K67" s="8">
        <v>499</v>
      </c>
      <c r="L67" s="3">
        <v>0.1</v>
      </c>
      <c r="M67" s="12">
        <f>K67*L67</f>
        <v>49.900000000000006</v>
      </c>
      <c r="N67" s="12">
        <f>K67*J67</f>
        <v>499</v>
      </c>
      <c r="O67" s="12">
        <f>N67-M67</f>
        <v>449.1</v>
      </c>
      <c r="P67" s="2" t="s">
        <v>17</v>
      </c>
      <c r="Q67" s="2" t="s">
        <v>18</v>
      </c>
      <c r="R67" s="2">
        <v>60</v>
      </c>
      <c r="S67" s="20">
        <f>Table1[[#This Row],[Net_revenue]]/Table1[[#This Row],[Gross_revenue]]*100%</f>
        <v>0.9</v>
      </c>
      <c r="T67" s="18">
        <f>COUNTIFS(Table1[Customer ID], "&gt;1", Table1[Customer ID], 1)</f>
        <v>0</v>
      </c>
    </row>
    <row r="68" spans="1:20" hidden="1" x14ac:dyDescent="0.3">
      <c r="A68" s="2" t="s">
        <v>184</v>
      </c>
      <c r="B68" s="5">
        <v>46008</v>
      </c>
      <c r="C68" s="5" t="str">
        <f>TEXT(B68,"mmm")</f>
        <v>Dec</v>
      </c>
      <c r="D68" s="2" t="s">
        <v>185</v>
      </c>
      <c r="E68" s="2" t="s">
        <v>75</v>
      </c>
      <c r="F68" s="2" t="str" cm="1">
        <f t="array" ref="F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68" s="2" t="str" cm="1">
        <f t="array" ref="G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8" s="2" t="s">
        <v>65</v>
      </c>
      <c r="I68" s="2" t="s">
        <v>23</v>
      </c>
      <c r="J68" s="2">
        <v>2</v>
      </c>
      <c r="K68" s="8">
        <v>1899</v>
      </c>
      <c r="L68" s="3">
        <v>0.1</v>
      </c>
      <c r="M68" s="12">
        <f>K68*L68</f>
        <v>189.9</v>
      </c>
      <c r="N68" s="12">
        <f>K68*J68</f>
        <v>3798</v>
      </c>
      <c r="O68" s="12">
        <f>N68-M68</f>
        <v>3608.1</v>
      </c>
      <c r="P68" s="2" t="s">
        <v>17</v>
      </c>
      <c r="Q68" s="2" t="s">
        <v>18</v>
      </c>
      <c r="R68" s="2">
        <v>40</v>
      </c>
      <c r="S68" s="20">
        <f>Table1[[#This Row],[Net_revenue]]/Table1[[#This Row],[Gross_revenue]]*100%</f>
        <v>0.95</v>
      </c>
      <c r="T68" s="18">
        <f>COUNTIFS(Table1[Customer ID], "&gt;1", Table1[Customer ID], 1)</f>
        <v>0</v>
      </c>
    </row>
    <row r="69" spans="1:20" hidden="1" x14ac:dyDescent="0.3">
      <c r="A69" s="2" t="s">
        <v>186</v>
      </c>
      <c r="B69" s="5">
        <v>45970</v>
      </c>
      <c r="C69" s="5" t="str">
        <f>TEXT(B69,"mmm")</f>
        <v>Nov</v>
      </c>
      <c r="D69" s="2" t="s">
        <v>187</v>
      </c>
      <c r="E69" s="2" t="s">
        <v>56</v>
      </c>
      <c r="F69" s="2" t="str" cm="1">
        <f t="array" ref="F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9" s="2" t="str" cm="1">
        <f t="array" ref="G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9" s="2" t="s">
        <v>188</v>
      </c>
      <c r="I69" s="2" t="s">
        <v>95</v>
      </c>
      <c r="J69" s="2">
        <v>1</v>
      </c>
      <c r="K69" s="8">
        <v>699</v>
      </c>
      <c r="L69" s="3">
        <v>0.2</v>
      </c>
      <c r="M69" s="12">
        <f>K69*L69</f>
        <v>139.80000000000001</v>
      </c>
      <c r="N69" s="12">
        <f>K69*J69</f>
        <v>699</v>
      </c>
      <c r="O69" s="12">
        <f>N69-M69</f>
        <v>559.20000000000005</v>
      </c>
      <c r="P69" s="2" t="s">
        <v>45</v>
      </c>
      <c r="Q69" s="2" t="s">
        <v>50</v>
      </c>
      <c r="R69" s="2">
        <v>0</v>
      </c>
      <c r="S69" s="20">
        <f>Table1[[#This Row],[Net_revenue]]/Table1[[#This Row],[Gross_revenue]]*100%</f>
        <v>0.8</v>
      </c>
      <c r="T69" s="18">
        <f>COUNTIFS(Table1[Customer ID], "&gt;1", Table1[Customer ID], 1)</f>
        <v>0</v>
      </c>
    </row>
    <row r="70" spans="1:20" hidden="1" x14ac:dyDescent="0.3">
      <c r="A70" s="2" t="s">
        <v>189</v>
      </c>
      <c r="B70" s="5">
        <v>45977</v>
      </c>
      <c r="C70" s="5" t="str">
        <f>TEXT(B70,"mmm")</f>
        <v>Nov</v>
      </c>
      <c r="D70" s="2" t="s">
        <v>190</v>
      </c>
      <c r="E70" s="2" t="s">
        <v>120</v>
      </c>
      <c r="F70" s="2" t="str" cm="1">
        <f t="array" ref="F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0" s="2" t="str" cm="1">
        <f t="array" ref="G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 s="2" t="s">
        <v>121</v>
      </c>
      <c r="I70" s="2" t="s">
        <v>95</v>
      </c>
      <c r="J70" s="2">
        <v>1</v>
      </c>
      <c r="K70" s="8">
        <v>1299</v>
      </c>
      <c r="L70" s="3">
        <v>0.25</v>
      </c>
      <c r="M70" s="12">
        <f>K70*L70</f>
        <v>324.75</v>
      </c>
      <c r="N70" s="12">
        <f>K70*J70</f>
        <v>1299</v>
      </c>
      <c r="O70" s="12">
        <f>N70-M70</f>
        <v>974.25</v>
      </c>
      <c r="P70" s="2" t="s">
        <v>30</v>
      </c>
      <c r="Q70" s="2" t="s">
        <v>18</v>
      </c>
      <c r="R70" s="2">
        <v>0</v>
      </c>
      <c r="S70" s="20">
        <f>Table1[[#This Row],[Net_revenue]]/Table1[[#This Row],[Gross_revenue]]*100%</f>
        <v>0.75</v>
      </c>
      <c r="T70" s="18">
        <f>COUNTIFS(Table1[Customer ID], "&gt;1", Table1[Customer ID], 1)</f>
        <v>0</v>
      </c>
    </row>
    <row r="71" spans="1:20" hidden="1" x14ac:dyDescent="0.3">
      <c r="A71" s="2" t="s">
        <v>191</v>
      </c>
      <c r="B71" s="5">
        <v>45977</v>
      </c>
      <c r="C71" s="5" t="str">
        <f>TEXT(B71,"mmm")</f>
        <v>Nov</v>
      </c>
      <c r="D71" s="2" t="s">
        <v>192</v>
      </c>
      <c r="E71" s="2" t="s">
        <v>14</v>
      </c>
      <c r="F71" s="2" t="str" cm="1">
        <f t="array" ref="F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1" s="2" t="str" cm="1">
        <f t="array" ref="G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1" s="2" t="s">
        <v>94</v>
      </c>
      <c r="I71" s="2" t="s">
        <v>95</v>
      </c>
      <c r="J71" s="2">
        <v>1</v>
      </c>
      <c r="K71" s="8">
        <v>399</v>
      </c>
      <c r="L71" s="3">
        <v>0.1</v>
      </c>
      <c r="M71" s="12">
        <f>K71*L71</f>
        <v>39.900000000000006</v>
      </c>
      <c r="N71" s="12">
        <f>K71*J71</f>
        <v>399</v>
      </c>
      <c r="O71" s="12">
        <f>N71-M71</f>
        <v>359.1</v>
      </c>
      <c r="P71" s="2" t="s">
        <v>45</v>
      </c>
      <c r="Q71" s="2" t="s">
        <v>18</v>
      </c>
      <c r="R71" s="2">
        <v>60</v>
      </c>
      <c r="S71" s="20">
        <f>Table1[[#This Row],[Net_revenue]]/Table1[[#This Row],[Gross_revenue]]*100%</f>
        <v>0.9</v>
      </c>
      <c r="T71" s="18">
        <f>COUNTIFS(Table1[Customer ID], "&gt;1", Table1[Customer ID], 1)</f>
        <v>0</v>
      </c>
    </row>
    <row r="72" spans="1:20" hidden="1" x14ac:dyDescent="0.3">
      <c r="A72" s="2" t="s">
        <v>193</v>
      </c>
      <c r="B72" s="5">
        <v>45752</v>
      </c>
      <c r="C72" s="5" t="str">
        <f>TEXT(B72,"mmm")</f>
        <v>Apr</v>
      </c>
      <c r="D72" s="2" t="s">
        <v>194</v>
      </c>
      <c r="E72" s="2" t="s">
        <v>195</v>
      </c>
      <c r="F72" s="2" t="str" cm="1">
        <f t="array" ref="F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72" s="2" t="str" cm="1">
        <f t="array" ref="G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2" s="2" t="s">
        <v>117</v>
      </c>
      <c r="I72" s="2" t="s">
        <v>23</v>
      </c>
      <c r="J72" s="2">
        <v>2</v>
      </c>
      <c r="K72" s="8">
        <v>2199</v>
      </c>
      <c r="L72" s="3">
        <v>0.2</v>
      </c>
      <c r="M72" s="12">
        <f>K72*L72</f>
        <v>439.8</v>
      </c>
      <c r="N72" s="12">
        <f>K72*J72</f>
        <v>4398</v>
      </c>
      <c r="O72" s="12">
        <f>N72-M72</f>
        <v>3958.2</v>
      </c>
      <c r="P72" s="2" t="s">
        <v>45</v>
      </c>
      <c r="Q72" s="2" t="s">
        <v>18</v>
      </c>
      <c r="R72" s="2">
        <v>0</v>
      </c>
      <c r="S72" s="20">
        <f>Table1[[#This Row],[Net_revenue]]/Table1[[#This Row],[Gross_revenue]]*100%</f>
        <v>0.89999999999999991</v>
      </c>
      <c r="T72" s="18">
        <f>COUNTIFS(Table1[Customer ID], "&gt;1", Table1[Customer ID], 1)</f>
        <v>0</v>
      </c>
    </row>
    <row r="73" spans="1:20" hidden="1" x14ac:dyDescent="0.3">
      <c r="A73" s="2" t="s">
        <v>196</v>
      </c>
      <c r="B73" s="5">
        <v>45906</v>
      </c>
      <c r="C73" s="5" t="str">
        <f>TEXT(B73,"mmm")</f>
        <v>Sep</v>
      </c>
      <c r="D73" s="2" t="s">
        <v>197</v>
      </c>
      <c r="E73" s="2" t="s">
        <v>40</v>
      </c>
      <c r="F73" s="2" t="str" cm="1">
        <f t="array" ref="F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3" s="2" t="str" cm="1">
        <f t="array" ref="G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3" s="2" t="s">
        <v>15</v>
      </c>
      <c r="I73" s="2" t="s">
        <v>16</v>
      </c>
      <c r="J73" s="2">
        <v>1</v>
      </c>
      <c r="K73" s="8">
        <v>1799</v>
      </c>
      <c r="L73" s="3">
        <v>0.25</v>
      </c>
      <c r="M73" s="12">
        <f>K73*L73</f>
        <v>449.75</v>
      </c>
      <c r="N73" s="12">
        <f>K73*J73</f>
        <v>1799</v>
      </c>
      <c r="O73" s="12">
        <f>N73-M73</f>
        <v>1349.25</v>
      </c>
      <c r="P73" s="2" t="s">
        <v>30</v>
      </c>
      <c r="Q73" s="2" t="s">
        <v>18</v>
      </c>
      <c r="R73" s="2">
        <v>0</v>
      </c>
      <c r="S73" s="20">
        <f>Table1[[#This Row],[Net_revenue]]/Table1[[#This Row],[Gross_revenue]]*100%</f>
        <v>0.75</v>
      </c>
      <c r="T73" s="18">
        <f>COUNTIFS(Table1[Customer ID], "&gt;1", Table1[Customer ID], 1)</f>
        <v>0</v>
      </c>
    </row>
    <row r="74" spans="1:20" hidden="1" x14ac:dyDescent="0.3">
      <c r="A74" s="2" t="s">
        <v>198</v>
      </c>
      <c r="B74" s="5">
        <v>46013</v>
      </c>
      <c r="C74" s="5" t="str">
        <f>TEXT(B74,"mmm")</f>
        <v>Dec</v>
      </c>
      <c r="D74" s="2" t="s">
        <v>199</v>
      </c>
      <c r="E74" s="2" t="s">
        <v>27</v>
      </c>
      <c r="F74" s="2" t="str" cm="1">
        <f t="array" ref="F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4" s="2" t="str" cm="1">
        <f t="array" ref="G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4" s="2" t="s">
        <v>89</v>
      </c>
      <c r="I74" s="2" t="s">
        <v>29</v>
      </c>
      <c r="J74" s="2">
        <v>1</v>
      </c>
      <c r="K74" s="8">
        <v>449</v>
      </c>
      <c r="L74" s="3">
        <v>0.15</v>
      </c>
      <c r="M74" s="12">
        <f>K74*L74</f>
        <v>67.349999999999994</v>
      </c>
      <c r="N74" s="12">
        <f>K74*J74</f>
        <v>449</v>
      </c>
      <c r="O74" s="12">
        <f>N74-M74</f>
        <v>381.65</v>
      </c>
      <c r="P74" s="2" t="s">
        <v>45</v>
      </c>
      <c r="Q74" s="2" t="s">
        <v>18</v>
      </c>
      <c r="R74" s="2">
        <v>0</v>
      </c>
      <c r="S74" s="20">
        <f>Table1[[#This Row],[Net_revenue]]/Table1[[#This Row],[Gross_revenue]]*100%</f>
        <v>0.85</v>
      </c>
      <c r="T74" s="18">
        <f>COUNTIFS(Table1[Customer ID], "&gt;1", Table1[Customer ID], 1)</f>
        <v>0</v>
      </c>
    </row>
    <row r="75" spans="1:20" hidden="1" x14ac:dyDescent="0.3">
      <c r="A75" s="2" t="s">
        <v>200</v>
      </c>
      <c r="B75" s="5">
        <v>45949</v>
      </c>
      <c r="C75" s="5" t="str">
        <f>TEXT(B75,"mmm")</f>
        <v>Oct</v>
      </c>
      <c r="D75" s="2" t="s">
        <v>201</v>
      </c>
      <c r="E75" s="2" t="s">
        <v>48</v>
      </c>
      <c r="F75" s="2" t="str" cm="1">
        <f t="array" ref="F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5" s="2" t="str" cm="1">
        <f t="array" ref="G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 s="2" t="s">
        <v>49</v>
      </c>
      <c r="I75" s="2" t="s">
        <v>23</v>
      </c>
      <c r="J75" s="2">
        <v>1</v>
      </c>
      <c r="K75" s="8">
        <v>1299</v>
      </c>
      <c r="L75" s="3">
        <v>0.1</v>
      </c>
      <c r="M75" s="12">
        <f>K75*L75</f>
        <v>129.9</v>
      </c>
      <c r="N75" s="12">
        <f>K75*J75</f>
        <v>1299</v>
      </c>
      <c r="O75" s="12">
        <f>N75-M75</f>
        <v>1169.0999999999999</v>
      </c>
      <c r="P75" s="2" t="s">
        <v>45</v>
      </c>
      <c r="Q75" s="2" t="s">
        <v>18</v>
      </c>
      <c r="R75" s="2">
        <v>40</v>
      </c>
      <c r="S75" s="20">
        <f>Table1[[#This Row],[Net_revenue]]/Table1[[#This Row],[Gross_revenue]]*100%</f>
        <v>0.89999999999999991</v>
      </c>
      <c r="T75" s="18">
        <f>COUNTIFS(Table1[Customer ID], "&gt;1", Table1[Customer ID], 1)</f>
        <v>0</v>
      </c>
    </row>
    <row r="76" spans="1:20" hidden="1" x14ac:dyDescent="0.3">
      <c r="A76" s="2" t="s">
        <v>202</v>
      </c>
      <c r="B76" s="5">
        <v>45670</v>
      </c>
      <c r="C76" s="5" t="str">
        <f>TEXT(B76,"mmm")</f>
        <v>Jan</v>
      </c>
      <c r="D76" s="2" t="s">
        <v>140</v>
      </c>
      <c r="E76" s="2" t="s">
        <v>120</v>
      </c>
      <c r="F76" s="2" t="str" cm="1">
        <f t="array" ref="F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6" s="2" t="str" cm="1">
        <f t="array" ref="G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6" s="2" t="s">
        <v>22</v>
      </c>
      <c r="I76" s="2" t="s">
        <v>23</v>
      </c>
      <c r="J76" s="2">
        <v>2</v>
      </c>
      <c r="K76" s="8">
        <v>3999</v>
      </c>
      <c r="L76" s="3">
        <v>0.15</v>
      </c>
      <c r="M76" s="12">
        <f>K76*L76</f>
        <v>599.85</v>
      </c>
      <c r="N76" s="12">
        <f>K76*J76</f>
        <v>7998</v>
      </c>
      <c r="O76" s="12">
        <f>N76-M76</f>
        <v>7398.15</v>
      </c>
      <c r="P76" s="2" t="s">
        <v>45</v>
      </c>
      <c r="Q76" s="2" t="s">
        <v>18</v>
      </c>
      <c r="R76" s="2">
        <v>80</v>
      </c>
      <c r="S76" s="20">
        <f>Table1[[#This Row],[Net_revenue]]/Table1[[#This Row],[Gross_revenue]]*100%</f>
        <v>0.92499999999999993</v>
      </c>
      <c r="T76" s="18">
        <f>COUNTIFS(Table1[Customer ID], "&gt;1", Table1[Customer ID], 1)</f>
        <v>0</v>
      </c>
    </row>
    <row r="77" spans="1:20" hidden="1" x14ac:dyDescent="0.3">
      <c r="A77" s="2" t="s">
        <v>203</v>
      </c>
      <c r="B77" s="5">
        <v>45955</v>
      </c>
      <c r="C77" s="5" t="str">
        <f>TEXT(B77,"mmm")</f>
        <v>Oct</v>
      </c>
      <c r="D77" s="2" t="s">
        <v>86</v>
      </c>
      <c r="E77" s="2" t="s">
        <v>40</v>
      </c>
      <c r="F77" s="2" t="str" cm="1">
        <f t="array" ref="F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7" s="2" t="str" cm="1">
        <f t="array" ref="G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7" s="2" t="s">
        <v>15</v>
      </c>
      <c r="I77" s="2" t="s">
        <v>16</v>
      </c>
      <c r="J77" s="2">
        <v>3</v>
      </c>
      <c r="K77" s="8">
        <v>1799</v>
      </c>
      <c r="L77" s="3">
        <v>0.25</v>
      </c>
      <c r="M77" s="12">
        <f>K77*L77</f>
        <v>449.75</v>
      </c>
      <c r="N77" s="12">
        <f>K77*J77</f>
        <v>5397</v>
      </c>
      <c r="O77" s="12">
        <f>N77-M77</f>
        <v>4947.25</v>
      </c>
      <c r="P77" s="2" t="s">
        <v>45</v>
      </c>
      <c r="Q77" s="2" t="s">
        <v>18</v>
      </c>
      <c r="R77" s="2">
        <v>40</v>
      </c>
      <c r="S77" s="20">
        <f>Table1[[#This Row],[Net_revenue]]/Table1[[#This Row],[Gross_revenue]]*100%</f>
        <v>0.91666666666666663</v>
      </c>
      <c r="T77" s="18">
        <f>COUNTIFS(Table1[Customer ID], "&gt;1", Table1[Customer ID], 1)</f>
        <v>0</v>
      </c>
    </row>
    <row r="78" spans="1:20" hidden="1" x14ac:dyDescent="0.3">
      <c r="A78" s="2" t="s">
        <v>204</v>
      </c>
      <c r="B78" s="5">
        <v>45991</v>
      </c>
      <c r="C78" s="5" t="str">
        <f>TEXT(B78,"mmm")</f>
        <v>Nov</v>
      </c>
      <c r="D78" s="2" t="s">
        <v>205</v>
      </c>
      <c r="E78" s="2" t="s">
        <v>21</v>
      </c>
      <c r="F78" s="2" t="str" cm="1">
        <f t="array" ref="F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8" s="2" t="str" cm="1">
        <f t="array" ref="G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8" s="2" t="s">
        <v>68</v>
      </c>
      <c r="I78" s="2" t="s">
        <v>16</v>
      </c>
      <c r="J78" s="2">
        <v>1</v>
      </c>
      <c r="K78" s="8">
        <v>599</v>
      </c>
      <c r="L78" s="3">
        <v>0.2</v>
      </c>
      <c r="M78" s="12">
        <f>K78*L78</f>
        <v>119.80000000000001</v>
      </c>
      <c r="N78" s="12">
        <f>K78*J78</f>
        <v>599</v>
      </c>
      <c r="O78" s="12">
        <f>N78-M78</f>
        <v>479.2</v>
      </c>
      <c r="P78" s="2" t="s">
        <v>45</v>
      </c>
      <c r="Q78" s="2" t="s">
        <v>18</v>
      </c>
      <c r="R78" s="2">
        <v>0</v>
      </c>
      <c r="S78" s="20">
        <f>Table1[[#This Row],[Net_revenue]]/Table1[[#This Row],[Gross_revenue]]*100%</f>
        <v>0.79999999999999993</v>
      </c>
      <c r="T78" s="18">
        <f>COUNTIFS(Table1[Customer ID], "&gt;1", Table1[Customer ID], 1)</f>
        <v>0</v>
      </c>
    </row>
    <row r="79" spans="1:20" hidden="1" x14ac:dyDescent="0.3">
      <c r="A79" s="2" t="s">
        <v>206</v>
      </c>
      <c r="B79" s="5">
        <v>45671</v>
      </c>
      <c r="C79" s="5" t="str">
        <f>TEXT(B79,"mmm")</f>
        <v>Jan</v>
      </c>
      <c r="D79" s="2" t="s">
        <v>207</v>
      </c>
      <c r="E79" s="2" t="s">
        <v>40</v>
      </c>
      <c r="F79" s="2" t="str" cm="1">
        <f t="array" ref="F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9" s="2" t="str" cm="1">
        <f t="array" ref="G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9" s="2" t="s">
        <v>188</v>
      </c>
      <c r="I79" s="2" t="s">
        <v>95</v>
      </c>
      <c r="J79" s="2">
        <v>1</v>
      </c>
      <c r="K79" s="8">
        <v>699</v>
      </c>
      <c r="L79" s="3">
        <v>0.05</v>
      </c>
      <c r="M79" s="12">
        <f>K79*L79</f>
        <v>34.950000000000003</v>
      </c>
      <c r="N79" s="12">
        <f>K79*J79</f>
        <v>699</v>
      </c>
      <c r="O79" s="12">
        <f>N79-M79</f>
        <v>664.05</v>
      </c>
      <c r="P79" s="2" t="s">
        <v>45</v>
      </c>
      <c r="Q79" s="2" t="s">
        <v>18</v>
      </c>
      <c r="R79" s="2">
        <v>60</v>
      </c>
      <c r="S79" s="20">
        <f>Table1[[#This Row],[Net_revenue]]/Table1[[#This Row],[Gross_revenue]]*100%</f>
        <v>0.95</v>
      </c>
      <c r="T79" s="18">
        <f>COUNTIFS(Table1[Customer ID], "&gt;1", Table1[Customer ID], 1)</f>
        <v>0</v>
      </c>
    </row>
    <row r="80" spans="1:20" hidden="1" x14ac:dyDescent="0.3">
      <c r="A80" s="2" t="s">
        <v>208</v>
      </c>
      <c r="B80" s="5">
        <v>45837</v>
      </c>
      <c r="C80" s="5" t="str">
        <f>TEXT(B80,"mmm")</f>
        <v>Jun</v>
      </c>
      <c r="D80" s="2" t="s">
        <v>209</v>
      </c>
      <c r="E80" s="2" t="s">
        <v>56</v>
      </c>
      <c r="F80" s="2" t="str" cm="1">
        <f t="array" ref="F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0" s="2" t="str" cm="1">
        <f t="array" ref="G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0" s="2" t="s">
        <v>89</v>
      </c>
      <c r="I80" s="2" t="s">
        <v>29</v>
      </c>
      <c r="J80" s="2">
        <v>3</v>
      </c>
      <c r="K80" s="8">
        <v>449</v>
      </c>
      <c r="L80" s="3">
        <v>0.15</v>
      </c>
      <c r="M80" s="12">
        <f>K80*L80</f>
        <v>67.349999999999994</v>
      </c>
      <c r="N80" s="12">
        <f>K80*J80</f>
        <v>1347</v>
      </c>
      <c r="O80" s="12">
        <f>N80-M80</f>
        <v>1279.6500000000001</v>
      </c>
      <c r="P80" s="2" t="s">
        <v>17</v>
      </c>
      <c r="Q80" s="2" t="s">
        <v>18</v>
      </c>
      <c r="R80" s="2">
        <v>0</v>
      </c>
      <c r="S80" s="20">
        <f>Table1[[#This Row],[Net_revenue]]/Table1[[#This Row],[Gross_revenue]]*100%</f>
        <v>0.95000000000000007</v>
      </c>
      <c r="T80" s="18">
        <f>COUNTIFS(Table1[Customer ID], "&gt;1", Table1[Customer ID], 1)</f>
        <v>0</v>
      </c>
    </row>
    <row r="81" spans="1:20" x14ac:dyDescent="0.3">
      <c r="A81" s="2" t="s">
        <v>210</v>
      </c>
      <c r="B81" s="5">
        <v>45868</v>
      </c>
      <c r="C81" s="5" t="str">
        <f>TEXT(B81,"mmm")</f>
        <v>Jul</v>
      </c>
      <c r="D81" s="2" t="s">
        <v>211</v>
      </c>
      <c r="E81" s="2"/>
      <c r="F81" s="2" t="str" cm="1">
        <f t="array" ref="F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81" s="2" t="str" cm="1">
        <f t="array" ref="G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81" s="2" t="s">
        <v>71</v>
      </c>
      <c r="I81" s="2" t="s">
        <v>29</v>
      </c>
      <c r="J81" s="2">
        <v>3</v>
      </c>
      <c r="K81" s="8">
        <v>5499</v>
      </c>
      <c r="L81" s="3">
        <v>0.15</v>
      </c>
      <c r="M81" s="12">
        <f>K81*L81</f>
        <v>824.85</v>
      </c>
      <c r="N81" s="12">
        <f>K81*J81</f>
        <v>16497</v>
      </c>
      <c r="O81" s="12">
        <f>N81-M81</f>
        <v>15672.15</v>
      </c>
      <c r="P81" s="2" t="s">
        <v>24</v>
      </c>
      <c r="Q81" s="2" t="s">
        <v>18</v>
      </c>
      <c r="R81" s="2">
        <v>0</v>
      </c>
      <c r="S81" s="20">
        <f>Table1[[#This Row],[Net_revenue]]/Table1[[#This Row],[Gross_revenue]]*100%</f>
        <v>0.95</v>
      </c>
      <c r="T81" s="18">
        <f>COUNTIFS(Table1[Customer ID], "&gt;1", Table1[Customer ID], 1)</f>
        <v>0</v>
      </c>
    </row>
    <row r="82" spans="1:20" hidden="1" x14ac:dyDescent="0.3">
      <c r="A82" s="2" t="s">
        <v>212</v>
      </c>
      <c r="B82" s="5">
        <v>45714</v>
      </c>
      <c r="C82" s="5" t="str">
        <f>TEXT(B82,"mmm")</f>
        <v>Feb</v>
      </c>
      <c r="D82" s="2" t="s">
        <v>213</v>
      </c>
      <c r="E82" s="2" t="s">
        <v>120</v>
      </c>
      <c r="F82" s="2" t="str" cm="1">
        <f t="array" ref="F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2" s="2" t="str" cm="1">
        <f t="array" ref="G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2" s="2" t="s">
        <v>68</v>
      </c>
      <c r="I82" s="2" t="s">
        <v>16</v>
      </c>
      <c r="J82" s="2">
        <v>4</v>
      </c>
      <c r="K82" s="8">
        <v>599</v>
      </c>
      <c r="L82" s="3">
        <v>0.2</v>
      </c>
      <c r="M82" s="12">
        <f>K82*L82</f>
        <v>119.80000000000001</v>
      </c>
      <c r="N82" s="12">
        <f>K82*J82</f>
        <v>2396</v>
      </c>
      <c r="O82" s="12">
        <f>N82-M82</f>
        <v>2276.1999999999998</v>
      </c>
      <c r="P82" s="2" t="s">
        <v>24</v>
      </c>
      <c r="Q82" s="2" t="s">
        <v>18</v>
      </c>
      <c r="R82" s="2">
        <v>80</v>
      </c>
      <c r="S82" s="20">
        <f>Table1[[#This Row],[Net_revenue]]/Table1[[#This Row],[Gross_revenue]]*100%</f>
        <v>0.95</v>
      </c>
      <c r="T82" s="18">
        <f>COUNTIFS(Table1[Customer ID], "&gt;1", Table1[Customer ID], 1)</f>
        <v>0</v>
      </c>
    </row>
    <row r="83" spans="1:20" hidden="1" x14ac:dyDescent="0.3">
      <c r="A83" s="2" t="s">
        <v>214</v>
      </c>
      <c r="B83" s="5">
        <v>45762</v>
      </c>
      <c r="C83" s="5" t="str">
        <f>TEXT(B83,"mmm")</f>
        <v>Apr</v>
      </c>
      <c r="D83" s="2" t="s">
        <v>215</v>
      </c>
      <c r="E83" s="2" t="s">
        <v>48</v>
      </c>
      <c r="F83" s="2" t="str" cm="1">
        <f t="array" ref="F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3" s="2" t="str" cm="1">
        <f t="array" ref="G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3" s="2" t="s">
        <v>134</v>
      </c>
      <c r="I83" s="2" t="s">
        <v>29</v>
      </c>
      <c r="J83" s="2">
        <v>1</v>
      </c>
      <c r="K83" s="8">
        <v>1499</v>
      </c>
      <c r="L83" s="3">
        <v>0.2</v>
      </c>
      <c r="M83" s="12">
        <f>K83*L83</f>
        <v>299.8</v>
      </c>
      <c r="N83" s="12">
        <f>K83*J83</f>
        <v>1499</v>
      </c>
      <c r="O83" s="12">
        <f>N83-M83</f>
        <v>1199.2</v>
      </c>
      <c r="P83" s="2" t="s">
        <v>30</v>
      </c>
      <c r="Q83" s="2" t="s">
        <v>18</v>
      </c>
      <c r="R83" s="2">
        <v>60</v>
      </c>
      <c r="S83" s="20">
        <f>Table1[[#This Row],[Net_revenue]]/Table1[[#This Row],[Gross_revenue]]*100%</f>
        <v>0.8</v>
      </c>
      <c r="T83" s="18">
        <f>COUNTIFS(Table1[Customer ID], "&gt;1", Table1[Customer ID], 1)</f>
        <v>0</v>
      </c>
    </row>
    <row r="84" spans="1:20" hidden="1" x14ac:dyDescent="0.3">
      <c r="A84" s="2" t="s">
        <v>216</v>
      </c>
      <c r="B84" s="5">
        <v>45689</v>
      </c>
      <c r="C84" s="5" t="str">
        <f>TEXT(B84,"mmm")</f>
        <v>Feb</v>
      </c>
      <c r="D84" s="2" t="s">
        <v>106</v>
      </c>
      <c r="E84" s="2" t="s">
        <v>40</v>
      </c>
      <c r="F84" s="2" t="str" cm="1">
        <f t="array" ref="F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4" s="2" t="str" cm="1">
        <f t="array" ref="G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4" s="2" t="s">
        <v>217</v>
      </c>
      <c r="I84" s="2" t="s">
        <v>29</v>
      </c>
      <c r="J84" s="2">
        <v>1</v>
      </c>
      <c r="K84" s="8">
        <v>3299</v>
      </c>
      <c r="L84" s="3">
        <v>0.25</v>
      </c>
      <c r="M84" s="12">
        <f>K84*L84</f>
        <v>824.75</v>
      </c>
      <c r="N84" s="12">
        <f>K84*J84</f>
        <v>3299</v>
      </c>
      <c r="O84" s="12">
        <f>N84-M84</f>
        <v>2474.25</v>
      </c>
      <c r="P84" s="2" t="s">
        <v>45</v>
      </c>
      <c r="Q84" s="2" t="s">
        <v>18</v>
      </c>
      <c r="R84" s="2">
        <v>60</v>
      </c>
      <c r="S84" s="20">
        <f>Table1[[#This Row],[Net_revenue]]/Table1[[#This Row],[Gross_revenue]]*100%</f>
        <v>0.75</v>
      </c>
      <c r="T84" s="18">
        <f>COUNTIFS(Table1[Customer ID], "&gt;1", Table1[Customer ID], 1)</f>
        <v>0</v>
      </c>
    </row>
    <row r="85" spans="1:20" hidden="1" x14ac:dyDescent="0.3">
      <c r="A85" s="2" t="s">
        <v>218</v>
      </c>
      <c r="B85" s="5">
        <v>45965</v>
      </c>
      <c r="C85" s="5" t="str">
        <f>TEXT(B85,"mmm")</f>
        <v>Nov</v>
      </c>
      <c r="D85" s="2" t="s">
        <v>219</v>
      </c>
      <c r="E85" s="2" t="s">
        <v>21</v>
      </c>
      <c r="F85" s="2" t="str" cm="1">
        <f t="array" ref="F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5" s="2" t="str" cm="1">
        <f t="array" ref="G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5" s="2" t="s">
        <v>63</v>
      </c>
      <c r="I85" s="2" t="s">
        <v>23</v>
      </c>
      <c r="J85" s="2">
        <v>1</v>
      </c>
      <c r="K85" s="8">
        <v>2499</v>
      </c>
      <c r="L85" s="3">
        <v>0.1</v>
      </c>
      <c r="M85" s="12">
        <f>K85*L85</f>
        <v>249.9</v>
      </c>
      <c r="N85" s="12">
        <f>K85*J85</f>
        <v>2499</v>
      </c>
      <c r="O85" s="12">
        <f>N85-M85</f>
        <v>2249.1</v>
      </c>
      <c r="P85" s="2" t="s">
        <v>30</v>
      </c>
      <c r="Q85" s="2" t="s">
        <v>18</v>
      </c>
      <c r="R85" s="2">
        <v>60</v>
      </c>
      <c r="S85" s="20">
        <f>Table1[[#This Row],[Net_revenue]]/Table1[[#This Row],[Gross_revenue]]*100%</f>
        <v>0.89999999999999991</v>
      </c>
      <c r="T85" s="18">
        <f>COUNTIFS(Table1[Customer ID], "&gt;1", Table1[Customer ID], 1)</f>
        <v>0</v>
      </c>
    </row>
    <row r="86" spans="1:20" hidden="1" x14ac:dyDescent="0.3">
      <c r="A86" s="2" t="s">
        <v>220</v>
      </c>
      <c r="B86" s="5">
        <v>45903</v>
      </c>
      <c r="C86" s="5" t="str">
        <f>TEXT(B86,"mmm")</f>
        <v>Sep</v>
      </c>
      <c r="D86" s="2" t="s">
        <v>116</v>
      </c>
      <c r="E86" s="2" t="s">
        <v>27</v>
      </c>
      <c r="F86" s="2" t="str" cm="1">
        <f t="array" ref="F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6" s="2" t="str" cm="1">
        <f t="array" ref="G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6" s="2" t="s">
        <v>28</v>
      </c>
      <c r="I86" s="2" t="s">
        <v>29</v>
      </c>
      <c r="J86" s="2">
        <v>1</v>
      </c>
      <c r="K86" s="8">
        <v>2799</v>
      </c>
      <c r="L86" s="3">
        <v>0.1</v>
      </c>
      <c r="M86" s="12">
        <f>K86*L86</f>
        <v>279.90000000000003</v>
      </c>
      <c r="N86" s="12">
        <f>K86*J86</f>
        <v>2799</v>
      </c>
      <c r="O86" s="12">
        <f>N86-M86</f>
        <v>2519.1</v>
      </c>
      <c r="P86" s="2" t="s">
        <v>30</v>
      </c>
      <c r="Q86" s="2" t="s">
        <v>18</v>
      </c>
      <c r="R86" s="2">
        <v>0</v>
      </c>
      <c r="S86" s="20">
        <f>Table1[[#This Row],[Net_revenue]]/Table1[[#This Row],[Gross_revenue]]*100%</f>
        <v>0.9</v>
      </c>
      <c r="T86" s="18">
        <f>COUNTIFS(Table1[Customer ID], "&gt;1", Table1[Customer ID], 1)</f>
        <v>0</v>
      </c>
    </row>
    <row r="87" spans="1:20" hidden="1" x14ac:dyDescent="0.3">
      <c r="A87" s="2" t="s">
        <v>221</v>
      </c>
      <c r="B87" s="5">
        <v>45862</v>
      </c>
      <c r="C87" s="5" t="str">
        <f>TEXT(B87,"mmm")</f>
        <v>Jul</v>
      </c>
      <c r="D87" s="2" t="s">
        <v>222</v>
      </c>
      <c r="E87" s="2" t="s">
        <v>53</v>
      </c>
      <c r="F87" s="2" t="str" cm="1">
        <f t="array" ref="F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87" s="2" t="str" cm="1">
        <f t="array" ref="G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7" s="2" t="s">
        <v>33</v>
      </c>
      <c r="I87" s="2" t="s">
        <v>16</v>
      </c>
      <c r="J87" s="2">
        <v>1</v>
      </c>
      <c r="K87" s="8">
        <v>899</v>
      </c>
      <c r="L87" s="3">
        <v>0</v>
      </c>
      <c r="M87" s="12">
        <f>K87*L87</f>
        <v>0</v>
      </c>
      <c r="N87" s="12">
        <f>K87*J87</f>
        <v>899</v>
      </c>
      <c r="O87" s="12">
        <f>N87-M87</f>
        <v>899</v>
      </c>
      <c r="P87" s="2" t="s">
        <v>30</v>
      </c>
      <c r="Q87" s="2" t="s">
        <v>72</v>
      </c>
      <c r="R87" s="2">
        <v>60</v>
      </c>
      <c r="S87" s="20">
        <f>Table1[[#This Row],[Net_revenue]]/Table1[[#This Row],[Gross_revenue]]*100%</f>
        <v>1</v>
      </c>
      <c r="T87" s="18">
        <f>COUNTIFS(Table1[Customer ID], "&gt;1", Table1[Customer ID], 1)</f>
        <v>0</v>
      </c>
    </row>
    <row r="88" spans="1:20" hidden="1" x14ac:dyDescent="0.3">
      <c r="A88" s="2" t="s">
        <v>223</v>
      </c>
      <c r="B88" s="5">
        <v>45994</v>
      </c>
      <c r="C88" s="5" t="str">
        <f>TEXT(B88,"mmm")</f>
        <v>Dec</v>
      </c>
      <c r="D88" s="2" t="s">
        <v>224</v>
      </c>
      <c r="E88" s="2" t="s">
        <v>48</v>
      </c>
      <c r="F88" s="2" t="str" cm="1">
        <f t="array" ref="F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8" s="2" t="str" cm="1">
        <f t="array" ref="G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8" s="2" t="s">
        <v>71</v>
      </c>
      <c r="I88" s="2" t="s">
        <v>29</v>
      </c>
      <c r="J88" s="2">
        <v>3</v>
      </c>
      <c r="K88" s="8">
        <v>5499</v>
      </c>
      <c r="L88" s="3">
        <v>0.1</v>
      </c>
      <c r="M88" s="12">
        <f>K88*L88</f>
        <v>549.9</v>
      </c>
      <c r="N88" s="12">
        <f>K88*J88</f>
        <v>16497</v>
      </c>
      <c r="O88" s="12">
        <f>N88-M88</f>
        <v>15947.1</v>
      </c>
      <c r="P88" s="2" t="s">
        <v>45</v>
      </c>
      <c r="Q88" s="2" t="s">
        <v>18</v>
      </c>
      <c r="R88" s="2">
        <v>80</v>
      </c>
      <c r="S88" s="20">
        <f>Table1[[#This Row],[Net_revenue]]/Table1[[#This Row],[Gross_revenue]]*100%</f>
        <v>0.96666666666666667</v>
      </c>
      <c r="T88" s="18">
        <f>COUNTIFS(Table1[Customer ID], "&gt;1", Table1[Customer ID], 1)</f>
        <v>0</v>
      </c>
    </row>
    <row r="89" spans="1:20" hidden="1" x14ac:dyDescent="0.3">
      <c r="A89" s="2" t="s">
        <v>225</v>
      </c>
      <c r="B89" s="5">
        <v>45870</v>
      </c>
      <c r="C89" s="5" t="str">
        <f>TEXT(B89,"mmm")</f>
        <v>Aug</v>
      </c>
      <c r="D89" s="2" t="s">
        <v>226</v>
      </c>
      <c r="E89" s="2" t="s">
        <v>21</v>
      </c>
      <c r="F89" s="2" t="str" cm="1">
        <f t="array" ref="F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9" s="2" t="str" cm="1">
        <f t="array" ref="G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9" s="2" t="s">
        <v>217</v>
      </c>
      <c r="I89" s="2" t="s">
        <v>29</v>
      </c>
      <c r="J89" s="2">
        <v>2</v>
      </c>
      <c r="K89" s="8">
        <v>3299</v>
      </c>
      <c r="L89" s="3">
        <v>0.05</v>
      </c>
      <c r="M89" s="12">
        <f>K89*L89</f>
        <v>164.95000000000002</v>
      </c>
      <c r="N89" s="12">
        <f>K89*J89</f>
        <v>6598</v>
      </c>
      <c r="O89" s="12">
        <f>N89-M89</f>
        <v>6433.05</v>
      </c>
      <c r="P89" s="2" t="s">
        <v>30</v>
      </c>
      <c r="Q89" s="2" t="s">
        <v>18</v>
      </c>
      <c r="R89" s="2">
        <v>60</v>
      </c>
      <c r="S89" s="20">
        <f>Table1[[#This Row],[Net_revenue]]/Table1[[#This Row],[Gross_revenue]]*100%</f>
        <v>0.97499999999999998</v>
      </c>
      <c r="T89" s="18">
        <f>COUNTIFS(Table1[Customer ID], "&gt;1", Table1[Customer ID], 1)</f>
        <v>0</v>
      </c>
    </row>
    <row r="90" spans="1:20" hidden="1" x14ac:dyDescent="0.3">
      <c r="A90" s="2" t="s">
        <v>227</v>
      </c>
      <c r="B90" s="5">
        <v>45735</v>
      </c>
      <c r="C90" s="5" t="str">
        <f>TEXT(B90,"mmm")</f>
        <v>Mar</v>
      </c>
      <c r="D90" s="2" t="s">
        <v>228</v>
      </c>
      <c r="E90" s="2" t="s">
        <v>14</v>
      </c>
      <c r="F90" s="2" t="str" cm="1">
        <f t="array" ref="F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0" s="2" t="str" cm="1">
        <f t="array" ref="G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0" s="2" t="s">
        <v>68</v>
      </c>
      <c r="I90" s="2" t="s">
        <v>16</v>
      </c>
      <c r="J90" s="2">
        <v>1</v>
      </c>
      <c r="K90" s="8">
        <v>599</v>
      </c>
      <c r="L90" s="3">
        <v>0.05</v>
      </c>
      <c r="M90" s="12">
        <f>K90*L90</f>
        <v>29.950000000000003</v>
      </c>
      <c r="N90" s="12">
        <f>K90*J90</f>
        <v>599</v>
      </c>
      <c r="O90" s="12">
        <f>N90-M90</f>
        <v>569.04999999999995</v>
      </c>
      <c r="P90" s="2" t="s">
        <v>45</v>
      </c>
      <c r="Q90" s="2" t="s">
        <v>18</v>
      </c>
      <c r="R90" s="2">
        <v>60</v>
      </c>
      <c r="S90" s="20">
        <f>Table1[[#This Row],[Net_revenue]]/Table1[[#This Row],[Gross_revenue]]*100%</f>
        <v>0.95</v>
      </c>
      <c r="T90" s="18">
        <f>COUNTIFS(Table1[Customer ID], "&gt;1", Table1[Customer ID], 1)</f>
        <v>0</v>
      </c>
    </row>
    <row r="91" spans="1:20" hidden="1" x14ac:dyDescent="0.3">
      <c r="A91" s="2" t="s">
        <v>229</v>
      </c>
      <c r="B91" s="5">
        <v>45707</v>
      </c>
      <c r="C91" s="5" t="str">
        <f>TEXT(B91,"mmm")</f>
        <v>Feb</v>
      </c>
      <c r="D91" s="2" t="s">
        <v>230</v>
      </c>
      <c r="E91" s="2" t="s">
        <v>56</v>
      </c>
      <c r="F91" s="2" t="str" cm="1">
        <f t="array" ref="F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1" s="2" t="str" cm="1">
        <f t="array" ref="G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1" s="2" t="s">
        <v>28</v>
      </c>
      <c r="I91" s="2" t="s">
        <v>29</v>
      </c>
      <c r="J91" s="2">
        <v>2</v>
      </c>
      <c r="K91" s="8">
        <v>2799</v>
      </c>
      <c r="L91" s="3">
        <v>0.25</v>
      </c>
      <c r="M91" s="12">
        <f>K91*L91</f>
        <v>699.75</v>
      </c>
      <c r="N91" s="12">
        <f>K91*J91</f>
        <v>5598</v>
      </c>
      <c r="O91" s="12">
        <f>N91-M91</f>
        <v>4898.25</v>
      </c>
      <c r="P91" s="2" t="s">
        <v>17</v>
      </c>
      <c r="Q91" s="2" t="s">
        <v>72</v>
      </c>
      <c r="R91" s="2">
        <v>0</v>
      </c>
      <c r="S91" s="20">
        <f>Table1[[#This Row],[Net_revenue]]/Table1[[#This Row],[Gross_revenue]]*100%</f>
        <v>0.875</v>
      </c>
      <c r="T91" s="18">
        <f>COUNTIFS(Table1[Customer ID], "&gt;1", Table1[Customer ID], 1)</f>
        <v>0</v>
      </c>
    </row>
    <row r="92" spans="1:20" hidden="1" x14ac:dyDescent="0.3">
      <c r="A92" s="2" t="s">
        <v>231</v>
      </c>
      <c r="B92" s="5">
        <v>45756</v>
      </c>
      <c r="C92" s="5" t="str">
        <f>TEXT(B92,"mmm")</f>
        <v>Apr</v>
      </c>
      <c r="D92" s="2" t="s">
        <v>232</v>
      </c>
      <c r="E92" s="2" t="s">
        <v>56</v>
      </c>
      <c r="F92" s="2" t="str" cm="1">
        <f t="array" ref="F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2" s="2" t="str" cm="1">
        <f t="array" ref="G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2" s="2" t="s">
        <v>89</v>
      </c>
      <c r="I92" s="2" t="s">
        <v>29</v>
      </c>
      <c r="J92" s="2">
        <v>2</v>
      </c>
      <c r="K92" s="8">
        <v>449</v>
      </c>
      <c r="L92" s="3">
        <v>0</v>
      </c>
      <c r="M92" s="12">
        <f>K92*L92</f>
        <v>0</v>
      </c>
      <c r="N92" s="12">
        <f>K92*J92</f>
        <v>898</v>
      </c>
      <c r="O92" s="12">
        <f>N92-M92</f>
        <v>898</v>
      </c>
      <c r="P92" s="2" t="s">
        <v>17</v>
      </c>
      <c r="Q92" s="2" t="s">
        <v>18</v>
      </c>
      <c r="R92" s="2">
        <v>40</v>
      </c>
      <c r="S92" s="20">
        <f>Table1[[#This Row],[Net_revenue]]/Table1[[#This Row],[Gross_revenue]]*100%</f>
        <v>1</v>
      </c>
      <c r="T92" s="18">
        <f>COUNTIFS(Table1[Customer ID], "&gt;1", Table1[Customer ID], 1)</f>
        <v>0</v>
      </c>
    </row>
    <row r="93" spans="1:20" hidden="1" x14ac:dyDescent="0.3">
      <c r="A93" s="2" t="s">
        <v>233</v>
      </c>
      <c r="B93" s="5">
        <v>45819</v>
      </c>
      <c r="C93" s="5" t="str">
        <f>TEXT(B93,"mmm")</f>
        <v>Jun</v>
      </c>
      <c r="D93" s="2" t="s">
        <v>150</v>
      </c>
      <c r="E93" s="2" t="s">
        <v>27</v>
      </c>
      <c r="F93" s="2" t="str" cm="1">
        <f t="array" ref="F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3" s="2" t="str" cm="1">
        <f t="array" ref="G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3" s="2" t="s">
        <v>98</v>
      </c>
      <c r="I93" s="2" t="s">
        <v>37</v>
      </c>
      <c r="J93" s="2">
        <v>1</v>
      </c>
      <c r="K93" s="8">
        <v>299</v>
      </c>
      <c r="L93" s="3">
        <v>0.1</v>
      </c>
      <c r="M93" s="12">
        <f>K93*L93</f>
        <v>29.900000000000002</v>
      </c>
      <c r="N93" s="12">
        <f>K93*J93</f>
        <v>299</v>
      </c>
      <c r="O93" s="12">
        <f>N93-M93</f>
        <v>269.10000000000002</v>
      </c>
      <c r="P93" s="2" t="s">
        <v>45</v>
      </c>
      <c r="Q93" s="2" t="s">
        <v>18</v>
      </c>
      <c r="R93" s="2">
        <v>0</v>
      </c>
      <c r="S93" s="20">
        <f>Table1[[#This Row],[Net_revenue]]/Table1[[#This Row],[Gross_revenue]]*100%</f>
        <v>0.9</v>
      </c>
      <c r="T93" s="18">
        <f>COUNTIFS(Table1[Customer ID], "&gt;1", Table1[Customer ID], 1)</f>
        <v>0</v>
      </c>
    </row>
    <row r="94" spans="1:20" x14ac:dyDescent="0.3">
      <c r="A94" s="2" t="s">
        <v>234</v>
      </c>
      <c r="B94" s="5">
        <v>45999</v>
      </c>
      <c r="C94" s="5" t="str">
        <f>TEXT(B94,"mmm")</f>
        <v>Dec</v>
      </c>
      <c r="D94" s="2" t="s">
        <v>235</v>
      </c>
      <c r="E94" s="2"/>
      <c r="F94" s="2" t="str" cm="1">
        <f t="array" ref="F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94" s="2" t="str" cm="1">
        <f t="array" ref="G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94" s="2" t="s">
        <v>71</v>
      </c>
      <c r="I94" s="2" t="s">
        <v>29</v>
      </c>
      <c r="J94" s="2">
        <v>2</v>
      </c>
      <c r="K94" s="8">
        <v>5499</v>
      </c>
      <c r="L94" s="3">
        <v>0.2</v>
      </c>
      <c r="M94" s="12">
        <f>K94*L94</f>
        <v>1099.8</v>
      </c>
      <c r="N94" s="12">
        <f>K94*J94</f>
        <v>10998</v>
      </c>
      <c r="O94" s="12">
        <f>N94-M94</f>
        <v>9898.2000000000007</v>
      </c>
      <c r="P94" s="2" t="s">
        <v>45</v>
      </c>
      <c r="Q94" s="2" t="s">
        <v>18</v>
      </c>
      <c r="R94" s="2">
        <v>80</v>
      </c>
      <c r="S94" s="20">
        <f>Table1[[#This Row],[Net_revenue]]/Table1[[#This Row],[Gross_revenue]]*100%</f>
        <v>0.9</v>
      </c>
      <c r="T94" s="18">
        <f>COUNTIFS(Table1[Customer ID], "&gt;1", Table1[Customer ID], 1)</f>
        <v>0</v>
      </c>
    </row>
    <row r="95" spans="1:20" hidden="1" x14ac:dyDescent="0.3">
      <c r="A95" s="2" t="s">
        <v>236</v>
      </c>
      <c r="B95" s="5">
        <v>45779</v>
      </c>
      <c r="C95" s="5" t="str">
        <f>TEXT(B95,"mmm")</f>
        <v>May</v>
      </c>
      <c r="D95" s="2" t="s">
        <v>237</v>
      </c>
      <c r="E95" s="2" t="s">
        <v>195</v>
      </c>
      <c r="F95" s="2" t="str" cm="1">
        <f t="array" ref="F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95" s="2" t="str" cm="1">
        <f t="array" ref="G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5" s="2" t="s">
        <v>89</v>
      </c>
      <c r="I95" s="2" t="s">
        <v>29</v>
      </c>
      <c r="J95" s="2">
        <v>2</v>
      </c>
      <c r="K95" s="8">
        <v>449</v>
      </c>
      <c r="L95" s="3">
        <v>0.1</v>
      </c>
      <c r="M95" s="12">
        <f>K95*L95</f>
        <v>44.900000000000006</v>
      </c>
      <c r="N95" s="12">
        <f>K95*J95</f>
        <v>898</v>
      </c>
      <c r="O95" s="12">
        <f>N95-M95</f>
        <v>853.1</v>
      </c>
      <c r="P95" s="2" t="s">
        <v>30</v>
      </c>
      <c r="Q95" s="2" t="s">
        <v>18</v>
      </c>
      <c r="R95" s="2">
        <v>40</v>
      </c>
      <c r="S95" s="20">
        <f>Table1[[#This Row],[Net_revenue]]/Table1[[#This Row],[Gross_revenue]]*100%</f>
        <v>0.95000000000000007</v>
      </c>
      <c r="T95" s="18">
        <f>COUNTIFS(Table1[Customer ID], "&gt;1", Table1[Customer ID], 1)</f>
        <v>0</v>
      </c>
    </row>
    <row r="96" spans="1:20" hidden="1" x14ac:dyDescent="0.3">
      <c r="A96" s="2" t="s">
        <v>238</v>
      </c>
      <c r="B96" s="5">
        <v>45806</v>
      </c>
      <c r="C96" s="5" t="str">
        <f>TEXT(B96,"mmm")</f>
        <v>May</v>
      </c>
      <c r="D96" s="2" t="s">
        <v>239</v>
      </c>
      <c r="E96" s="2" t="s">
        <v>120</v>
      </c>
      <c r="F96" s="2" t="str" cm="1">
        <f t="array" ref="F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6" s="2" t="str" cm="1">
        <f t="array" ref="G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6" s="2" t="s">
        <v>121</v>
      </c>
      <c r="I96" s="2" t="s">
        <v>95</v>
      </c>
      <c r="J96" s="2">
        <v>4</v>
      </c>
      <c r="K96" s="8">
        <v>1299</v>
      </c>
      <c r="L96" s="3">
        <v>0.2</v>
      </c>
      <c r="M96" s="12">
        <f>K96*L96</f>
        <v>259.8</v>
      </c>
      <c r="N96" s="12">
        <f>K96*J96</f>
        <v>5196</v>
      </c>
      <c r="O96" s="12">
        <f>N96-M96</f>
        <v>4936.2</v>
      </c>
      <c r="P96" s="2" t="s">
        <v>17</v>
      </c>
      <c r="Q96" s="2" t="s">
        <v>18</v>
      </c>
      <c r="R96" s="2">
        <v>0</v>
      </c>
      <c r="S96" s="20">
        <f>Table1[[#This Row],[Net_revenue]]/Table1[[#This Row],[Gross_revenue]]*100%</f>
        <v>0.95</v>
      </c>
      <c r="T96" s="18">
        <f>COUNTIFS(Table1[Customer ID], "&gt;1", Table1[Customer ID], 1)</f>
        <v>0</v>
      </c>
    </row>
    <row r="97" spans="1:20" hidden="1" x14ac:dyDescent="0.3">
      <c r="A97" s="2" t="s">
        <v>240</v>
      </c>
      <c r="B97" s="5">
        <v>45850</v>
      </c>
      <c r="C97" s="5" t="str">
        <f>TEXT(B97,"mmm")</f>
        <v>Jul</v>
      </c>
      <c r="D97" s="2" t="s">
        <v>241</v>
      </c>
      <c r="E97" s="2" t="s">
        <v>48</v>
      </c>
      <c r="F97" s="2" t="str" cm="1">
        <f t="array" ref="F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7" s="2" t="str" cm="1">
        <f t="array" ref="G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7" s="2" t="s">
        <v>63</v>
      </c>
      <c r="I97" s="2" t="s">
        <v>23</v>
      </c>
      <c r="J97" s="2">
        <v>1</v>
      </c>
      <c r="K97" s="8">
        <v>2499</v>
      </c>
      <c r="L97" s="3">
        <v>0</v>
      </c>
      <c r="M97" s="12">
        <f>K97*L97</f>
        <v>0</v>
      </c>
      <c r="N97" s="12">
        <f>K97*J97</f>
        <v>2499</v>
      </c>
      <c r="O97" s="12">
        <f>N97-M97</f>
        <v>2499</v>
      </c>
      <c r="P97" s="2" t="s">
        <v>17</v>
      </c>
      <c r="Q97" s="2" t="s">
        <v>18</v>
      </c>
      <c r="R97" s="2">
        <v>80</v>
      </c>
      <c r="S97" s="20">
        <f>Table1[[#This Row],[Net_revenue]]/Table1[[#This Row],[Gross_revenue]]*100%</f>
        <v>1</v>
      </c>
      <c r="T97" s="18">
        <f>COUNTIFS(Table1[Customer ID], "&gt;1", Table1[Customer ID], 1)</f>
        <v>0</v>
      </c>
    </row>
    <row r="98" spans="1:20" hidden="1" x14ac:dyDescent="0.3">
      <c r="A98" s="2" t="s">
        <v>242</v>
      </c>
      <c r="B98" s="5">
        <v>45710</v>
      </c>
      <c r="C98" s="5" t="str">
        <f>TEXT(B98,"mmm")</f>
        <v>Feb</v>
      </c>
      <c r="D98" s="2" t="s">
        <v>243</v>
      </c>
      <c r="E98" s="2" t="s">
        <v>120</v>
      </c>
      <c r="F98" s="2" t="str" cm="1">
        <f t="array" ref="F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8" s="2" t="str" cm="1">
        <f t="array" ref="G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8" s="2" t="s">
        <v>188</v>
      </c>
      <c r="I98" s="2" t="s">
        <v>95</v>
      </c>
      <c r="J98" s="2">
        <v>2</v>
      </c>
      <c r="K98" s="8">
        <v>699</v>
      </c>
      <c r="L98" s="3">
        <v>0.05</v>
      </c>
      <c r="M98" s="12">
        <f>K98*L98</f>
        <v>34.950000000000003</v>
      </c>
      <c r="N98" s="12">
        <f>K98*J98</f>
        <v>1398</v>
      </c>
      <c r="O98" s="12">
        <f>N98-M98</f>
        <v>1363.05</v>
      </c>
      <c r="P98" s="2" t="s">
        <v>45</v>
      </c>
      <c r="Q98" s="2" t="s">
        <v>18</v>
      </c>
      <c r="R98" s="2">
        <v>80</v>
      </c>
      <c r="S98" s="20">
        <f>Table1[[#This Row],[Net_revenue]]/Table1[[#This Row],[Gross_revenue]]*100%</f>
        <v>0.97499999999999998</v>
      </c>
      <c r="T98" s="18">
        <f>COUNTIFS(Table1[Customer ID], "&gt;1", Table1[Customer ID], 1)</f>
        <v>0</v>
      </c>
    </row>
    <row r="99" spans="1:20" x14ac:dyDescent="0.3">
      <c r="A99" s="2" t="s">
        <v>244</v>
      </c>
      <c r="B99" s="5">
        <v>45961</v>
      </c>
      <c r="C99" s="5" t="str">
        <f>TEXT(B99,"mmm")</f>
        <v>Oct</v>
      </c>
      <c r="D99" s="2" t="s">
        <v>245</v>
      </c>
      <c r="E99" s="2"/>
      <c r="F99" s="2" t="str" cm="1">
        <f t="array" ref="F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99" s="2" t="str" cm="1">
        <f t="array" ref="G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99" s="2" t="s">
        <v>49</v>
      </c>
      <c r="I99" s="2" t="s">
        <v>23</v>
      </c>
      <c r="J99" s="2">
        <v>1</v>
      </c>
      <c r="K99" s="8">
        <v>1299</v>
      </c>
      <c r="L99" s="3">
        <v>0</v>
      </c>
      <c r="M99" s="12">
        <f>K99*L99</f>
        <v>0</v>
      </c>
      <c r="N99" s="12">
        <f>K99*J99</f>
        <v>1299</v>
      </c>
      <c r="O99" s="12">
        <f>N99-M99</f>
        <v>1299</v>
      </c>
      <c r="P99" s="2" t="s">
        <v>30</v>
      </c>
      <c r="Q99" s="2" t="s">
        <v>72</v>
      </c>
      <c r="R99" s="2">
        <v>60</v>
      </c>
      <c r="S99" s="20">
        <f>Table1[[#This Row],[Net_revenue]]/Table1[[#This Row],[Gross_revenue]]*100%</f>
        <v>1</v>
      </c>
      <c r="T99" s="18">
        <f>COUNTIFS(Table1[Customer ID], "&gt;1", Table1[Customer ID], 1)</f>
        <v>0</v>
      </c>
    </row>
    <row r="100" spans="1:20" hidden="1" x14ac:dyDescent="0.3">
      <c r="A100" s="2" t="s">
        <v>246</v>
      </c>
      <c r="B100" s="5">
        <v>45919</v>
      </c>
      <c r="C100" s="5" t="str">
        <f>TEXT(B100,"mmm")</f>
        <v>Sep</v>
      </c>
      <c r="D100" s="2" t="s">
        <v>247</v>
      </c>
      <c r="E100" s="2" t="s">
        <v>48</v>
      </c>
      <c r="F100" s="2" t="str" cm="1">
        <f t="array" ref="F1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0" s="2" t="str" cm="1">
        <f t="array" ref="G1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0" s="2" t="s">
        <v>98</v>
      </c>
      <c r="I100" s="2" t="s">
        <v>37</v>
      </c>
      <c r="J100" s="2">
        <v>2</v>
      </c>
      <c r="K100" s="8">
        <v>299</v>
      </c>
      <c r="L100" s="3">
        <v>0.05</v>
      </c>
      <c r="M100" s="12">
        <f>K100*L100</f>
        <v>14.950000000000001</v>
      </c>
      <c r="N100" s="12">
        <f>K100*J100</f>
        <v>598</v>
      </c>
      <c r="O100" s="12">
        <f>N100-M100</f>
        <v>583.04999999999995</v>
      </c>
      <c r="P100" s="2" t="s">
        <v>24</v>
      </c>
      <c r="Q100" s="2" t="s">
        <v>18</v>
      </c>
      <c r="R100" s="2">
        <v>0</v>
      </c>
      <c r="S100" s="20">
        <f>Table1[[#This Row],[Net_revenue]]/Table1[[#This Row],[Gross_revenue]]*100%</f>
        <v>0.97499999999999998</v>
      </c>
      <c r="T100" s="18">
        <f>COUNTIFS(Table1[Customer ID], "&gt;1", Table1[Customer ID], 1)</f>
        <v>0</v>
      </c>
    </row>
    <row r="101" spans="1:20" hidden="1" x14ac:dyDescent="0.3">
      <c r="A101" s="2" t="s">
        <v>248</v>
      </c>
      <c r="B101" s="5">
        <v>46016</v>
      </c>
      <c r="C101" s="5" t="str">
        <f>TEXT(B101,"mmm")</f>
        <v>Dec</v>
      </c>
      <c r="D101" s="2" t="s">
        <v>249</v>
      </c>
      <c r="E101" s="2" t="s">
        <v>53</v>
      </c>
      <c r="F101" s="2" t="str" cm="1">
        <f t="array" ref="F1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1" s="2" t="str" cm="1">
        <f t="array" ref="G1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1" s="2" t="s">
        <v>28</v>
      </c>
      <c r="I101" s="2" t="s">
        <v>29</v>
      </c>
      <c r="J101" s="2">
        <v>5</v>
      </c>
      <c r="K101" s="8">
        <v>2799</v>
      </c>
      <c r="L101" s="3">
        <v>0.15</v>
      </c>
      <c r="M101" s="12">
        <f>K101*L101</f>
        <v>419.84999999999997</v>
      </c>
      <c r="N101" s="12">
        <f>K101*J101</f>
        <v>13995</v>
      </c>
      <c r="O101" s="12">
        <f>N101-M101</f>
        <v>13575.15</v>
      </c>
      <c r="P101" s="2" t="s">
        <v>17</v>
      </c>
      <c r="Q101" s="2" t="s">
        <v>18</v>
      </c>
      <c r="R101" s="2">
        <v>60</v>
      </c>
      <c r="S101" s="20">
        <f>Table1[[#This Row],[Net_revenue]]/Table1[[#This Row],[Gross_revenue]]*100%</f>
        <v>0.97</v>
      </c>
      <c r="T101" s="18">
        <f>COUNTIFS(Table1[Customer ID], "&gt;1", Table1[Customer ID], 1)</f>
        <v>0</v>
      </c>
    </row>
    <row r="102" spans="1:20" hidden="1" x14ac:dyDescent="0.3">
      <c r="A102" s="2" t="s">
        <v>250</v>
      </c>
      <c r="B102" s="5">
        <v>45815</v>
      </c>
      <c r="C102" s="5" t="str">
        <f>TEXT(B102,"mmm")</f>
        <v>Jun</v>
      </c>
      <c r="D102" s="2" t="s">
        <v>251</v>
      </c>
      <c r="E102" s="2" t="s">
        <v>40</v>
      </c>
      <c r="F102" s="2" t="str" cm="1">
        <f t="array" ref="F1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2" s="2" t="str" cm="1">
        <f t="array" ref="G1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2" s="2" t="s">
        <v>22</v>
      </c>
      <c r="I102" s="2" t="s">
        <v>23</v>
      </c>
      <c r="J102" s="2">
        <v>1</v>
      </c>
      <c r="K102" s="8">
        <v>3999</v>
      </c>
      <c r="L102" s="3">
        <v>0.25</v>
      </c>
      <c r="M102" s="12">
        <f>K102*L102</f>
        <v>999.75</v>
      </c>
      <c r="N102" s="12">
        <f>K102*J102</f>
        <v>3999</v>
      </c>
      <c r="O102" s="12">
        <f>N102-M102</f>
        <v>2999.25</v>
      </c>
      <c r="P102" s="2" t="s">
        <v>45</v>
      </c>
      <c r="Q102" s="2" t="s">
        <v>18</v>
      </c>
      <c r="R102" s="2">
        <v>0</v>
      </c>
      <c r="S102" s="20">
        <f>Table1[[#This Row],[Net_revenue]]/Table1[[#This Row],[Gross_revenue]]*100%</f>
        <v>0.75</v>
      </c>
      <c r="T102" s="18">
        <f>COUNTIFS(Table1[Customer ID], "&gt;1", Table1[Customer ID], 1)</f>
        <v>0</v>
      </c>
    </row>
    <row r="103" spans="1:20" hidden="1" x14ac:dyDescent="0.3">
      <c r="A103" s="2" t="s">
        <v>252</v>
      </c>
      <c r="B103" s="5">
        <v>45787</v>
      </c>
      <c r="C103" s="5" t="str">
        <f>TEXT(B103,"mmm")</f>
        <v>May</v>
      </c>
      <c r="D103" s="2" t="s">
        <v>253</v>
      </c>
      <c r="E103" s="2" t="s">
        <v>56</v>
      </c>
      <c r="F103" s="2" t="str" cm="1">
        <f t="array" ref="F1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3" s="2" t="str" cm="1">
        <f t="array" ref="G1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3" s="2" t="s">
        <v>217</v>
      </c>
      <c r="I103" s="2" t="s">
        <v>29</v>
      </c>
      <c r="J103" s="2">
        <v>1</v>
      </c>
      <c r="K103" s="8">
        <v>3299</v>
      </c>
      <c r="L103" s="3">
        <v>0.1</v>
      </c>
      <c r="M103" s="12">
        <f>K103*L103</f>
        <v>329.90000000000003</v>
      </c>
      <c r="N103" s="12">
        <f>K103*J103</f>
        <v>3299</v>
      </c>
      <c r="O103" s="12">
        <f>N103-M103</f>
        <v>2969.1</v>
      </c>
      <c r="P103" s="2" t="s">
        <v>17</v>
      </c>
      <c r="Q103" s="2" t="s">
        <v>18</v>
      </c>
      <c r="R103" s="2">
        <v>40</v>
      </c>
      <c r="S103" s="20">
        <f>Table1[[#This Row],[Net_revenue]]/Table1[[#This Row],[Gross_revenue]]*100%</f>
        <v>0.9</v>
      </c>
      <c r="T103" s="18">
        <f>COUNTIFS(Table1[Customer ID], "&gt;1", Table1[Customer ID], 1)</f>
        <v>0</v>
      </c>
    </row>
    <row r="104" spans="1:20" hidden="1" x14ac:dyDescent="0.3">
      <c r="A104" s="2" t="s">
        <v>254</v>
      </c>
      <c r="B104" s="5">
        <v>46019</v>
      </c>
      <c r="C104" s="5" t="str">
        <f>TEXT(B104,"mmm")</f>
        <v>Dec</v>
      </c>
      <c r="D104" s="2" t="s">
        <v>255</v>
      </c>
      <c r="E104" s="2" t="s">
        <v>40</v>
      </c>
      <c r="F104" s="2" t="str" cm="1">
        <f t="array" ref="F1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4" s="2" t="str" cm="1">
        <f t="array" ref="G1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4" s="2" t="s">
        <v>183</v>
      </c>
      <c r="I104" s="2" t="s">
        <v>37</v>
      </c>
      <c r="J104" s="2">
        <v>2</v>
      </c>
      <c r="K104" s="8">
        <v>499</v>
      </c>
      <c r="L104" s="3">
        <v>0.1</v>
      </c>
      <c r="M104" s="12">
        <f>K104*L104</f>
        <v>49.900000000000006</v>
      </c>
      <c r="N104" s="12">
        <f>K104*J104</f>
        <v>998</v>
      </c>
      <c r="O104" s="12">
        <f>N104-M104</f>
        <v>948.1</v>
      </c>
      <c r="P104" s="2" t="s">
        <v>45</v>
      </c>
      <c r="Q104" s="2" t="s">
        <v>72</v>
      </c>
      <c r="R104" s="2">
        <v>40</v>
      </c>
      <c r="S104" s="20">
        <f>Table1[[#This Row],[Net_revenue]]/Table1[[#This Row],[Gross_revenue]]*100%</f>
        <v>0.95000000000000007</v>
      </c>
      <c r="T104" s="18">
        <f>COUNTIFS(Table1[Customer ID], "&gt;1", Table1[Customer ID], 1)</f>
        <v>0</v>
      </c>
    </row>
    <row r="105" spans="1:20" hidden="1" x14ac:dyDescent="0.3">
      <c r="A105" s="2" t="s">
        <v>256</v>
      </c>
      <c r="B105" s="5">
        <v>46014</v>
      </c>
      <c r="C105" s="5" t="str">
        <f>TEXT(B105,"mmm")</f>
        <v>Dec</v>
      </c>
      <c r="D105" s="2" t="s">
        <v>144</v>
      </c>
      <c r="E105" s="2" t="s">
        <v>40</v>
      </c>
      <c r="F105" s="2" t="str" cm="1">
        <f t="array" ref="F1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5" s="2" t="str" cm="1">
        <f t="array" ref="G1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5" s="2" t="s">
        <v>44</v>
      </c>
      <c r="I105" s="2" t="s">
        <v>16</v>
      </c>
      <c r="J105" s="2">
        <v>1</v>
      </c>
      <c r="K105" s="8">
        <v>1599</v>
      </c>
      <c r="L105" s="3">
        <v>0.15</v>
      </c>
      <c r="M105" s="12">
        <f>K105*L105</f>
        <v>239.85</v>
      </c>
      <c r="N105" s="12">
        <f>K105*J105</f>
        <v>1599</v>
      </c>
      <c r="O105" s="12">
        <f>N105-M105</f>
        <v>1359.15</v>
      </c>
      <c r="P105" s="2" t="s">
        <v>30</v>
      </c>
      <c r="Q105" s="2" t="s">
        <v>18</v>
      </c>
      <c r="R105" s="2">
        <v>80</v>
      </c>
      <c r="S105" s="20">
        <f>Table1[[#This Row],[Net_revenue]]/Table1[[#This Row],[Gross_revenue]]*100%</f>
        <v>0.85000000000000009</v>
      </c>
      <c r="T105" s="18">
        <f>COUNTIFS(Table1[Customer ID], "&gt;1", Table1[Customer ID], 1)</f>
        <v>0</v>
      </c>
    </row>
    <row r="106" spans="1:20" hidden="1" x14ac:dyDescent="0.3">
      <c r="A106" s="2" t="s">
        <v>257</v>
      </c>
      <c r="B106" s="5">
        <v>45780</v>
      </c>
      <c r="C106" s="5" t="str">
        <f>TEXT(B106,"mmm")</f>
        <v>May</v>
      </c>
      <c r="D106" s="2" t="s">
        <v>258</v>
      </c>
      <c r="E106" s="2" t="s">
        <v>27</v>
      </c>
      <c r="F106" s="2" t="str" cm="1">
        <f t="array" ref="F1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6" s="2" t="str" cm="1">
        <f t="array" ref="G1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6" s="2" t="s">
        <v>36</v>
      </c>
      <c r="I106" s="2" t="s">
        <v>37</v>
      </c>
      <c r="J106" s="2">
        <v>2</v>
      </c>
      <c r="K106" s="8">
        <v>349</v>
      </c>
      <c r="L106" s="3">
        <v>0</v>
      </c>
      <c r="M106" s="12">
        <f>K106*L106</f>
        <v>0</v>
      </c>
      <c r="N106" s="12">
        <f>K106*J106</f>
        <v>698</v>
      </c>
      <c r="O106" s="12">
        <f>N106-M106</f>
        <v>698</v>
      </c>
      <c r="P106" s="2" t="s">
        <v>45</v>
      </c>
      <c r="Q106" s="2" t="s">
        <v>18</v>
      </c>
      <c r="R106" s="2">
        <v>0</v>
      </c>
      <c r="S106" s="20">
        <f>Table1[[#This Row],[Net_revenue]]/Table1[[#This Row],[Gross_revenue]]*100%</f>
        <v>1</v>
      </c>
      <c r="T106" s="18">
        <f>COUNTIFS(Table1[Customer ID], "&gt;1", Table1[Customer ID], 1)</f>
        <v>0</v>
      </c>
    </row>
    <row r="107" spans="1:20" hidden="1" x14ac:dyDescent="0.3">
      <c r="A107" s="2" t="s">
        <v>259</v>
      </c>
      <c r="B107" s="5">
        <v>45781</v>
      </c>
      <c r="C107" s="5" t="str">
        <f>TEXT(B107,"mmm")</f>
        <v>May</v>
      </c>
      <c r="D107" s="2" t="s">
        <v>260</v>
      </c>
      <c r="E107" s="2" t="s">
        <v>14</v>
      </c>
      <c r="F107" s="2" t="str" cm="1">
        <f t="array" ref="F1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7" s="2" t="str" cm="1">
        <f t="array" ref="G1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7" s="2" t="s">
        <v>22</v>
      </c>
      <c r="I107" s="2" t="s">
        <v>23</v>
      </c>
      <c r="J107" s="2">
        <v>3</v>
      </c>
      <c r="K107" s="8">
        <v>3999</v>
      </c>
      <c r="L107" s="3">
        <v>0.15</v>
      </c>
      <c r="M107" s="12">
        <f>K107*L107</f>
        <v>599.85</v>
      </c>
      <c r="N107" s="12">
        <f>K107*J107</f>
        <v>11997</v>
      </c>
      <c r="O107" s="12">
        <f>N107-M107</f>
        <v>11397.15</v>
      </c>
      <c r="P107" s="2" t="s">
        <v>17</v>
      </c>
      <c r="Q107" s="2" t="s">
        <v>72</v>
      </c>
      <c r="R107" s="2">
        <v>80</v>
      </c>
      <c r="S107" s="20">
        <f>Table1[[#This Row],[Net_revenue]]/Table1[[#This Row],[Gross_revenue]]*100%</f>
        <v>0.95</v>
      </c>
      <c r="T107" s="18">
        <f>COUNTIFS(Table1[Customer ID], "&gt;1", Table1[Customer ID], 1)</f>
        <v>0</v>
      </c>
    </row>
    <row r="108" spans="1:20" hidden="1" x14ac:dyDescent="0.3">
      <c r="A108" s="2" t="s">
        <v>261</v>
      </c>
      <c r="B108" s="5">
        <v>45728</v>
      </c>
      <c r="C108" s="5" t="str">
        <f>TEXT(B108,"mmm")</f>
        <v>Mar</v>
      </c>
      <c r="D108" s="2" t="s">
        <v>262</v>
      </c>
      <c r="E108" s="2" t="s">
        <v>27</v>
      </c>
      <c r="F108" s="2" t="str" cm="1">
        <f t="array" ref="F1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8" s="2" t="str" cm="1">
        <f t="array" ref="G1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8" s="2" t="s">
        <v>117</v>
      </c>
      <c r="I108" s="2" t="s">
        <v>23</v>
      </c>
      <c r="J108" s="2">
        <v>2</v>
      </c>
      <c r="K108" s="8">
        <v>2199</v>
      </c>
      <c r="L108" s="3">
        <v>0.1</v>
      </c>
      <c r="M108" s="12">
        <f>K108*L108</f>
        <v>219.9</v>
      </c>
      <c r="N108" s="12">
        <f>K108*J108</f>
        <v>4398</v>
      </c>
      <c r="O108" s="12">
        <f>N108-M108</f>
        <v>4178.1000000000004</v>
      </c>
      <c r="P108" s="2" t="s">
        <v>17</v>
      </c>
      <c r="Q108" s="2" t="s">
        <v>18</v>
      </c>
      <c r="R108" s="2">
        <v>0</v>
      </c>
      <c r="S108" s="20">
        <f>Table1[[#This Row],[Net_revenue]]/Table1[[#This Row],[Gross_revenue]]*100%</f>
        <v>0.95000000000000007</v>
      </c>
      <c r="T108" s="18">
        <f>COUNTIFS(Table1[Customer ID], "&gt;1", Table1[Customer ID], 1)</f>
        <v>0</v>
      </c>
    </row>
    <row r="109" spans="1:20" hidden="1" x14ac:dyDescent="0.3">
      <c r="A109" s="2" t="s">
        <v>263</v>
      </c>
      <c r="B109" s="5">
        <v>45897</v>
      </c>
      <c r="C109" s="5" t="str">
        <f>TEXT(B109,"mmm")</f>
        <v>Aug</v>
      </c>
      <c r="D109" s="2" t="s">
        <v>264</v>
      </c>
      <c r="E109" s="2" t="s">
        <v>48</v>
      </c>
      <c r="F109" s="2" t="str" cm="1">
        <f t="array" ref="F1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9" s="2" t="str" cm="1">
        <f t="array" ref="G1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 s="2" t="s">
        <v>49</v>
      </c>
      <c r="I109" s="2" t="s">
        <v>23</v>
      </c>
      <c r="J109" s="2">
        <v>1</v>
      </c>
      <c r="K109" s="8">
        <v>1299</v>
      </c>
      <c r="L109" s="3">
        <v>0</v>
      </c>
      <c r="M109" s="12">
        <f>K109*L109</f>
        <v>0</v>
      </c>
      <c r="N109" s="12">
        <f>K109*J109</f>
        <v>1299</v>
      </c>
      <c r="O109" s="12">
        <f>N109-M109</f>
        <v>1299</v>
      </c>
      <c r="P109" s="2" t="s">
        <v>45</v>
      </c>
      <c r="Q109" s="2" t="s">
        <v>18</v>
      </c>
      <c r="R109" s="2">
        <v>40</v>
      </c>
      <c r="S109" s="20">
        <f>Table1[[#This Row],[Net_revenue]]/Table1[[#This Row],[Gross_revenue]]*100%</f>
        <v>1</v>
      </c>
      <c r="T109" s="18">
        <f>COUNTIFS(Table1[Customer ID], "&gt;1", Table1[Customer ID], 1)</f>
        <v>0</v>
      </c>
    </row>
    <row r="110" spans="1:20" hidden="1" x14ac:dyDescent="0.3">
      <c r="A110" s="2" t="s">
        <v>265</v>
      </c>
      <c r="B110" s="5">
        <v>45828</v>
      </c>
      <c r="C110" s="5" t="str">
        <f>TEXT(B110,"mmm")</f>
        <v>Jun</v>
      </c>
      <c r="D110" s="2" t="s">
        <v>266</v>
      </c>
      <c r="E110" s="2" t="s">
        <v>14</v>
      </c>
      <c r="F110" s="2" t="str" cm="1">
        <f t="array" ref="F1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0" s="2" t="str" cm="1">
        <f t="array" ref="G1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0" s="2" t="s">
        <v>65</v>
      </c>
      <c r="I110" s="2" t="s">
        <v>23</v>
      </c>
      <c r="J110" s="2">
        <v>2</v>
      </c>
      <c r="K110" s="8">
        <v>1899</v>
      </c>
      <c r="L110" s="3">
        <v>0</v>
      </c>
      <c r="M110" s="12">
        <f>K110*L110</f>
        <v>0</v>
      </c>
      <c r="N110" s="12">
        <f>K110*J110</f>
        <v>3798</v>
      </c>
      <c r="O110" s="12">
        <f>N110-M110</f>
        <v>3798</v>
      </c>
      <c r="P110" s="2" t="s">
        <v>45</v>
      </c>
      <c r="Q110" s="2" t="s">
        <v>50</v>
      </c>
      <c r="R110" s="2">
        <v>80</v>
      </c>
      <c r="S110" s="20">
        <f>Table1[[#This Row],[Net_revenue]]/Table1[[#This Row],[Gross_revenue]]*100%</f>
        <v>1</v>
      </c>
      <c r="T110" s="18">
        <f>COUNTIFS(Table1[Customer ID], "&gt;1", Table1[Customer ID], 1)</f>
        <v>0</v>
      </c>
    </row>
    <row r="111" spans="1:20" hidden="1" x14ac:dyDescent="0.3">
      <c r="A111" s="2" t="s">
        <v>267</v>
      </c>
      <c r="B111" s="5">
        <v>45834</v>
      </c>
      <c r="C111" s="5" t="str">
        <f>TEXT(B111,"mmm")</f>
        <v>Jun</v>
      </c>
      <c r="D111" s="2" t="s">
        <v>268</v>
      </c>
      <c r="E111" s="2" t="s">
        <v>120</v>
      </c>
      <c r="F111" s="2" t="str" cm="1">
        <f t="array" ref="F1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1" s="2" t="str" cm="1">
        <f t="array" ref="G1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 s="2" t="s">
        <v>89</v>
      </c>
      <c r="I111" s="2" t="s">
        <v>29</v>
      </c>
      <c r="J111" s="2">
        <v>3</v>
      </c>
      <c r="K111" s="8">
        <v>449</v>
      </c>
      <c r="L111" s="3">
        <v>0.2</v>
      </c>
      <c r="M111" s="12">
        <f>K111*L111</f>
        <v>89.800000000000011</v>
      </c>
      <c r="N111" s="12">
        <f>K111*J111</f>
        <v>1347</v>
      </c>
      <c r="O111" s="12">
        <f>N111-M111</f>
        <v>1257.2</v>
      </c>
      <c r="P111" s="2" t="s">
        <v>30</v>
      </c>
      <c r="Q111" s="2" t="s">
        <v>18</v>
      </c>
      <c r="R111" s="2">
        <v>80</v>
      </c>
      <c r="S111" s="20">
        <f>Table1[[#This Row],[Net_revenue]]/Table1[[#This Row],[Gross_revenue]]*100%</f>
        <v>0.93333333333333335</v>
      </c>
      <c r="T111" s="18">
        <f>COUNTIFS(Table1[Customer ID], "&gt;1", Table1[Customer ID], 1)</f>
        <v>0</v>
      </c>
    </row>
    <row r="112" spans="1:20" hidden="1" x14ac:dyDescent="0.3">
      <c r="A112" s="2" t="s">
        <v>269</v>
      </c>
      <c r="B112" s="5">
        <v>46011</v>
      </c>
      <c r="C112" s="5" t="str">
        <f>TEXT(B112,"mmm")</f>
        <v>Dec</v>
      </c>
      <c r="D112" s="2" t="s">
        <v>270</v>
      </c>
      <c r="E112" s="2" t="s">
        <v>195</v>
      </c>
      <c r="F112" s="2" t="str" cm="1">
        <f t="array" ref="F1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2" s="2" t="str" cm="1">
        <f t="array" ref="G1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 s="2" t="s">
        <v>94</v>
      </c>
      <c r="I112" s="2" t="s">
        <v>95</v>
      </c>
      <c r="J112" s="2">
        <v>3</v>
      </c>
      <c r="K112" s="8">
        <v>399</v>
      </c>
      <c r="L112" s="3">
        <v>0.2</v>
      </c>
      <c r="M112" s="12">
        <f>K112*L112</f>
        <v>79.800000000000011</v>
      </c>
      <c r="N112" s="12">
        <f>K112*J112</f>
        <v>1197</v>
      </c>
      <c r="O112" s="12">
        <f>N112-M112</f>
        <v>1117.2</v>
      </c>
      <c r="P112" s="2" t="s">
        <v>17</v>
      </c>
      <c r="Q112" s="2" t="s">
        <v>18</v>
      </c>
      <c r="R112" s="2">
        <v>80</v>
      </c>
      <c r="S112" s="20">
        <f>Table1[[#This Row],[Net_revenue]]/Table1[[#This Row],[Gross_revenue]]*100%</f>
        <v>0.93333333333333335</v>
      </c>
      <c r="T112" s="18">
        <f>COUNTIFS(Table1[Customer ID], "&gt;1", Table1[Customer ID], 1)</f>
        <v>0</v>
      </c>
    </row>
    <row r="113" spans="1:20" hidden="1" x14ac:dyDescent="0.3">
      <c r="A113" s="2" t="s">
        <v>271</v>
      </c>
      <c r="B113" s="5">
        <v>45822</v>
      </c>
      <c r="C113" s="5" t="str">
        <f>TEXT(B113,"mmm")</f>
        <v>Jun</v>
      </c>
      <c r="D113" s="2" t="s">
        <v>272</v>
      </c>
      <c r="E113" s="2" t="s">
        <v>120</v>
      </c>
      <c r="F113" s="2" t="str" cm="1">
        <f t="array" ref="F1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3" s="2" t="str" cm="1">
        <f t="array" ref="G1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3" s="2" t="s">
        <v>68</v>
      </c>
      <c r="I113" s="2" t="s">
        <v>16</v>
      </c>
      <c r="J113" s="2">
        <v>1</v>
      </c>
      <c r="K113" s="8">
        <v>599</v>
      </c>
      <c r="L113" s="3">
        <v>0</v>
      </c>
      <c r="M113" s="12">
        <f>K113*L113</f>
        <v>0</v>
      </c>
      <c r="N113" s="12">
        <f>K113*J113</f>
        <v>599</v>
      </c>
      <c r="O113" s="12">
        <f>N113-M113</f>
        <v>599</v>
      </c>
      <c r="P113" s="2" t="s">
        <v>17</v>
      </c>
      <c r="Q113" s="2" t="s">
        <v>18</v>
      </c>
      <c r="R113" s="2">
        <v>60</v>
      </c>
      <c r="S113" s="20">
        <f>Table1[[#This Row],[Net_revenue]]/Table1[[#This Row],[Gross_revenue]]*100%</f>
        <v>1</v>
      </c>
      <c r="T113" s="18">
        <f>COUNTIFS(Table1[Customer ID], "&gt;1", Table1[Customer ID], 1)</f>
        <v>0</v>
      </c>
    </row>
    <row r="114" spans="1:20" hidden="1" x14ac:dyDescent="0.3">
      <c r="A114" s="2" t="s">
        <v>273</v>
      </c>
      <c r="B114" s="5">
        <v>45783</v>
      </c>
      <c r="C114" s="5" t="str">
        <f>TEXT(B114,"mmm")</f>
        <v>May</v>
      </c>
      <c r="D114" s="2" t="s">
        <v>274</v>
      </c>
      <c r="E114" s="2" t="s">
        <v>53</v>
      </c>
      <c r="F114" s="2" t="str" cm="1">
        <f t="array" ref="F1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14" s="2" t="str" cm="1">
        <f t="array" ref="G1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4" s="2" t="s">
        <v>188</v>
      </c>
      <c r="I114" s="2" t="s">
        <v>95</v>
      </c>
      <c r="J114" s="2">
        <v>3</v>
      </c>
      <c r="K114" s="8">
        <v>699</v>
      </c>
      <c r="L114" s="3">
        <v>0</v>
      </c>
      <c r="M114" s="12">
        <f>K114*L114</f>
        <v>0</v>
      </c>
      <c r="N114" s="12">
        <f>K114*J114</f>
        <v>2097</v>
      </c>
      <c r="O114" s="12">
        <f>N114-M114</f>
        <v>2097</v>
      </c>
      <c r="P114" s="2" t="s">
        <v>17</v>
      </c>
      <c r="Q114" s="2" t="s">
        <v>18</v>
      </c>
      <c r="R114" s="2">
        <v>0</v>
      </c>
      <c r="S114" s="20">
        <f>Table1[[#This Row],[Net_revenue]]/Table1[[#This Row],[Gross_revenue]]*100%</f>
        <v>1</v>
      </c>
      <c r="T114" s="18">
        <f>COUNTIFS(Table1[Customer ID], "&gt;1", Table1[Customer ID], 1)</f>
        <v>0</v>
      </c>
    </row>
    <row r="115" spans="1:20" hidden="1" x14ac:dyDescent="0.3">
      <c r="A115" s="2" t="s">
        <v>275</v>
      </c>
      <c r="B115" s="5">
        <v>45969</v>
      </c>
      <c r="C115" s="5" t="str">
        <f>TEXT(B115,"mmm")</f>
        <v>Nov</v>
      </c>
      <c r="D115" s="2" t="s">
        <v>276</v>
      </c>
      <c r="E115" s="2" t="s">
        <v>48</v>
      </c>
      <c r="F115" s="2" t="str" cm="1">
        <f t="array" ref="F1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5" s="2" t="str" cm="1">
        <f t="array" ref="G1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5" s="2" t="s">
        <v>33</v>
      </c>
      <c r="I115" s="2" t="s">
        <v>16</v>
      </c>
      <c r="J115" s="2">
        <v>5</v>
      </c>
      <c r="K115" s="8">
        <v>899</v>
      </c>
      <c r="L115" s="3">
        <v>0</v>
      </c>
      <c r="M115" s="12">
        <f>K115*L115</f>
        <v>0</v>
      </c>
      <c r="N115" s="12">
        <f>K115*J115</f>
        <v>4495</v>
      </c>
      <c r="O115" s="12">
        <f>N115-M115</f>
        <v>4495</v>
      </c>
      <c r="P115" s="2" t="s">
        <v>17</v>
      </c>
      <c r="Q115" s="2" t="s">
        <v>18</v>
      </c>
      <c r="R115" s="2">
        <v>40</v>
      </c>
      <c r="S115" s="20">
        <f>Table1[[#This Row],[Net_revenue]]/Table1[[#This Row],[Gross_revenue]]*100%</f>
        <v>1</v>
      </c>
      <c r="T115" s="18">
        <f>COUNTIFS(Table1[Customer ID], "&gt;1", Table1[Customer ID], 1)</f>
        <v>0</v>
      </c>
    </row>
    <row r="116" spans="1:20" hidden="1" x14ac:dyDescent="0.3">
      <c r="A116" s="2" t="s">
        <v>277</v>
      </c>
      <c r="B116" s="5">
        <v>45873</v>
      </c>
      <c r="C116" s="5" t="str">
        <f>TEXT(B116,"mmm")</f>
        <v>Aug</v>
      </c>
      <c r="D116" s="2" t="s">
        <v>278</v>
      </c>
      <c r="E116" s="2" t="s">
        <v>21</v>
      </c>
      <c r="F116" s="2" t="str" cm="1">
        <f t="array" ref="F1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6" s="2" t="str" cm="1">
        <f t="array" ref="G1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6" s="2" t="s">
        <v>117</v>
      </c>
      <c r="I116" s="2" t="s">
        <v>23</v>
      </c>
      <c r="J116" s="2">
        <v>3</v>
      </c>
      <c r="K116" s="8">
        <v>2199</v>
      </c>
      <c r="L116" s="3">
        <v>0</v>
      </c>
      <c r="M116" s="12">
        <f>K116*L116</f>
        <v>0</v>
      </c>
      <c r="N116" s="12">
        <f>K116*J116</f>
        <v>6597</v>
      </c>
      <c r="O116" s="12">
        <f>N116-M116</f>
        <v>6597</v>
      </c>
      <c r="P116" s="2" t="s">
        <v>17</v>
      </c>
      <c r="Q116" s="2" t="s">
        <v>50</v>
      </c>
      <c r="R116" s="2">
        <v>80</v>
      </c>
      <c r="S116" s="20">
        <f>Table1[[#This Row],[Net_revenue]]/Table1[[#This Row],[Gross_revenue]]*100%</f>
        <v>1</v>
      </c>
      <c r="T116" s="18">
        <f>COUNTIFS(Table1[Customer ID], "&gt;1", Table1[Customer ID], 1)</f>
        <v>0</v>
      </c>
    </row>
    <row r="117" spans="1:20" hidden="1" x14ac:dyDescent="0.3">
      <c r="A117" s="2" t="s">
        <v>279</v>
      </c>
      <c r="B117" s="5">
        <v>45811</v>
      </c>
      <c r="C117" s="5" t="str">
        <f>TEXT(B117,"mmm")</f>
        <v>Jun</v>
      </c>
      <c r="D117" s="2" t="s">
        <v>280</v>
      </c>
      <c r="E117" s="2" t="s">
        <v>14</v>
      </c>
      <c r="F117" s="2" t="str" cm="1">
        <f t="array" ref="F1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7" s="2" t="str" cm="1">
        <f t="array" ref="G1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7" s="2" t="s">
        <v>63</v>
      </c>
      <c r="I117" s="2" t="s">
        <v>23</v>
      </c>
      <c r="J117" s="2">
        <v>1</v>
      </c>
      <c r="K117" s="8">
        <v>2499</v>
      </c>
      <c r="L117" s="3">
        <v>0</v>
      </c>
      <c r="M117" s="12">
        <f>K117*L117</f>
        <v>0</v>
      </c>
      <c r="N117" s="12">
        <f>K117*J117</f>
        <v>2499</v>
      </c>
      <c r="O117" s="12">
        <f>N117-M117</f>
        <v>2499</v>
      </c>
      <c r="P117" s="2" t="s">
        <v>45</v>
      </c>
      <c r="Q117" s="2" t="s">
        <v>50</v>
      </c>
      <c r="R117" s="2">
        <v>60</v>
      </c>
      <c r="S117" s="20">
        <f>Table1[[#This Row],[Net_revenue]]/Table1[[#This Row],[Gross_revenue]]*100%</f>
        <v>1</v>
      </c>
      <c r="T117" s="18">
        <f>COUNTIFS(Table1[Customer ID], "&gt;1", Table1[Customer ID], 1)</f>
        <v>0</v>
      </c>
    </row>
    <row r="118" spans="1:20" hidden="1" x14ac:dyDescent="0.3">
      <c r="A118" s="2" t="s">
        <v>281</v>
      </c>
      <c r="B118" s="5">
        <v>45681</v>
      </c>
      <c r="C118" s="5" t="str">
        <f>TEXT(B118,"mmm")</f>
        <v>Jan</v>
      </c>
      <c r="D118" s="2" t="s">
        <v>282</v>
      </c>
      <c r="E118" s="2" t="s">
        <v>40</v>
      </c>
      <c r="F118" s="2" t="str" cm="1">
        <f t="array" ref="F1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8" s="2" t="str" cm="1">
        <f t="array" ref="G1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8" s="2" t="s">
        <v>217</v>
      </c>
      <c r="I118" s="2" t="s">
        <v>29</v>
      </c>
      <c r="J118" s="2">
        <v>1</v>
      </c>
      <c r="K118" s="8">
        <v>3299</v>
      </c>
      <c r="L118" s="3">
        <v>0.1</v>
      </c>
      <c r="M118" s="12">
        <f>K118*L118</f>
        <v>329.90000000000003</v>
      </c>
      <c r="N118" s="12">
        <f>K118*J118</f>
        <v>3299</v>
      </c>
      <c r="O118" s="12">
        <f>N118-M118</f>
        <v>2969.1</v>
      </c>
      <c r="P118" s="2" t="s">
        <v>45</v>
      </c>
      <c r="Q118" s="2" t="s">
        <v>18</v>
      </c>
      <c r="R118" s="2">
        <v>80</v>
      </c>
      <c r="S118" s="20">
        <f>Table1[[#This Row],[Net_revenue]]/Table1[[#This Row],[Gross_revenue]]*100%</f>
        <v>0.9</v>
      </c>
      <c r="T118" s="18">
        <f>COUNTIFS(Table1[Customer ID], "&gt;1", Table1[Customer ID], 1)</f>
        <v>0</v>
      </c>
    </row>
    <row r="119" spans="1:20" hidden="1" x14ac:dyDescent="0.3">
      <c r="A119" s="2" t="s">
        <v>283</v>
      </c>
      <c r="B119" s="5">
        <v>45809</v>
      </c>
      <c r="C119" s="5" t="str">
        <f>TEXT(B119,"mmm")</f>
        <v>Jun</v>
      </c>
      <c r="D119" s="2" t="s">
        <v>284</v>
      </c>
      <c r="E119" s="2" t="s">
        <v>195</v>
      </c>
      <c r="F119" s="2" t="str" cm="1">
        <f t="array" ref="F1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9" s="2" t="str" cm="1">
        <f t="array" ref="G1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9" s="2" t="s">
        <v>121</v>
      </c>
      <c r="I119" s="2" t="s">
        <v>95</v>
      </c>
      <c r="J119" s="2">
        <v>1</v>
      </c>
      <c r="K119" s="8">
        <v>1299</v>
      </c>
      <c r="L119" s="3">
        <v>0</v>
      </c>
      <c r="M119" s="12">
        <f>K119*L119</f>
        <v>0</v>
      </c>
      <c r="N119" s="12">
        <f>K119*J119</f>
        <v>1299</v>
      </c>
      <c r="O119" s="12">
        <f>N119-M119</f>
        <v>1299</v>
      </c>
      <c r="P119" s="2" t="s">
        <v>45</v>
      </c>
      <c r="Q119" s="2" t="s">
        <v>18</v>
      </c>
      <c r="R119" s="2">
        <v>40</v>
      </c>
      <c r="S119" s="20">
        <f>Table1[[#This Row],[Net_revenue]]/Table1[[#This Row],[Gross_revenue]]*100%</f>
        <v>1</v>
      </c>
      <c r="T119" s="18">
        <f>COUNTIFS(Table1[Customer ID], "&gt;1", Table1[Customer ID], 1)</f>
        <v>0</v>
      </c>
    </row>
    <row r="120" spans="1:20" hidden="1" x14ac:dyDescent="0.3">
      <c r="A120" s="2" t="s">
        <v>285</v>
      </c>
      <c r="B120" s="5">
        <v>45756</v>
      </c>
      <c r="C120" s="5" t="str">
        <f>TEXT(B120,"mmm")</f>
        <v>Apr</v>
      </c>
      <c r="D120" s="2" t="s">
        <v>286</v>
      </c>
      <c r="E120" s="2" t="s">
        <v>53</v>
      </c>
      <c r="F120" s="2" t="str" cm="1">
        <f t="array" ref="F1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20" s="2" t="str" cm="1">
        <f t="array" ref="G1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0" s="2" t="s">
        <v>33</v>
      </c>
      <c r="I120" s="2" t="s">
        <v>16</v>
      </c>
      <c r="J120" s="2">
        <v>2</v>
      </c>
      <c r="K120" s="8">
        <v>899</v>
      </c>
      <c r="L120" s="3">
        <v>0</v>
      </c>
      <c r="M120" s="12">
        <f>K120*L120</f>
        <v>0</v>
      </c>
      <c r="N120" s="12">
        <f>K120*J120</f>
        <v>1798</v>
      </c>
      <c r="O120" s="12">
        <f>N120-M120</f>
        <v>1798</v>
      </c>
      <c r="P120" s="2" t="s">
        <v>45</v>
      </c>
      <c r="Q120" s="2" t="s">
        <v>18</v>
      </c>
      <c r="R120" s="2">
        <v>80</v>
      </c>
      <c r="S120" s="20">
        <f>Table1[[#This Row],[Net_revenue]]/Table1[[#This Row],[Gross_revenue]]*100%</f>
        <v>1</v>
      </c>
      <c r="T120" s="18">
        <f>COUNTIFS(Table1[Customer ID], "&gt;1", Table1[Customer ID], 1)</f>
        <v>0</v>
      </c>
    </row>
    <row r="121" spans="1:20" hidden="1" x14ac:dyDescent="0.3">
      <c r="A121" s="2" t="s">
        <v>287</v>
      </c>
      <c r="B121" s="5">
        <v>45829</v>
      </c>
      <c r="C121" s="5" t="str">
        <f>TEXT(B121,"mmm")</f>
        <v>Jun</v>
      </c>
      <c r="D121" s="2" t="s">
        <v>288</v>
      </c>
      <c r="E121" s="2" t="s">
        <v>21</v>
      </c>
      <c r="F121" s="2" t="str" cm="1">
        <f t="array" ref="F1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1" s="2" t="str" cm="1">
        <f t="array" ref="G1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1" s="2" t="s">
        <v>217</v>
      </c>
      <c r="I121" s="2" t="s">
        <v>29</v>
      </c>
      <c r="J121" s="2">
        <v>1</v>
      </c>
      <c r="K121" s="8">
        <v>3299</v>
      </c>
      <c r="L121" s="3">
        <v>0.25</v>
      </c>
      <c r="M121" s="12">
        <f>K121*L121</f>
        <v>824.75</v>
      </c>
      <c r="N121" s="12">
        <f>K121*J121</f>
        <v>3299</v>
      </c>
      <c r="O121" s="12">
        <f>N121-M121</f>
        <v>2474.25</v>
      </c>
      <c r="P121" s="2" t="s">
        <v>17</v>
      </c>
      <c r="Q121" s="2" t="s">
        <v>18</v>
      </c>
      <c r="R121" s="2">
        <v>60</v>
      </c>
      <c r="S121" s="20">
        <f>Table1[[#This Row],[Net_revenue]]/Table1[[#This Row],[Gross_revenue]]*100%</f>
        <v>0.75</v>
      </c>
      <c r="T121" s="18">
        <f>COUNTIFS(Table1[Customer ID], "&gt;1", Table1[Customer ID], 1)</f>
        <v>0</v>
      </c>
    </row>
    <row r="122" spans="1:20" hidden="1" x14ac:dyDescent="0.3">
      <c r="A122" s="2" t="s">
        <v>289</v>
      </c>
      <c r="B122" s="5">
        <v>45914</v>
      </c>
      <c r="C122" s="5" t="str">
        <f>TEXT(B122,"mmm")</f>
        <v>Sep</v>
      </c>
      <c r="D122" s="2" t="s">
        <v>290</v>
      </c>
      <c r="E122" s="2" t="s">
        <v>56</v>
      </c>
      <c r="F122" s="2" t="str" cm="1">
        <f t="array" ref="F1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2" s="2" t="str" cm="1">
        <f t="array" ref="G1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2" s="2" t="s">
        <v>63</v>
      </c>
      <c r="I122" s="2" t="s">
        <v>23</v>
      </c>
      <c r="J122" s="2">
        <v>2</v>
      </c>
      <c r="K122" s="8">
        <v>2499</v>
      </c>
      <c r="L122" s="3">
        <v>0.1</v>
      </c>
      <c r="M122" s="12">
        <f>K122*L122</f>
        <v>249.9</v>
      </c>
      <c r="N122" s="12">
        <f>K122*J122</f>
        <v>4998</v>
      </c>
      <c r="O122" s="12">
        <f>N122-M122</f>
        <v>4748.1000000000004</v>
      </c>
      <c r="P122" s="2" t="s">
        <v>45</v>
      </c>
      <c r="Q122" s="2" t="s">
        <v>18</v>
      </c>
      <c r="R122" s="2">
        <v>40</v>
      </c>
      <c r="S122" s="20">
        <f>Table1[[#This Row],[Net_revenue]]/Table1[[#This Row],[Gross_revenue]]*100%</f>
        <v>0.95000000000000007</v>
      </c>
      <c r="T122" s="18">
        <f>COUNTIFS(Table1[Customer ID], "&gt;1", Table1[Customer ID], 1)</f>
        <v>0</v>
      </c>
    </row>
    <row r="123" spans="1:20" hidden="1" x14ac:dyDescent="0.3">
      <c r="A123" s="2" t="s">
        <v>291</v>
      </c>
      <c r="B123" s="5">
        <v>45999</v>
      </c>
      <c r="C123" s="5" t="str">
        <f>TEXT(B123,"mmm")</f>
        <v>Dec</v>
      </c>
      <c r="D123" s="2" t="s">
        <v>292</v>
      </c>
      <c r="E123" s="2" t="s">
        <v>48</v>
      </c>
      <c r="F123" s="2" t="str" cm="1">
        <f t="array" ref="F1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3" s="2" t="str" cm="1">
        <f t="array" ref="G1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3" s="2" t="s">
        <v>36</v>
      </c>
      <c r="I123" s="2" t="s">
        <v>37</v>
      </c>
      <c r="J123" s="2">
        <v>1</v>
      </c>
      <c r="K123" s="8">
        <v>349</v>
      </c>
      <c r="L123" s="3">
        <v>0.1</v>
      </c>
      <c r="M123" s="12">
        <f>K123*L123</f>
        <v>34.9</v>
      </c>
      <c r="N123" s="12">
        <f>K123*J123</f>
        <v>349</v>
      </c>
      <c r="O123" s="12">
        <f>N123-M123</f>
        <v>314.10000000000002</v>
      </c>
      <c r="P123" s="2" t="s">
        <v>45</v>
      </c>
      <c r="Q123" s="2" t="s">
        <v>18</v>
      </c>
      <c r="R123" s="2">
        <v>0</v>
      </c>
      <c r="S123" s="20">
        <f>Table1[[#This Row],[Net_revenue]]/Table1[[#This Row],[Gross_revenue]]*100%</f>
        <v>0.9</v>
      </c>
      <c r="T123" s="18">
        <f>COUNTIFS(Table1[Customer ID], "&gt;1", Table1[Customer ID], 1)</f>
        <v>0</v>
      </c>
    </row>
    <row r="124" spans="1:20" hidden="1" x14ac:dyDescent="0.3">
      <c r="A124" s="2" t="s">
        <v>293</v>
      </c>
      <c r="B124" s="5">
        <v>45661</v>
      </c>
      <c r="C124" s="5" t="str">
        <f>TEXT(B124,"mmm")</f>
        <v>Jan</v>
      </c>
      <c r="D124" s="2" t="s">
        <v>294</v>
      </c>
      <c r="E124" s="2" t="s">
        <v>21</v>
      </c>
      <c r="F124" s="2" t="str" cm="1">
        <f t="array" ref="F1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4" s="2" t="str" cm="1">
        <f t="array" ref="G1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4" s="2" t="s">
        <v>68</v>
      </c>
      <c r="I124" s="2" t="s">
        <v>16</v>
      </c>
      <c r="J124" s="2">
        <v>1</v>
      </c>
      <c r="K124" s="8">
        <v>599</v>
      </c>
      <c r="L124" s="3">
        <v>0.1</v>
      </c>
      <c r="M124" s="12">
        <f>K124*L124</f>
        <v>59.900000000000006</v>
      </c>
      <c r="N124" s="12">
        <f>K124*J124</f>
        <v>599</v>
      </c>
      <c r="O124" s="12">
        <f>N124-M124</f>
        <v>539.1</v>
      </c>
      <c r="P124" s="2" t="s">
        <v>45</v>
      </c>
      <c r="Q124" s="2" t="s">
        <v>18</v>
      </c>
      <c r="R124" s="2">
        <v>40</v>
      </c>
      <c r="S124" s="20">
        <f>Table1[[#This Row],[Net_revenue]]/Table1[[#This Row],[Gross_revenue]]*100%</f>
        <v>0.9</v>
      </c>
      <c r="T124" s="18">
        <f>COUNTIFS(Table1[Customer ID], "&gt;1", Table1[Customer ID], 1)</f>
        <v>0</v>
      </c>
    </row>
    <row r="125" spans="1:20" hidden="1" x14ac:dyDescent="0.3">
      <c r="A125" s="2" t="s">
        <v>295</v>
      </c>
      <c r="B125" s="5">
        <v>45932</v>
      </c>
      <c r="C125" s="5" t="str">
        <f>TEXT(B125,"mmm")</f>
        <v>Oct</v>
      </c>
      <c r="D125" s="2" t="s">
        <v>296</v>
      </c>
      <c r="E125" s="2" t="s">
        <v>75</v>
      </c>
      <c r="F125" s="2" t="str" cm="1">
        <f t="array" ref="F1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25" s="2" t="str" cm="1">
        <f t="array" ref="G1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5" s="2" t="s">
        <v>22</v>
      </c>
      <c r="I125" s="2" t="s">
        <v>23</v>
      </c>
      <c r="J125" s="2">
        <v>3</v>
      </c>
      <c r="K125" s="8">
        <v>3999</v>
      </c>
      <c r="L125" s="3">
        <v>0.25</v>
      </c>
      <c r="M125" s="12">
        <f>K125*L125</f>
        <v>999.75</v>
      </c>
      <c r="N125" s="12">
        <f>K125*J125</f>
        <v>11997</v>
      </c>
      <c r="O125" s="12">
        <f>N125-M125</f>
        <v>10997.25</v>
      </c>
      <c r="P125" s="2" t="s">
        <v>17</v>
      </c>
      <c r="Q125" s="2" t="s">
        <v>18</v>
      </c>
      <c r="R125" s="2">
        <v>40</v>
      </c>
      <c r="S125" s="20">
        <f>Table1[[#This Row],[Net_revenue]]/Table1[[#This Row],[Gross_revenue]]*100%</f>
        <v>0.91666666666666663</v>
      </c>
      <c r="T125" s="18">
        <f>COUNTIFS(Table1[Customer ID], "&gt;1", Table1[Customer ID], 1)</f>
        <v>0</v>
      </c>
    </row>
    <row r="126" spans="1:20" hidden="1" x14ac:dyDescent="0.3">
      <c r="A126" s="2" t="s">
        <v>297</v>
      </c>
      <c r="B126" s="5">
        <v>45842</v>
      </c>
      <c r="C126" s="5" t="str">
        <f>TEXT(B126,"mmm")</f>
        <v>Jul</v>
      </c>
      <c r="D126" s="2" t="s">
        <v>298</v>
      </c>
      <c r="E126" s="2" t="s">
        <v>40</v>
      </c>
      <c r="F126" s="2" t="str" cm="1">
        <f t="array" ref="F1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6" s="2" t="str" cm="1">
        <f t="array" ref="G1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6" s="2" t="s">
        <v>117</v>
      </c>
      <c r="I126" s="2" t="s">
        <v>23</v>
      </c>
      <c r="J126" s="2">
        <v>2</v>
      </c>
      <c r="K126" s="8">
        <v>2199</v>
      </c>
      <c r="L126" s="3">
        <v>0.15</v>
      </c>
      <c r="M126" s="12">
        <f>K126*L126</f>
        <v>329.84999999999997</v>
      </c>
      <c r="N126" s="12">
        <f>K126*J126</f>
        <v>4398</v>
      </c>
      <c r="O126" s="12">
        <f>N126-M126</f>
        <v>4068.15</v>
      </c>
      <c r="P126" s="2" t="s">
        <v>30</v>
      </c>
      <c r="Q126" s="2" t="s">
        <v>18</v>
      </c>
      <c r="R126" s="2">
        <v>40</v>
      </c>
      <c r="S126" s="20">
        <f>Table1[[#This Row],[Net_revenue]]/Table1[[#This Row],[Gross_revenue]]*100%</f>
        <v>0.92500000000000004</v>
      </c>
      <c r="T126" s="18">
        <f>COUNTIFS(Table1[Customer ID], "&gt;1", Table1[Customer ID], 1)</f>
        <v>0</v>
      </c>
    </row>
    <row r="127" spans="1:20" hidden="1" x14ac:dyDescent="0.3">
      <c r="A127" s="2" t="s">
        <v>299</v>
      </c>
      <c r="B127" s="5">
        <v>45715</v>
      </c>
      <c r="C127" s="5" t="str">
        <f>TEXT(B127,"mmm")</f>
        <v>Feb</v>
      </c>
      <c r="D127" s="2" t="s">
        <v>300</v>
      </c>
      <c r="E127" s="2" t="s">
        <v>14</v>
      </c>
      <c r="F127" s="2" t="str" cm="1">
        <f t="array" ref="F1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7" s="2" t="str" cm="1">
        <f t="array" ref="G1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7" s="2" t="s">
        <v>33</v>
      </c>
      <c r="I127" s="2" t="s">
        <v>16</v>
      </c>
      <c r="J127" s="2">
        <v>1</v>
      </c>
      <c r="K127" s="8">
        <v>899</v>
      </c>
      <c r="L127" s="3">
        <v>0.2</v>
      </c>
      <c r="M127" s="12">
        <f>K127*L127</f>
        <v>179.8</v>
      </c>
      <c r="N127" s="12">
        <f>K127*J127</f>
        <v>899</v>
      </c>
      <c r="O127" s="12">
        <f>N127-M127</f>
        <v>719.2</v>
      </c>
      <c r="P127" s="2" t="s">
        <v>30</v>
      </c>
      <c r="Q127" s="2" t="s">
        <v>18</v>
      </c>
      <c r="R127" s="2">
        <v>40</v>
      </c>
      <c r="S127" s="20">
        <f>Table1[[#This Row],[Net_revenue]]/Table1[[#This Row],[Gross_revenue]]*100%</f>
        <v>0.8</v>
      </c>
      <c r="T127" s="18">
        <f>COUNTIFS(Table1[Customer ID], "&gt;1", Table1[Customer ID], 1)</f>
        <v>0</v>
      </c>
    </row>
    <row r="128" spans="1:20" hidden="1" x14ac:dyDescent="0.3">
      <c r="A128" s="2" t="s">
        <v>301</v>
      </c>
      <c r="B128" s="5">
        <v>45771</v>
      </c>
      <c r="C128" s="5" t="str">
        <f>TEXT(B128,"mmm")</f>
        <v>Apr</v>
      </c>
      <c r="D128" s="2" t="s">
        <v>178</v>
      </c>
      <c r="E128" s="2" t="s">
        <v>56</v>
      </c>
      <c r="F128" s="2" t="str" cm="1">
        <f t="array" ref="F1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8" s="2" t="str" cm="1">
        <f t="array" ref="G1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 s="2" t="s">
        <v>65</v>
      </c>
      <c r="I128" s="2" t="s">
        <v>23</v>
      </c>
      <c r="J128" s="2">
        <v>1</v>
      </c>
      <c r="K128" s="8">
        <v>1899</v>
      </c>
      <c r="L128" s="3">
        <v>0.25</v>
      </c>
      <c r="M128" s="12">
        <f>K128*L128</f>
        <v>474.75</v>
      </c>
      <c r="N128" s="12">
        <f>K128*J128</f>
        <v>1899</v>
      </c>
      <c r="O128" s="12">
        <f>N128-M128</f>
        <v>1424.25</v>
      </c>
      <c r="P128" s="2" t="s">
        <v>30</v>
      </c>
      <c r="Q128" s="2" t="s">
        <v>18</v>
      </c>
      <c r="R128" s="2">
        <v>40</v>
      </c>
      <c r="S128" s="20">
        <f>Table1[[#This Row],[Net_revenue]]/Table1[[#This Row],[Gross_revenue]]*100%</f>
        <v>0.75</v>
      </c>
      <c r="T128" s="18">
        <f>COUNTIFS(Table1[Customer ID], "&gt;1", Table1[Customer ID], 1)</f>
        <v>0</v>
      </c>
    </row>
    <row r="129" spans="1:20" hidden="1" x14ac:dyDescent="0.3">
      <c r="A129" s="2" t="s">
        <v>302</v>
      </c>
      <c r="B129" s="5">
        <v>45667</v>
      </c>
      <c r="C129" s="5" t="str">
        <f>TEXT(B129,"mmm")</f>
        <v>Jan</v>
      </c>
      <c r="D129" s="2" t="s">
        <v>303</v>
      </c>
      <c r="E129" s="2" t="s">
        <v>195</v>
      </c>
      <c r="F129" s="2" t="str" cm="1">
        <f t="array" ref="F1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9" s="2" t="str" cm="1">
        <f t="array" ref="G1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9" s="2" t="s">
        <v>65</v>
      </c>
      <c r="I129" s="2" t="s">
        <v>23</v>
      </c>
      <c r="J129" s="2">
        <v>3</v>
      </c>
      <c r="K129" s="8">
        <v>1899</v>
      </c>
      <c r="L129" s="3">
        <v>0.25</v>
      </c>
      <c r="M129" s="12">
        <f>K129*L129</f>
        <v>474.75</v>
      </c>
      <c r="N129" s="12">
        <f>K129*J129</f>
        <v>5697</v>
      </c>
      <c r="O129" s="12">
        <f>N129-M129</f>
        <v>5222.25</v>
      </c>
      <c r="P129" s="2" t="s">
        <v>45</v>
      </c>
      <c r="Q129" s="2" t="s">
        <v>18</v>
      </c>
      <c r="R129" s="2">
        <v>0</v>
      </c>
      <c r="S129" s="20">
        <f>Table1[[#This Row],[Net_revenue]]/Table1[[#This Row],[Gross_revenue]]*100%</f>
        <v>0.91666666666666663</v>
      </c>
      <c r="T129" s="18">
        <f>COUNTIFS(Table1[Customer ID], "&gt;1", Table1[Customer ID], 1)</f>
        <v>0</v>
      </c>
    </row>
    <row r="130" spans="1:20" hidden="1" x14ac:dyDescent="0.3">
      <c r="A130" s="2" t="s">
        <v>304</v>
      </c>
      <c r="B130" s="5">
        <v>45975</v>
      </c>
      <c r="C130" s="5" t="str">
        <f>TEXT(B130,"mmm")</f>
        <v>Nov</v>
      </c>
      <c r="D130" s="2" t="s">
        <v>305</v>
      </c>
      <c r="E130" s="2" t="s">
        <v>14</v>
      </c>
      <c r="F130" s="2" t="str" cm="1">
        <f t="array" ref="F1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0" s="2" t="str" cm="1">
        <f t="array" ref="G1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0" s="2" t="s">
        <v>121</v>
      </c>
      <c r="I130" s="2" t="s">
        <v>95</v>
      </c>
      <c r="J130" s="2">
        <v>2</v>
      </c>
      <c r="K130" s="8">
        <v>1299</v>
      </c>
      <c r="L130" s="3">
        <v>0</v>
      </c>
      <c r="M130" s="12">
        <f>K130*L130</f>
        <v>0</v>
      </c>
      <c r="N130" s="12">
        <f>K130*J130</f>
        <v>2598</v>
      </c>
      <c r="O130" s="12">
        <f>N130-M130</f>
        <v>2598</v>
      </c>
      <c r="P130" s="2" t="s">
        <v>30</v>
      </c>
      <c r="Q130" s="2" t="s">
        <v>18</v>
      </c>
      <c r="R130" s="2">
        <v>80</v>
      </c>
      <c r="S130" s="20">
        <f>Table1[[#This Row],[Net_revenue]]/Table1[[#This Row],[Gross_revenue]]*100%</f>
        <v>1</v>
      </c>
      <c r="T130" s="18">
        <f>COUNTIFS(Table1[Customer ID], "&gt;1", Table1[Customer ID], 1)</f>
        <v>0</v>
      </c>
    </row>
    <row r="131" spans="1:20" hidden="1" x14ac:dyDescent="0.3">
      <c r="A131" s="2" t="s">
        <v>306</v>
      </c>
      <c r="B131" s="5">
        <v>45745</v>
      </c>
      <c r="C131" s="5" t="str">
        <f>TEXT(B131,"mmm")</f>
        <v>Mar</v>
      </c>
      <c r="D131" s="2" t="s">
        <v>307</v>
      </c>
      <c r="E131" s="2" t="s">
        <v>14</v>
      </c>
      <c r="F131" s="2" t="str" cm="1">
        <f t="array" ref="F1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1" s="2" t="str" cm="1">
        <f t="array" ref="G1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1" s="2" t="s">
        <v>65</v>
      </c>
      <c r="I131" s="2" t="s">
        <v>23</v>
      </c>
      <c r="J131" s="2">
        <v>1</v>
      </c>
      <c r="K131" s="8">
        <v>1899</v>
      </c>
      <c r="L131" s="3">
        <v>0.2</v>
      </c>
      <c r="M131" s="12">
        <f>K131*L131</f>
        <v>379.8</v>
      </c>
      <c r="N131" s="12">
        <f>K131*J131</f>
        <v>1899</v>
      </c>
      <c r="O131" s="12">
        <f>N131-M131</f>
        <v>1519.2</v>
      </c>
      <c r="P131" s="2" t="s">
        <v>30</v>
      </c>
      <c r="Q131" s="2" t="s">
        <v>72</v>
      </c>
      <c r="R131" s="2">
        <v>0</v>
      </c>
      <c r="S131" s="20">
        <f>Table1[[#This Row],[Net_revenue]]/Table1[[#This Row],[Gross_revenue]]*100%</f>
        <v>0.8</v>
      </c>
      <c r="T131" s="18">
        <f>COUNTIFS(Table1[Customer ID], "&gt;1", Table1[Customer ID], 1)</f>
        <v>0</v>
      </c>
    </row>
    <row r="132" spans="1:20" hidden="1" x14ac:dyDescent="0.3">
      <c r="A132" s="2" t="s">
        <v>308</v>
      </c>
      <c r="B132" s="5">
        <v>45844</v>
      </c>
      <c r="C132" s="5" t="str">
        <f>TEXT(B132,"mmm")</f>
        <v>Jul</v>
      </c>
      <c r="D132" s="2" t="s">
        <v>309</v>
      </c>
      <c r="E132" s="2" t="s">
        <v>48</v>
      </c>
      <c r="F132" s="2" t="str" cm="1">
        <f t="array" ref="F1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2" s="2" t="str" cm="1">
        <f t="array" ref="G1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2" s="2" t="s">
        <v>49</v>
      </c>
      <c r="I132" s="2" t="s">
        <v>23</v>
      </c>
      <c r="J132" s="2">
        <v>2</v>
      </c>
      <c r="K132" s="8">
        <v>1299</v>
      </c>
      <c r="L132" s="3">
        <v>0.1</v>
      </c>
      <c r="M132" s="12">
        <f>K132*L132</f>
        <v>129.9</v>
      </c>
      <c r="N132" s="12">
        <f>K132*J132</f>
        <v>2598</v>
      </c>
      <c r="O132" s="12">
        <f>N132-M132</f>
        <v>2468.1</v>
      </c>
      <c r="P132" s="2" t="s">
        <v>30</v>
      </c>
      <c r="Q132" s="2" t="s">
        <v>18</v>
      </c>
      <c r="R132" s="2">
        <v>40</v>
      </c>
      <c r="S132" s="20">
        <f>Table1[[#This Row],[Net_revenue]]/Table1[[#This Row],[Gross_revenue]]*100%</f>
        <v>0.95</v>
      </c>
      <c r="T132" s="18">
        <f>COUNTIFS(Table1[Customer ID], "&gt;1", Table1[Customer ID], 1)</f>
        <v>0</v>
      </c>
    </row>
    <row r="133" spans="1:20" hidden="1" x14ac:dyDescent="0.3">
      <c r="A133" s="2" t="s">
        <v>310</v>
      </c>
      <c r="B133" s="5">
        <v>45925</v>
      </c>
      <c r="C133" s="5" t="str">
        <f>TEXT(B133,"mmm")</f>
        <v>Sep</v>
      </c>
      <c r="D133" s="2" t="s">
        <v>305</v>
      </c>
      <c r="E133" s="2" t="s">
        <v>21</v>
      </c>
      <c r="F133" s="2" t="str" cm="1">
        <f t="array" ref="F1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 s="2" t="str" cm="1">
        <f t="array" ref="G1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 s="2" t="s">
        <v>49</v>
      </c>
      <c r="I133" s="2" t="s">
        <v>23</v>
      </c>
      <c r="J133" s="2">
        <v>1</v>
      </c>
      <c r="K133" s="8">
        <v>1299</v>
      </c>
      <c r="L133" s="3">
        <v>0</v>
      </c>
      <c r="M133" s="12">
        <f>K133*L133</f>
        <v>0</v>
      </c>
      <c r="N133" s="12">
        <f>K133*J133</f>
        <v>1299</v>
      </c>
      <c r="O133" s="12">
        <f>N133-M133</f>
        <v>1299</v>
      </c>
      <c r="P133" s="2" t="s">
        <v>45</v>
      </c>
      <c r="Q133" s="2" t="s">
        <v>18</v>
      </c>
      <c r="R133" s="2">
        <v>60</v>
      </c>
      <c r="S133" s="20">
        <f>Table1[[#This Row],[Net_revenue]]/Table1[[#This Row],[Gross_revenue]]*100%</f>
        <v>1</v>
      </c>
      <c r="T133" s="18">
        <f>COUNTIFS(Table1[Customer ID], "&gt;1", Table1[Customer ID], 1)</f>
        <v>0</v>
      </c>
    </row>
    <row r="134" spans="1:20" hidden="1" x14ac:dyDescent="0.3">
      <c r="A134" s="2" t="s">
        <v>311</v>
      </c>
      <c r="B134" s="5">
        <v>45675</v>
      </c>
      <c r="C134" s="5" t="str">
        <f>TEXT(B134,"mmm")</f>
        <v>Jan</v>
      </c>
      <c r="D134" s="2" t="s">
        <v>26</v>
      </c>
      <c r="E134" s="2" t="s">
        <v>48</v>
      </c>
      <c r="F134" s="2" t="str" cm="1">
        <f t="array" ref="F1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4" s="2" t="str" cm="1">
        <f t="array" ref="G1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4" s="2" t="s">
        <v>68</v>
      </c>
      <c r="I134" s="2" t="s">
        <v>16</v>
      </c>
      <c r="J134" s="2">
        <v>1</v>
      </c>
      <c r="K134" s="8">
        <v>599</v>
      </c>
      <c r="L134" s="3">
        <v>0.1</v>
      </c>
      <c r="M134" s="12">
        <f>K134*L134</f>
        <v>59.900000000000006</v>
      </c>
      <c r="N134" s="12">
        <f>K134*J134</f>
        <v>599</v>
      </c>
      <c r="O134" s="12">
        <f>N134-M134</f>
        <v>539.1</v>
      </c>
      <c r="P134" s="2" t="s">
        <v>45</v>
      </c>
      <c r="Q134" s="2" t="s">
        <v>50</v>
      </c>
      <c r="R134" s="2">
        <v>40</v>
      </c>
      <c r="S134" s="20">
        <f>Table1[[#This Row],[Net_revenue]]/Table1[[#This Row],[Gross_revenue]]*100%</f>
        <v>0.9</v>
      </c>
      <c r="T134" s="18">
        <f>COUNTIFS(Table1[Customer ID], "&gt;1", Table1[Customer ID], 1)</f>
        <v>0</v>
      </c>
    </row>
    <row r="135" spans="1:20" hidden="1" x14ac:dyDescent="0.3">
      <c r="A135" s="2" t="s">
        <v>312</v>
      </c>
      <c r="B135" s="5">
        <v>45943</v>
      </c>
      <c r="C135" s="5" t="str">
        <f>TEXT(B135,"mmm")</f>
        <v>Oct</v>
      </c>
      <c r="D135" s="2" t="s">
        <v>313</v>
      </c>
      <c r="E135" s="2" t="s">
        <v>75</v>
      </c>
      <c r="F135" s="2" t="str" cm="1">
        <f t="array" ref="F1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5" s="2" t="str" cm="1">
        <f t="array" ref="G1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5" s="2" t="s">
        <v>41</v>
      </c>
      <c r="I135" s="2" t="s">
        <v>16</v>
      </c>
      <c r="J135" s="2">
        <v>2</v>
      </c>
      <c r="K135" s="8">
        <v>2299</v>
      </c>
      <c r="L135" s="3">
        <v>0</v>
      </c>
      <c r="M135" s="12">
        <f>K135*L135</f>
        <v>0</v>
      </c>
      <c r="N135" s="12">
        <f>K135*J135</f>
        <v>4598</v>
      </c>
      <c r="O135" s="12">
        <f>N135-M135</f>
        <v>4598</v>
      </c>
      <c r="P135" s="2" t="s">
        <v>45</v>
      </c>
      <c r="Q135" s="2" t="s">
        <v>18</v>
      </c>
      <c r="R135" s="2">
        <v>80</v>
      </c>
      <c r="S135" s="20">
        <f>Table1[[#This Row],[Net_revenue]]/Table1[[#This Row],[Gross_revenue]]*100%</f>
        <v>1</v>
      </c>
      <c r="T135" s="18">
        <f>COUNTIFS(Table1[Customer ID], "&gt;1", Table1[Customer ID], 1)</f>
        <v>0</v>
      </c>
    </row>
    <row r="136" spans="1:20" hidden="1" x14ac:dyDescent="0.3">
      <c r="A136" s="2" t="s">
        <v>314</v>
      </c>
      <c r="B136" s="5">
        <v>45853</v>
      </c>
      <c r="C136" s="5" t="str">
        <f>TEXT(B136,"mmm")</f>
        <v>Jul</v>
      </c>
      <c r="D136" s="2" t="s">
        <v>315</v>
      </c>
      <c r="E136" s="2" t="s">
        <v>40</v>
      </c>
      <c r="F136" s="2" t="str" cm="1">
        <f t="array" ref="F1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6" s="2" t="str" cm="1">
        <f t="array" ref="G1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6" s="2" t="s">
        <v>36</v>
      </c>
      <c r="I136" s="2" t="s">
        <v>37</v>
      </c>
      <c r="J136" s="2">
        <v>2</v>
      </c>
      <c r="K136" s="8">
        <v>349</v>
      </c>
      <c r="L136" s="3">
        <v>0.2</v>
      </c>
      <c r="M136" s="12">
        <f>K136*L136</f>
        <v>69.8</v>
      </c>
      <c r="N136" s="12">
        <f>K136*J136</f>
        <v>698</v>
      </c>
      <c r="O136" s="12">
        <f>N136-M136</f>
        <v>628.20000000000005</v>
      </c>
      <c r="P136" s="2" t="s">
        <v>30</v>
      </c>
      <c r="Q136" s="2" t="s">
        <v>18</v>
      </c>
      <c r="R136" s="2">
        <v>40</v>
      </c>
      <c r="S136" s="20">
        <f>Table1[[#This Row],[Net_revenue]]/Table1[[#This Row],[Gross_revenue]]*100%</f>
        <v>0.9</v>
      </c>
      <c r="T136" s="18">
        <f>COUNTIFS(Table1[Customer ID], "&gt;1", Table1[Customer ID], 1)</f>
        <v>0</v>
      </c>
    </row>
    <row r="137" spans="1:20" hidden="1" x14ac:dyDescent="0.3">
      <c r="A137" s="2" t="s">
        <v>316</v>
      </c>
      <c r="B137" s="5">
        <v>45767</v>
      </c>
      <c r="C137" s="5" t="str">
        <f>TEXT(B137,"mmm")</f>
        <v>Apr</v>
      </c>
      <c r="D137" s="2" t="s">
        <v>317</v>
      </c>
      <c r="E137" s="2" t="s">
        <v>53</v>
      </c>
      <c r="F137" s="2" t="str" cm="1">
        <f t="array" ref="F1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37" s="2" t="str" cm="1">
        <f t="array" ref="G1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7" s="2" t="s">
        <v>44</v>
      </c>
      <c r="I137" s="2" t="s">
        <v>16</v>
      </c>
      <c r="J137" s="2">
        <v>2</v>
      </c>
      <c r="K137" s="8">
        <v>1599</v>
      </c>
      <c r="L137" s="3">
        <v>0.25</v>
      </c>
      <c r="M137" s="12">
        <f>K137*L137</f>
        <v>399.75</v>
      </c>
      <c r="N137" s="12">
        <f>K137*J137</f>
        <v>3198</v>
      </c>
      <c r="O137" s="12">
        <f>N137-M137</f>
        <v>2798.25</v>
      </c>
      <c r="P137" s="2" t="s">
        <v>17</v>
      </c>
      <c r="Q137" s="2" t="s">
        <v>18</v>
      </c>
      <c r="R137" s="2">
        <v>80</v>
      </c>
      <c r="S137" s="20">
        <f>Table1[[#This Row],[Net_revenue]]/Table1[[#This Row],[Gross_revenue]]*100%</f>
        <v>0.875</v>
      </c>
      <c r="T137" s="18">
        <f>COUNTIFS(Table1[Customer ID], "&gt;1", Table1[Customer ID], 1)</f>
        <v>0</v>
      </c>
    </row>
    <row r="138" spans="1:20" hidden="1" x14ac:dyDescent="0.3">
      <c r="A138" s="2" t="s">
        <v>318</v>
      </c>
      <c r="B138" s="5">
        <v>45872</v>
      </c>
      <c r="C138" s="5" t="str">
        <f>TEXT(B138,"mmm")</f>
        <v>Aug</v>
      </c>
      <c r="D138" s="2" t="s">
        <v>319</v>
      </c>
      <c r="E138" s="2" t="s">
        <v>27</v>
      </c>
      <c r="F138" s="2" t="str" cm="1">
        <f t="array" ref="F1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38" s="2" t="str" cm="1">
        <f t="array" ref="G1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8" s="2" t="s">
        <v>49</v>
      </c>
      <c r="I138" s="2" t="s">
        <v>23</v>
      </c>
      <c r="J138" s="2">
        <v>1</v>
      </c>
      <c r="K138" s="8">
        <v>1299</v>
      </c>
      <c r="L138" s="3">
        <v>0</v>
      </c>
      <c r="M138" s="12">
        <f>K138*L138</f>
        <v>0</v>
      </c>
      <c r="N138" s="12">
        <f>K138*J138</f>
        <v>1299</v>
      </c>
      <c r="O138" s="12">
        <f>N138-M138</f>
        <v>1299</v>
      </c>
      <c r="P138" s="2" t="s">
        <v>17</v>
      </c>
      <c r="Q138" s="2" t="s">
        <v>18</v>
      </c>
      <c r="R138" s="2">
        <v>60</v>
      </c>
      <c r="S138" s="20">
        <f>Table1[[#This Row],[Net_revenue]]/Table1[[#This Row],[Gross_revenue]]*100%</f>
        <v>1</v>
      </c>
      <c r="T138" s="18">
        <f>COUNTIFS(Table1[Customer ID], "&gt;1", Table1[Customer ID], 1)</f>
        <v>0</v>
      </c>
    </row>
    <row r="139" spans="1:20" hidden="1" x14ac:dyDescent="0.3">
      <c r="A139" s="2" t="s">
        <v>320</v>
      </c>
      <c r="B139" s="5">
        <v>45990</v>
      </c>
      <c r="C139" s="5" t="str">
        <f>TEXT(B139,"mmm")</f>
        <v>Nov</v>
      </c>
      <c r="D139" s="2" t="s">
        <v>321</v>
      </c>
      <c r="E139" s="2" t="s">
        <v>21</v>
      </c>
      <c r="F139" s="2" t="str" cm="1">
        <f t="array" ref="F1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9" s="2" t="str" cm="1">
        <f t="array" ref="G1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9" s="2" t="s">
        <v>15</v>
      </c>
      <c r="I139" s="2" t="s">
        <v>16</v>
      </c>
      <c r="J139" s="2">
        <v>1</v>
      </c>
      <c r="K139" s="8">
        <v>1799</v>
      </c>
      <c r="L139" s="3">
        <v>0.1</v>
      </c>
      <c r="M139" s="12">
        <f>K139*L139</f>
        <v>179.9</v>
      </c>
      <c r="N139" s="12">
        <f>K139*J139</f>
        <v>1799</v>
      </c>
      <c r="O139" s="12">
        <f>N139-M139</f>
        <v>1619.1</v>
      </c>
      <c r="P139" s="2" t="s">
        <v>45</v>
      </c>
      <c r="Q139" s="2" t="s">
        <v>50</v>
      </c>
      <c r="R139" s="2">
        <v>0</v>
      </c>
      <c r="S139" s="20">
        <f>Table1[[#This Row],[Net_revenue]]/Table1[[#This Row],[Gross_revenue]]*100%</f>
        <v>0.89999999999999991</v>
      </c>
      <c r="T139" s="18">
        <f>COUNTIFS(Table1[Customer ID], "&gt;1", Table1[Customer ID], 1)</f>
        <v>0</v>
      </c>
    </row>
    <row r="140" spans="1:20" hidden="1" x14ac:dyDescent="0.3">
      <c r="A140" s="2" t="s">
        <v>322</v>
      </c>
      <c r="B140" s="5">
        <v>45854</v>
      </c>
      <c r="C140" s="5" t="str">
        <f>TEXT(B140,"mmm")</f>
        <v>Jul</v>
      </c>
      <c r="D140" s="2" t="s">
        <v>323</v>
      </c>
      <c r="E140" s="2" t="s">
        <v>40</v>
      </c>
      <c r="F140" s="2" t="str" cm="1">
        <f t="array" ref="F1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0" s="2" t="str" cm="1">
        <f t="array" ref="G1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0" s="2" t="s">
        <v>22</v>
      </c>
      <c r="I140" s="2" t="s">
        <v>23</v>
      </c>
      <c r="J140" s="2">
        <v>1</v>
      </c>
      <c r="K140" s="8">
        <v>3999</v>
      </c>
      <c r="L140" s="3">
        <v>0.25</v>
      </c>
      <c r="M140" s="12">
        <f>K140*L140</f>
        <v>999.75</v>
      </c>
      <c r="N140" s="12">
        <f>K140*J140</f>
        <v>3999</v>
      </c>
      <c r="O140" s="12">
        <f>N140-M140</f>
        <v>2999.25</v>
      </c>
      <c r="P140" s="2" t="s">
        <v>30</v>
      </c>
      <c r="Q140" s="2" t="s">
        <v>18</v>
      </c>
      <c r="R140" s="2">
        <v>0</v>
      </c>
      <c r="S140" s="20">
        <f>Table1[[#This Row],[Net_revenue]]/Table1[[#This Row],[Gross_revenue]]*100%</f>
        <v>0.75</v>
      </c>
      <c r="T140" s="18">
        <f>COUNTIFS(Table1[Customer ID], "&gt;1", Table1[Customer ID], 1)</f>
        <v>0</v>
      </c>
    </row>
    <row r="141" spans="1:20" hidden="1" x14ac:dyDescent="0.3">
      <c r="A141" s="2" t="s">
        <v>324</v>
      </c>
      <c r="B141" s="5">
        <v>45780</v>
      </c>
      <c r="C141" s="5" t="str">
        <f>TEXT(B141,"mmm")</f>
        <v>May</v>
      </c>
      <c r="D141" s="2" t="s">
        <v>325</v>
      </c>
      <c r="E141" s="2" t="s">
        <v>21</v>
      </c>
      <c r="F141" s="2" t="str" cm="1">
        <f t="array" ref="F1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1" s="2" t="str" cm="1">
        <f t="array" ref="G1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1" s="2" t="s">
        <v>65</v>
      </c>
      <c r="I141" s="2" t="s">
        <v>23</v>
      </c>
      <c r="J141" s="2">
        <v>1</v>
      </c>
      <c r="K141" s="8">
        <v>1899</v>
      </c>
      <c r="L141" s="3">
        <v>0.25</v>
      </c>
      <c r="M141" s="12">
        <f>K141*L141</f>
        <v>474.75</v>
      </c>
      <c r="N141" s="12">
        <f>K141*J141</f>
        <v>1899</v>
      </c>
      <c r="O141" s="12">
        <f>N141-M141</f>
        <v>1424.25</v>
      </c>
      <c r="P141" s="2" t="s">
        <v>45</v>
      </c>
      <c r="Q141" s="2" t="s">
        <v>72</v>
      </c>
      <c r="R141" s="2">
        <v>80</v>
      </c>
      <c r="S141" s="20">
        <f>Table1[[#This Row],[Net_revenue]]/Table1[[#This Row],[Gross_revenue]]*100%</f>
        <v>0.75</v>
      </c>
      <c r="T141" s="18">
        <f>COUNTIFS(Table1[Customer ID], "&gt;1", Table1[Customer ID], 1)</f>
        <v>0</v>
      </c>
    </row>
    <row r="142" spans="1:20" hidden="1" x14ac:dyDescent="0.3">
      <c r="A142" s="2" t="s">
        <v>326</v>
      </c>
      <c r="B142" s="5">
        <v>46013</v>
      </c>
      <c r="C142" s="5" t="str">
        <f>TEXT(B142,"mmm")</f>
        <v>Dec</v>
      </c>
      <c r="D142" s="2" t="s">
        <v>327</v>
      </c>
      <c r="E142" s="2" t="s">
        <v>120</v>
      </c>
      <c r="F142" s="2" t="str" cm="1">
        <f t="array" ref="F1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2" s="2" t="str" cm="1">
        <f t="array" ref="G1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2" s="2" t="s">
        <v>15</v>
      </c>
      <c r="I142" s="2" t="s">
        <v>16</v>
      </c>
      <c r="J142" s="2">
        <v>1</v>
      </c>
      <c r="K142" s="8">
        <v>1799</v>
      </c>
      <c r="L142" s="3">
        <v>0.05</v>
      </c>
      <c r="M142" s="12">
        <f>K142*L142</f>
        <v>89.95</v>
      </c>
      <c r="N142" s="12">
        <f>K142*J142</f>
        <v>1799</v>
      </c>
      <c r="O142" s="12">
        <f>N142-M142</f>
        <v>1709.05</v>
      </c>
      <c r="P142" s="2" t="s">
        <v>17</v>
      </c>
      <c r="Q142" s="2" t="s">
        <v>18</v>
      </c>
      <c r="R142" s="2">
        <v>40</v>
      </c>
      <c r="S142" s="20">
        <f>Table1[[#This Row],[Net_revenue]]/Table1[[#This Row],[Gross_revenue]]*100%</f>
        <v>0.95</v>
      </c>
      <c r="T142" s="18">
        <f>COUNTIFS(Table1[Customer ID], "&gt;1", Table1[Customer ID], 1)</f>
        <v>0</v>
      </c>
    </row>
    <row r="143" spans="1:20" hidden="1" x14ac:dyDescent="0.3">
      <c r="A143" s="2" t="s">
        <v>328</v>
      </c>
      <c r="B143" s="5">
        <v>45931</v>
      </c>
      <c r="C143" s="5" t="str">
        <f>TEXT(B143,"mmm")</f>
        <v>Oct</v>
      </c>
      <c r="D143" s="2" t="s">
        <v>329</v>
      </c>
      <c r="E143" s="2" t="s">
        <v>40</v>
      </c>
      <c r="F143" s="2" t="str" cm="1">
        <f t="array" ref="F1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3" s="2" t="str" cm="1">
        <f t="array" ref="G1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3" s="2" t="s">
        <v>107</v>
      </c>
      <c r="I143" s="2" t="s">
        <v>95</v>
      </c>
      <c r="J143" s="2">
        <v>1</v>
      </c>
      <c r="K143" s="8">
        <v>1599</v>
      </c>
      <c r="L143" s="3">
        <v>0.2</v>
      </c>
      <c r="M143" s="12">
        <f>K143*L143</f>
        <v>319.8</v>
      </c>
      <c r="N143" s="12">
        <f>K143*J143</f>
        <v>1599</v>
      </c>
      <c r="O143" s="12">
        <f>N143-M143</f>
        <v>1279.2</v>
      </c>
      <c r="P143" s="2" t="s">
        <v>45</v>
      </c>
      <c r="Q143" s="2" t="s">
        <v>18</v>
      </c>
      <c r="R143" s="2">
        <v>60</v>
      </c>
      <c r="S143" s="20">
        <f>Table1[[#This Row],[Net_revenue]]/Table1[[#This Row],[Gross_revenue]]*100%</f>
        <v>0.8</v>
      </c>
      <c r="T143" s="18">
        <f>COUNTIFS(Table1[Customer ID], "&gt;1", Table1[Customer ID], 1)</f>
        <v>0</v>
      </c>
    </row>
    <row r="144" spans="1:20" hidden="1" x14ac:dyDescent="0.3">
      <c r="A144" s="2" t="s">
        <v>330</v>
      </c>
      <c r="B144" s="5">
        <v>45678</v>
      </c>
      <c r="C144" s="5" t="str">
        <f>TEXT(B144,"mmm")</f>
        <v>Jan</v>
      </c>
      <c r="D144" s="2" t="s">
        <v>331</v>
      </c>
      <c r="E144" s="2" t="s">
        <v>14</v>
      </c>
      <c r="F144" s="2" t="str" cm="1">
        <f t="array" ref="F1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4" s="2" t="str" cm="1">
        <f t="array" ref="G1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4" s="2" t="s">
        <v>217</v>
      </c>
      <c r="I144" s="2" t="s">
        <v>29</v>
      </c>
      <c r="J144" s="2">
        <v>2</v>
      </c>
      <c r="K144" s="8">
        <v>3299</v>
      </c>
      <c r="L144" s="3">
        <v>0</v>
      </c>
      <c r="M144" s="12">
        <f>K144*L144</f>
        <v>0</v>
      </c>
      <c r="N144" s="12">
        <f>K144*J144</f>
        <v>6598</v>
      </c>
      <c r="O144" s="12">
        <f>N144-M144</f>
        <v>6598</v>
      </c>
      <c r="P144" s="2" t="s">
        <v>24</v>
      </c>
      <c r="Q144" s="2" t="s">
        <v>18</v>
      </c>
      <c r="R144" s="2">
        <v>60</v>
      </c>
      <c r="S144" s="20">
        <f>Table1[[#This Row],[Net_revenue]]/Table1[[#This Row],[Gross_revenue]]*100%</f>
        <v>1</v>
      </c>
      <c r="T144" s="18">
        <f>COUNTIFS(Table1[Customer ID], "&gt;1", Table1[Customer ID], 1)</f>
        <v>0</v>
      </c>
    </row>
    <row r="145" spans="1:20" hidden="1" x14ac:dyDescent="0.3">
      <c r="A145" s="2" t="s">
        <v>332</v>
      </c>
      <c r="B145" s="5">
        <v>45768</v>
      </c>
      <c r="C145" s="5" t="str">
        <f>TEXT(B145,"mmm")</f>
        <v>Apr</v>
      </c>
      <c r="D145" s="2" t="s">
        <v>333</v>
      </c>
      <c r="E145" s="2" t="s">
        <v>40</v>
      </c>
      <c r="F145" s="2" t="str" cm="1">
        <f t="array" ref="F1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5" s="2" t="str" cm="1">
        <f t="array" ref="G1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5" s="2" t="s">
        <v>71</v>
      </c>
      <c r="I145" s="2" t="s">
        <v>29</v>
      </c>
      <c r="J145" s="2">
        <v>2</v>
      </c>
      <c r="K145" s="8">
        <v>5499</v>
      </c>
      <c r="L145" s="3">
        <v>0.15</v>
      </c>
      <c r="M145" s="12">
        <f>K145*L145</f>
        <v>824.85</v>
      </c>
      <c r="N145" s="12">
        <f>K145*J145</f>
        <v>10998</v>
      </c>
      <c r="O145" s="12">
        <f>N145-M145</f>
        <v>10173.15</v>
      </c>
      <c r="P145" s="2" t="s">
        <v>17</v>
      </c>
      <c r="Q145" s="2" t="s">
        <v>18</v>
      </c>
      <c r="R145" s="2">
        <v>0</v>
      </c>
      <c r="S145" s="20">
        <f>Table1[[#This Row],[Net_revenue]]/Table1[[#This Row],[Gross_revenue]]*100%</f>
        <v>0.92499999999999993</v>
      </c>
      <c r="T145" s="18">
        <f>COUNTIFS(Table1[Customer ID], "&gt;1", Table1[Customer ID], 1)</f>
        <v>0</v>
      </c>
    </row>
    <row r="146" spans="1:20" hidden="1" x14ac:dyDescent="0.3">
      <c r="A146" s="2" t="s">
        <v>334</v>
      </c>
      <c r="B146" s="5">
        <v>45858</v>
      </c>
      <c r="C146" s="5" t="str">
        <f>TEXT(B146,"mmm")</f>
        <v>Jul</v>
      </c>
      <c r="D146" s="2" t="s">
        <v>335</v>
      </c>
      <c r="E146" s="2" t="s">
        <v>40</v>
      </c>
      <c r="F146" s="2" t="str" cm="1">
        <f t="array" ref="F1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6" s="2" t="str" cm="1">
        <f t="array" ref="G1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6" s="2" t="s">
        <v>71</v>
      </c>
      <c r="I146" s="2" t="s">
        <v>29</v>
      </c>
      <c r="J146" s="2">
        <v>1</v>
      </c>
      <c r="K146" s="8">
        <v>5499</v>
      </c>
      <c r="L146" s="3">
        <v>0.25</v>
      </c>
      <c r="M146" s="12">
        <f>K146*L146</f>
        <v>1374.75</v>
      </c>
      <c r="N146" s="12">
        <f>K146*J146</f>
        <v>5499</v>
      </c>
      <c r="O146" s="12">
        <f>N146-M146</f>
        <v>4124.25</v>
      </c>
      <c r="P146" s="2" t="s">
        <v>30</v>
      </c>
      <c r="Q146" s="2" t="s">
        <v>18</v>
      </c>
      <c r="R146" s="2">
        <v>40</v>
      </c>
      <c r="S146" s="20">
        <f>Table1[[#This Row],[Net_revenue]]/Table1[[#This Row],[Gross_revenue]]*100%</f>
        <v>0.75</v>
      </c>
      <c r="T146" s="18">
        <f>COUNTIFS(Table1[Customer ID], "&gt;1", Table1[Customer ID], 1)</f>
        <v>0</v>
      </c>
    </row>
    <row r="147" spans="1:20" hidden="1" x14ac:dyDescent="0.3">
      <c r="A147" s="2" t="s">
        <v>336</v>
      </c>
      <c r="B147" s="5">
        <v>45761</v>
      </c>
      <c r="C147" s="5" t="str">
        <f>TEXT(B147,"mmm")</f>
        <v>Apr</v>
      </c>
      <c r="D147" s="2" t="s">
        <v>337</v>
      </c>
      <c r="E147" s="2" t="s">
        <v>56</v>
      </c>
      <c r="F147" s="2" t="str" cm="1">
        <f t="array" ref="F1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7" s="2" t="str" cm="1">
        <f t="array" ref="G1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7" s="2" t="s">
        <v>49</v>
      </c>
      <c r="I147" s="2" t="s">
        <v>23</v>
      </c>
      <c r="J147" s="2">
        <v>2</v>
      </c>
      <c r="K147" s="8">
        <v>1299</v>
      </c>
      <c r="L147" s="3">
        <v>0.25</v>
      </c>
      <c r="M147" s="12">
        <f>K147*L147</f>
        <v>324.75</v>
      </c>
      <c r="N147" s="12">
        <f>K147*J147</f>
        <v>2598</v>
      </c>
      <c r="O147" s="12">
        <f>N147-M147</f>
        <v>2273.25</v>
      </c>
      <c r="P147" s="2" t="s">
        <v>30</v>
      </c>
      <c r="Q147" s="2" t="s">
        <v>18</v>
      </c>
      <c r="R147" s="2">
        <v>80</v>
      </c>
      <c r="S147" s="20">
        <f>Table1[[#This Row],[Net_revenue]]/Table1[[#This Row],[Gross_revenue]]*100%</f>
        <v>0.875</v>
      </c>
      <c r="T147" s="18">
        <f>COUNTIFS(Table1[Customer ID], "&gt;1", Table1[Customer ID], 1)</f>
        <v>0</v>
      </c>
    </row>
    <row r="148" spans="1:20" hidden="1" x14ac:dyDescent="0.3">
      <c r="A148" s="2" t="s">
        <v>338</v>
      </c>
      <c r="B148" s="5">
        <v>45984</v>
      </c>
      <c r="C148" s="5" t="str">
        <f>TEXT(B148,"mmm")</f>
        <v>Nov</v>
      </c>
      <c r="D148" s="2" t="s">
        <v>339</v>
      </c>
      <c r="E148" s="2" t="s">
        <v>75</v>
      </c>
      <c r="F148" s="2" t="str" cm="1">
        <f t="array" ref="F1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48" s="2" t="str" cm="1">
        <f t="array" ref="G1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8" s="2" t="s">
        <v>94</v>
      </c>
      <c r="I148" s="2" t="s">
        <v>95</v>
      </c>
      <c r="J148" s="2">
        <v>3</v>
      </c>
      <c r="K148" s="8">
        <v>399</v>
      </c>
      <c r="L148" s="3">
        <v>0</v>
      </c>
      <c r="M148" s="12">
        <f>K148*L148</f>
        <v>0</v>
      </c>
      <c r="N148" s="12">
        <f>K148*J148</f>
        <v>1197</v>
      </c>
      <c r="O148" s="12">
        <f>N148-M148</f>
        <v>1197</v>
      </c>
      <c r="P148" s="2" t="s">
        <v>45</v>
      </c>
      <c r="Q148" s="2" t="s">
        <v>18</v>
      </c>
      <c r="R148" s="2">
        <v>80</v>
      </c>
      <c r="S148" s="20">
        <f>Table1[[#This Row],[Net_revenue]]/Table1[[#This Row],[Gross_revenue]]*100%</f>
        <v>1</v>
      </c>
      <c r="T148" s="18">
        <f>COUNTIFS(Table1[Customer ID], "&gt;1", Table1[Customer ID], 1)</f>
        <v>0</v>
      </c>
    </row>
    <row r="149" spans="1:20" hidden="1" x14ac:dyDescent="0.3">
      <c r="A149" s="2" t="s">
        <v>340</v>
      </c>
      <c r="B149" s="5">
        <v>45811</v>
      </c>
      <c r="C149" s="5" t="str">
        <f>TEXT(B149,"mmm")</f>
        <v>Jun</v>
      </c>
      <c r="D149" s="2" t="s">
        <v>341</v>
      </c>
      <c r="E149" s="2" t="s">
        <v>21</v>
      </c>
      <c r="F149" s="2" t="str" cm="1">
        <f t="array" ref="F1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9" s="2" t="str" cm="1">
        <f t="array" ref="G1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9" s="2" t="s">
        <v>15</v>
      </c>
      <c r="I149" s="2" t="s">
        <v>16</v>
      </c>
      <c r="J149" s="2">
        <v>2</v>
      </c>
      <c r="K149" s="8">
        <v>1799</v>
      </c>
      <c r="L149" s="3">
        <v>0.25</v>
      </c>
      <c r="M149" s="12">
        <f>K149*L149</f>
        <v>449.75</v>
      </c>
      <c r="N149" s="12">
        <f>K149*J149</f>
        <v>3598</v>
      </c>
      <c r="O149" s="12">
        <f>N149-M149</f>
        <v>3148.25</v>
      </c>
      <c r="P149" s="2" t="s">
        <v>45</v>
      </c>
      <c r="Q149" s="2" t="s">
        <v>18</v>
      </c>
      <c r="R149" s="2">
        <v>60</v>
      </c>
      <c r="S149" s="20">
        <f>Table1[[#This Row],[Net_revenue]]/Table1[[#This Row],[Gross_revenue]]*100%</f>
        <v>0.875</v>
      </c>
      <c r="T149" s="18">
        <f>COUNTIFS(Table1[Customer ID], "&gt;1", Table1[Customer ID], 1)</f>
        <v>0</v>
      </c>
    </row>
    <row r="150" spans="1:20" hidden="1" x14ac:dyDescent="0.3">
      <c r="A150" s="2" t="s">
        <v>342</v>
      </c>
      <c r="B150" s="5">
        <v>46000</v>
      </c>
      <c r="C150" s="5" t="str">
        <f>TEXT(B150,"mmm")</f>
        <v>Dec</v>
      </c>
      <c r="D150" s="2" t="s">
        <v>343</v>
      </c>
      <c r="E150" s="2" t="s">
        <v>75</v>
      </c>
      <c r="F150" s="2" t="str" cm="1">
        <f t="array" ref="F1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50" s="2" t="str" cm="1">
        <f t="array" ref="G1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0" s="2" t="s">
        <v>41</v>
      </c>
      <c r="I150" s="2" t="s">
        <v>16</v>
      </c>
      <c r="J150" s="2">
        <v>2</v>
      </c>
      <c r="K150" s="8">
        <v>2299</v>
      </c>
      <c r="L150" s="3">
        <v>0.05</v>
      </c>
      <c r="M150" s="12">
        <f>K150*L150</f>
        <v>114.95</v>
      </c>
      <c r="N150" s="12">
        <f>K150*J150</f>
        <v>4598</v>
      </c>
      <c r="O150" s="12">
        <f>N150-M150</f>
        <v>4483.05</v>
      </c>
      <c r="P150" s="2" t="s">
        <v>45</v>
      </c>
      <c r="Q150" s="2" t="s">
        <v>18</v>
      </c>
      <c r="R150" s="2">
        <v>40</v>
      </c>
      <c r="S150" s="20">
        <f>Table1[[#This Row],[Net_revenue]]/Table1[[#This Row],[Gross_revenue]]*100%</f>
        <v>0.97500000000000009</v>
      </c>
      <c r="T150" s="18">
        <f>COUNTIFS(Table1[Customer ID], "&gt;1", Table1[Customer ID], 1)</f>
        <v>0</v>
      </c>
    </row>
    <row r="151" spans="1:20" hidden="1" x14ac:dyDescent="0.3">
      <c r="A151" s="2" t="s">
        <v>344</v>
      </c>
      <c r="B151" s="5">
        <v>45975</v>
      </c>
      <c r="C151" s="5" t="str">
        <f>TEXT(B151,"mmm")</f>
        <v>Nov</v>
      </c>
      <c r="D151" s="2" t="s">
        <v>345</v>
      </c>
      <c r="E151" s="2" t="s">
        <v>195</v>
      </c>
      <c r="F151" s="2" t="str" cm="1">
        <f t="array" ref="F1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1" s="2" t="str" cm="1">
        <f t="array" ref="G1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1" s="2" t="s">
        <v>71</v>
      </c>
      <c r="I151" s="2" t="s">
        <v>29</v>
      </c>
      <c r="J151" s="2">
        <v>1</v>
      </c>
      <c r="K151" s="8">
        <v>5499</v>
      </c>
      <c r="L151" s="3">
        <v>0.2</v>
      </c>
      <c r="M151" s="12">
        <f>K151*L151</f>
        <v>1099.8</v>
      </c>
      <c r="N151" s="12">
        <f>K151*J151</f>
        <v>5499</v>
      </c>
      <c r="O151" s="12">
        <f>N151-M151</f>
        <v>4399.2</v>
      </c>
      <c r="P151" s="2" t="s">
        <v>45</v>
      </c>
      <c r="Q151" s="2" t="s">
        <v>72</v>
      </c>
      <c r="R151" s="2">
        <v>80</v>
      </c>
      <c r="S151" s="20">
        <f>Table1[[#This Row],[Net_revenue]]/Table1[[#This Row],[Gross_revenue]]*100%</f>
        <v>0.79999999999999993</v>
      </c>
      <c r="T151" s="18">
        <f>COUNTIFS(Table1[Customer ID], "&gt;1", Table1[Customer ID], 1)</f>
        <v>0</v>
      </c>
    </row>
    <row r="152" spans="1:20" hidden="1" x14ac:dyDescent="0.3">
      <c r="A152" s="2" t="s">
        <v>346</v>
      </c>
      <c r="B152" s="5">
        <v>46007</v>
      </c>
      <c r="C152" s="5" t="str">
        <f>TEXT(B152,"mmm")</f>
        <v>Dec</v>
      </c>
      <c r="D152" s="2" t="s">
        <v>347</v>
      </c>
      <c r="E152" s="2" t="s">
        <v>21</v>
      </c>
      <c r="F152" s="2" t="str" cm="1">
        <f t="array" ref="F1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2" s="2" t="str" cm="1">
        <f t="array" ref="G1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2" s="2" t="s">
        <v>63</v>
      </c>
      <c r="I152" s="2" t="s">
        <v>23</v>
      </c>
      <c r="J152" s="2">
        <v>1</v>
      </c>
      <c r="K152" s="8">
        <v>2499</v>
      </c>
      <c r="L152" s="3">
        <v>0.1</v>
      </c>
      <c r="M152" s="12">
        <f>K152*L152</f>
        <v>249.9</v>
      </c>
      <c r="N152" s="12">
        <f>K152*J152</f>
        <v>2499</v>
      </c>
      <c r="O152" s="12">
        <f>N152-M152</f>
        <v>2249.1</v>
      </c>
      <c r="P152" s="2" t="s">
        <v>45</v>
      </c>
      <c r="Q152" s="2" t="s">
        <v>18</v>
      </c>
      <c r="R152" s="2">
        <v>40</v>
      </c>
      <c r="S152" s="20">
        <f>Table1[[#This Row],[Net_revenue]]/Table1[[#This Row],[Gross_revenue]]*100%</f>
        <v>0.89999999999999991</v>
      </c>
      <c r="T152" s="18">
        <f>COUNTIFS(Table1[Customer ID], "&gt;1", Table1[Customer ID], 1)</f>
        <v>0</v>
      </c>
    </row>
    <row r="153" spans="1:20" hidden="1" x14ac:dyDescent="0.3">
      <c r="A153" s="2" t="s">
        <v>348</v>
      </c>
      <c r="B153" s="5">
        <v>45778</v>
      </c>
      <c r="C153" s="5" t="str">
        <f>TEXT(B153,"mmm")</f>
        <v>May</v>
      </c>
      <c r="D153" s="2" t="s">
        <v>349</v>
      </c>
      <c r="E153" s="2" t="s">
        <v>40</v>
      </c>
      <c r="F153" s="2" t="str" cm="1">
        <f t="array" ref="F1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3" s="2" t="str" cm="1">
        <f t="array" ref="G1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3" s="2" t="s">
        <v>63</v>
      </c>
      <c r="I153" s="2" t="s">
        <v>23</v>
      </c>
      <c r="J153" s="2">
        <v>4</v>
      </c>
      <c r="K153" s="8">
        <v>2499</v>
      </c>
      <c r="L153" s="3">
        <v>0</v>
      </c>
      <c r="M153" s="12">
        <f>K153*L153</f>
        <v>0</v>
      </c>
      <c r="N153" s="12">
        <f>K153*J153</f>
        <v>9996</v>
      </c>
      <c r="O153" s="12">
        <f>N153-M153</f>
        <v>9996</v>
      </c>
      <c r="P153" s="2" t="s">
        <v>17</v>
      </c>
      <c r="Q153" s="2" t="s">
        <v>18</v>
      </c>
      <c r="R153" s="2">
        <v>0</v>
      </c>
      <c r="S153" s="20">
        <f>Table1[[#This Row],[Net_revenue]]/Table1[[#This Row],[Gross_revenue]]*100%</f>
        <v>1</v>
      </c>
      <c r="T153" s="18">
        <f>COUNTIFS(Table1[Customer ID], "&gt;1", Table1[Customer ID], 1)</f>
        <v>0</v>
      </c>
    </row>
    <row r="154" spans="1:20" hidden="1" x14ac:dyDescent="0.3">
      <c r="A154" s="2" t="s">
        <v>350</v>
      </c>
      <c r="B154" s="5">
        <v>46011</v>
      </c>
      <c r="C154" s="5" t="str">
        <f>TEXT(B154,"mmm")</f>
        <v>Dec</v>
      </c>
      <c r="D154" s="2" t="s">
        <v>351</v>
      </c>
      <c r="E154" s="2" t="s">
        <v>40</v>
      </c>
      <c r="F154" s="2" t="str" cm="1">
        <f t="array" ref="F1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4" s="2" t="str" cm="1">
        <f t="array" ref="G1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4" s="2" t="s">
        <v>28</v>
      </c>
      <c r="I154" s="2" t="s">
        <v>29</v>
      </c>
      <c r="J154" s="2">
        <v>1</v>
      </c>
      <c r="K154" s="8">
        <v>2799</v>
      </c>
      <c r="L154" s="3">
        <v>0.15</v>
      </c>
      <c r="M154" s="12">
        <f>K154*L154</f>
        <v>419.84999999999997</v>
      </c>
      <c r="N154" s="12">
        <f>K154*J154</f>
        <v>2799</v>
      </c>
      <c r="O154" s="12">
        <f>N154-M154</f>
        <v>2379.15</v>
      </c>
      <c r="P154" s="2" t="s">
        <v>30</v>
      </c>
      <c r="Q154" s="2" t="s">
        <v>72</v>
      </c>
      <c r="R154" s="2">
        <v>80</v>
      </c>
      <c r="S154" s="20">
        <f>Table1[[#This Row],[Net_revenue]]/Table1[[#This Row],[Gross_revenue]]*100%</f>
        <v>0.85</v>
      </c>
      <c r="T154" s="18">
        <f>COUNTIFS(Table1[Customer ID], "&gt;1", Table1[Customer ID], 1)</f>
        <v>0</v>
      </c>
    </row>
    <row r="155" spans="1:20" hidden="1" x14ac:dyDescent="0.3">
      <c r="A155" s="2" t="s">
        <v>352</v>
      </c>
      <c r="B155" s="5">
        <v>45740</v>
      </c>
      <c r="C155" s="5" t="str">
        <f>TEXT(B155,"mmm")</f>
        <v>Mar</v>
      </c>
      <c r="D155" s="2" t="s">
        <v>353</v>
      </c>
      <c r="E155" s="2" t="s">
        <v>40</v>
      </c>
      <c r="F155" s="2" t="str" cm="1">
        <f t="array" ref="F1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5" s="2" t="str" cm="1">
        <f t="array" ref="G1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5" s="2" t="s">
        <v>217</v>
      </c>
      <c r="I155" s="2" t="s">
        <v>29</v>
      </c>
      <c r="J155" s="2">
        <v>1</v>
      </c>
      <c r="K155" s="8">
        <v>3299</v>
      </c>
      <c r="L155" s="3">
        <v>0.05</v>
      </c>
      <c r="M155" s="12">
        <f>K155*L155</f>
        <v>164.95000000000002</v>
      </c>
      <c r="N155" s="12">
        <f>K155*J155</f>
        <v>3299</v>
      </c>
      <c r="O155" s="12">
        <f>N155-M155</f>
        <v>3134.05</v>
      </c>
      <c r="P155" s="2" t="s">
        <v>45</v>
      </c>
      <c r="Q155" s="2" t="s">
        <v>18</v>
      </c>
      <c r="R155" s="2">
        <v>60</v>
      </c>
      <c r="S155" s="20">
        <f>Table1[[#This Row],[Net_revenue]]/Table1[[#This Row],[Gross_revenue]]*100%</f>
        <v>0.95000000000000007</v>
      </c>
      <c r="T155" s="18">
        <f>COUNTIFS(Table1[Customer ID], "&gt;1", Table1[Customer ID], 1)</f>
        <v>0</v>
      </c>
    </row>
    <row r="156" spans="1:20" hidden="1" x14ac:dyDescent="0.3">
      <c r="A156" s="2" t="s">
        <v>354</v>
      </c>
      <c r="B156" s="5">
        <v>45913</v>
      </c>
      <c r="C156" s="5" t="str">
        <f>TEXT(B156,"mmm")</f>
        <v>Sep</v>
      </c>
      <c r="D156" s="2" t="s">
        <v>355</v>
      </c>
      <c r="E156" s="2" t="s">
        <v>75</v>
      </c>
      <c r="F156" s="2" t="str" cm="1">
        <f t="array" ref="F1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56" s="2" t="str" cm="1">
        <f t="array" ref="G1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6" s="2" t="s">
        <v>28</v>
      </c>
      <c r="I156" s="2" t="s">
        <v>29</v>
      </c>
      <c r="J156" s="2">
        <v>2</v>
      </c>
      <c r="K156" s="8">
        <v>2799</v>
      </c>
      <c r="L156" s="3">
        <v>0.1</v>
      </c>
      <c r="M156" s="12">
        <f>K156*L156</f>
        <v>279.90000000000003</v>
      </c>
      <c r="N156" s="12">
        <f>K156*J156</f>
        <v>5598</v>
      </c>
      <c r="O156" s="12">
        <f>N156-M156</f>
        <v>5318.1</v>
      </c>
      <c r="P156" s="2" t="s">
        <v>30</v>
      </c>
      <c r="Q156" s="2" t="s">
        <v>18</v>
      </c>
      <c r="R156" s="2">
        <v>0</v>
      </c>
      <c r="S156" s="20">
        <f>Table1[[#This Row],[Net_revenue]]/Table1[[#This Row],[Gross_revenue]]*100%</f>
        <v>0.95000000000000007</v>
      </c>
      <c r="T156" s="18">
        <f>COUNTIFS(Table1[Customer ID], "&gt;1", Table1[Customer ID], 1)</f>
        <v>0</v>
      </c>
    </row>
    <row r="157" spans="1:20" hidden="1" x14ac:dyDescent="0.3">
      <c r="A157" s="2" t="s">
        <v>356</v>
      </c>
      <c r="B157" s="5">
        <v>46018</v>
      </c>
      <c r="C157" s="5" t="str">
        <f>TEXT(B157,"mmm")</f>
        <v>Dec</v>
      </c>
      <c r="D157" s="2" t="s">
        <v>357</v>
      </c>
      <c r="E157" s="2" t="s">
        <v>48</v>
      </c>
      <c r="F157" s="2" t="str" cm="1">
        <f t="array" ref="F1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7" s="2" t="str" cm="1">
        <f t="array" ref="G1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7" s="2" t="s">
        <v>36</v>
      </c>
      <c r="I157" s="2" t="s">
        <v>37</v>
      </c>
      <c r="J157" s="2">
        <v>1</v>
      </c>
      <c r="K157" s="8">
        <v>349</v>
      </c>
      <c r="L157" s="3">
        <v>0.1</v>
      </c>
      <c r="M157" s="12">
        <f>K157*L157</f>
        <v>34.9</v>
      </c>
      <c r="N157" s="12">
        <f>K157*J157</f>
        <v>349</v>
      </c>
      <c r="O157" s="12">
        <f>N157-M157</f>
        <v>314.10000000000002</v>
      </c>
      <c r="P157" s="2" t="s">
        <v>45</v>
      </c>
      <c r="Q157" s="2" t="s">
        <v>18</v>
      </c>
      <c r="R157" s="2">
        <v>80</v>
      </c>
      <c r="S157" s="20">
        <f>Table1[[#This Row],[Net_revenue]]/Table1[[#This Row],[Gross_revenue]]*100%</f>
        <v>0.9</v>
      </c>
      <c r="T157" s="18">
        <f>COUNTIFS(Table1[Customer ID], "&gt;1", Table1[Customer ID], 1)</f>
        <v>0</v>
      </c>
    </row>
    <row r="158" spans="1:20" hidden="1" x14ac:dyDescent="0.3">
      <c r="A158" s="2" t="s">
        <v>358</v>
      </c>
      <c r="B158" s="5">
        <v>45834</v>
      </c>
      <c r="C158" s="5" t="str">
        <f>TEXT(B158,"mmm")</f>
        <v>Jun</v>
      </c>
      <c r="D158" s="2" t="s">
        <v>359</v>
      </c>
      <c r="E158" s="2" t="s">
        <v>40</v>
      </c>
      <c r="F158" s="2" t="str" cm="1">
        <f t="array" ref="F1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8" s="2" t="str" cm="1">
        <f t="array" ref="G1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8" s="2" t="s">
        <v>188</v>
      </c>
      <c r="I158" s="2" t="s">
        <v>95</v>
      </c>
      <c r="J158" s="2">
        <v>1</v>
      </c>
      <c r="K158" s="8">
        <v>699</v>
      </c>
      <c r="L158" s="3">
        <v>0.1</v>
      </c>
      <c r="M158" s="12">
        <f>K158*L158</f>
        <v>69.900000000000006</v>
      </c>
      <c r="N158" s="12">
        <f>K158*J158</f>
        <v>699</v>
      </c>
      <c r="O158" s="12">
        <f>N158-M158</f>
        <v>629.1</v>
      </c>
      <c r="P158" s="2" t="s">
        <v>17</v>
      </c>
      <c r="Q158" s="2" t="s">
        <v>18</v>
      </c>
      <c r="R158" s="2">
        <v>60</v>
      </c>
      <c r="S158" s="20">
        <f>Table1[[#This Row],[Net_revenue]]/Table1[[#This Row],[Gross_revenue]]*100%</f>
        <v>0.9</v>
      </c>
      <c r="T158" s="18">
        <f>COUNTIFS(Table1[Customer ID], "&gt;1", Table1[Customer ID], 1)</f>
        <v>0</v>
      </c>
    </row>
    <row r="159" spans="1:20" hidden="1" x14ac:dyDescent="0.3">
      <c r="A159" s="2" t="s">
        <v>360</v>
      </c>
      <c r="B159" s="5">
        <v>45751</v>
      </c>
      <c r="C159" s="5" t="str">
        <f>TEXT(B159,"mmm")</f>
        <v>Apr</v>
      </c>
      <c r="D159" s="2" t="s">
        <v>353</v>
      </c>
      <c r="E159" s="2" t="s">
        <v>14</v>
      </c>
      <c r="F159" s="2" t="str" cm="1">
        <f t="array" ref="F1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59" s="2" t="str" cm="1">
        <f t="array" ref="G1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59" s="2" t="s">
        <v>134</v>
      </c>
      <c r="I159" s="2" t="s">
        <v>29</v>
      </c>
      <c r="J159" s="2">
        <v>3</v>
      </c>
      <c r="K159" s="8">
        <v>1499</v>
      </c>
      <c r="L159" s="3">
        <v>0.15</v>
      </c>
      <c r="M159" s="12">
        <f>K159*L159</f>
        <v>224.85</v>
      </c>
      <c r="N159" s="12">
        <f>K159*J159</f>
        <v>4497</v>
      </c>
      <c r="O159" s="12">
        <f>N159-M159</f>
        <v>4272.1499999999996</v>
      </c>
      <c r="P159" s="2" t="s">
        <v>17</v>
      </c>
      <c r="Q159" s="2" t="s">
        <v>18</v>
      </c>
      <c r="R159" s="2">
        <v>80</v>
      </c>
      <c r="S159" s="20">
        <f>Table1[[#This Row],[Net_revenue]]/Table1[[#This Row],[Gross_revenue]]*100%</f>
        <v>0.95</v>
      </c>
      <c r="T159" s="18">
        <f>COUNTIFS(Table1[Customer ID], "&gt;1", Table1[Customer ID], 1)</f>
        <v>0</v>
      </c>
    </row>
    <row r="160" spans="1:20" hidden="1" x14ac:dyDescent="0.3">
      <c r="A160" s="2" t="s">
        <v>361</v>
      </c>
      <c r="B160" s="5">
        <v>45976</v>
      </c>
      <c r="C160" s="5" t="str">
        <f>TEXT(B160,"mmm")</f>
        <v>Nov</v>
      </c>
      <c r="D160" s="2" t="s">
        <v>362</v>
      </c>
      <c r="E160" s="2" t="s">
        <v>27</v>
      </c>
      <c r="F160" s="2" t="str" cm="1">
        <f t="array" ref="F1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0" s="2" t="str" cm="1">
        <f t="array" ref="G1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0" s="2" t="s">
        <v>217</v>
      </c>
      <c r="I160" s="2" t="s">
        <v>29</v>
      </c>
      <c r="J160" s="2">
        <v>3</v>
      </c>
      <c r="K160" s="8">
        <v>3299</v>
      </c>
      <c r="L160" s="3">
        <v>0.1</v>
      </c>
      <c r="M160" s="12">
        <f>K160*L160</f>
        <v>329.90000000000003</v>
      </c>
      <c r="N160" s="12">
        <f>K160*J160</f>
        <v>9897</v>
      </c>
      <c r="O160" s="12">
        <f>N160-M160</f>
        <v>9567.1</v>
      </c>
      <c r="P160" s="2" t="s">
        <v>45</v>
      </c>
      <c r="Q160" s="2" t="s">
        <v>18</v>
      </c>
      <c r="R160" s="2">
        <v>40</v>
      </c>
      <c r="S160" s="20">
        <f>Table1[[#This Row],[Net_revenue]]/Table1[[#This Row],[Gross_revenue]]*100%</f>
        <v>0.96666666666666667</v>
      </c>
      <c r="T160" s="18">
        <f>COUNTIFS(Table1[Customer ID], "&gt;1", Table1[Customer ID], 1)</f>
        <v>0</v>
      </c>
    </row>
    <row r="161" spans="1:20" hidden="1" x14ac:dyDescent="0.3">
      <c r="A161" s="2" t="s">
        <v>363</v>
      </c>
      <c r="B161" s="5">
        <v>45957</v>
      </c>
      <c r="C161" s="5" t="str">
        <f>TEXT(B161,"mmm")</f>
        <v>Oct</v>
      </c>
      <c r="D161" s="2" t="s">
        <v>364</v>
      </c>
      <c r="E161" s="2" t="s">
        <v>27</v>
      </c>
      <c r="F161" s="2" t="str" cm="1">
        <f t="array" ref="F1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1" s="2" t="str" cm="1">
        <f t="array" ref="G1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1" s="2" t="s">
        <v>98</v>
      </c>
      <c r="I161" s="2" t="s">
        <v>37</v>
      </c>
      <c r="J161" s="2">
        <v>1</v>
      </c>
      <c r="K161" s="8">
        <v>299</v>
      </c>
      <c r="L161" s="3">
        <v>0.05</v>
      </c>
      <c r="M161" s="12">
        <f>K161*L161</f>
        <v>14.950000000000001</v>
      </c>
      <c r="N161" s="12">
        <f>K161*J161</f>
        <v>299</v>
      </c>
      <c r="O161" s="12">
        <f>N161-M161</f>
        <v>284.05</v>
      </c>
      <c r="P161" s="2" t="s">
        <v>45</v>
      </c>
      <c r="Q161" s="2" t="s">
        <v>18</v>
      </c>
      <c r="R161" s="2">
        <v>40</v>
      </c>
      <c r="S161" s="20">
        <f>Table1[[#This Row],[Net_revenue]]/Table1[[#This Row],[Gross_revenue]]*100%</f>
        <v>0.95000000000000007</v>
      </c>
      <c r="T161" s="18">
        <f>COUNTIFS(Table1[Customer ID], "&gt;1", Table1[Customer ID], 1)</f>
        <v>0</v>
      </c>
    </row>
    <row r="162" spans="1:20" hidden="1" x14ac:dyDescent="0.3">
      <c r="A162" s="2" t="s">
        <v>365</v>
      </c>
      <c r="B162" s="5">
        <v>45718</v>
      </c>
      <c r="C162" s="5" t="str">
        <f>TEXT(B162,"mmm")</f>
        <v>Mar</v>
      </c>
      <c r="D162" s="2" t="s">
        <v>129</v>
      </c>
      <c r="E162" s="2" t="s">
        <v>53</v>
      </c>
      <c r="F162" s="2" t="str" cm="1">
        <f t="array" ref="F1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62" s="2" t="str" cm="1">
        <f t="array" ref="G1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2" s="2" t="s">
        <v>117</v>
      </c>
      <c r="I162" s="2" t="s">
        <v>23</v>
      </c>
      <c r="J162" s="2">
        <v>1</v>
      </c>
      <c r="K162" s="8">
        <v>2199</v>
      </c>
      <c r="L162" s="3">
        <v>0</v>
      </c>
      <c r="M162" s="12">
        <f>K162*L162</f>
        <v>0</v>
      </c>
      <c r="N162" s="12">
        <f>K162*J162</f>
        <v>2199</v>
      </c>
      <c r="O162" s="12">
        <f>N162-M162</f>
        <v>2199</v>
      </c>
      <c r="P162" s="2" t="s">
        <v>45</v>
      </c>
      <c r="Q162" s="2" t="s">
        <v>18</v>
      </c>
      <c r="R162" s="2">
        <v>60</v>
      </c>
      <c r="S162" s="20">
        <f>Table1[[#This Row],[Net_revenue]]/Table1[[#This Row],[Gross_revenue]]*100%</f>
        <v>1</v>
      </c>
      <c r="T162" s="18">
        <f>COUNTIFS(Table1[Customer ID], "&gt;1", Table1[Customer ID], 1)</f>
        <v>0</v>
      </c>
    </row>
    <row r="163" spans="1:20" hidden="1" x14ac:dyDescent="0.3">
      <c r="A163" s="2" t="s">
        <v>366</v>
      </c>
      <c r="B163" s="5">
        <v>45745</v>
      </c>
      <c r="C163" s="5" t="str">
        <f>TEXT(B163,"mmm")</f>
        <v>Mar</v>
      </c>
      <c r="D163" s="2" t="s">
        <v>367</v>
      </c>
      <c r="E163" s="2" t="s">
        <v>40</v>
      </c>
      <c r="F163" s="2" t="str" cm="1">
        <f t="array" ref="F1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3" s="2" t="str" cm="1">
        <f t="array" ref="G1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3" s="2" t="s">
        <v>94</v>
      </c>
      <c r="I163" s="2" t="s">
        <v>95</v>
      </c>
      <c r="J163" s="2">
        <v>1</v>
      </c>
      <c r="K163" s="8">
        <v>399</v>
      </c>
      <c r="L163" s="3">
        <v>0.15</v>
      </c>
      <c r="M163" s="12">
        <f>K163*L163</f>
        <v>59.849999999999994</v>
      </c>
      <c r="N163" s="12">
        <f>K163*J163</f>
        <v>399</v>
      </c>
      <c r="O163" s="12">
        <f>N163-M163</f>
        <v>339.15</v>
      </c>
      <c r="P163" s="2" t="s">
        <v>45</v>
      </c>
      <c r="Q163" s="2" t="s">
        <v>18</v>
      </c>
      <c r="R163" s="2">
        <v>80</v>
      </c>
      <c r="S163" s="20">
        <f>Table1[[#This Row],[Net_revenue]]/Table1[[#This Row],[Gross_revenue]]*100%</f>
        <v>0.85</v>
      </c>
      <c r="T163" s="18">
        <f>COUNTIFS(Table1[Customer ID], "&gt;1", Table1[Customer ID], 1)</f>
        <v>0</v>
      </c>
    </row>
    <row r="164" spans="1:20" hidden="1" x14ac:dyDescent="0.3">
      <c r="A164" s="2" t="s">
        <v>368</v>
      </c>
      <c r="B164" s="5">
        <v>45857</v>
      </c>
      <c r="C164" s="5" t="str">
        <f>TEXT(B164,"mmm")</f>
        <v>Jul</v>
      </c>
      <c r="D164" s="2" t="s">
        <v>369</v>
      </c>
      <c r="E164" s="2" t="s">
        <v>48</v>
      </c>
      <c r="F164" s="2" t="str" cm="1">
        <f t="array" ref="F1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4" s="2" t="str" cm="1">
        <f t="array" ref="G1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4" s="2" t="s">
        <v>28</v>
      </c>
      <c r="I164" s="2" t="s">
        <v>29</v>
      </c>
      <c r="J164" s="2">
        <v>1</v>
      </c>
      <c r="K164" s="8">
        <v>2799</v>
      </c>
      <c r="L164" s="3">
        <v>0.1</v>
      </c>
      <c r="M164" s="12">
        <f>K164*L164</f>
        <v>279.90000000000003</v>
      </c>
      <c r="N164" s="12">
        <f>K164*J164</f>
        <v>2799</v>
      </c>
      <c r="O164" s="12">
        <f>N164-M164</f>
        <v>2519.1</v>
      </c>
      <c r="P164" s="2" t="s">
        <v>30</v>
      </c>
      <c r="Q164" s="2" t="s">
        <v>18</v>
      </c>
      <c r="R164" s="2">
        <v>60</v>
      </c>
      <c r="S164" s="20">
        <f>Table1[[#This Row],[Net_revenue]]/Table1[[#This Row],[Gross_revenue]]*100%</f>
        <v>0.9</v>
      </c>
      <c r="T164" s="18">
        <f>COUNTIFS(Table1[Customer ID], "&gt;1", Table1[Customer ID], 1)</f>
        <v>0</v>
      </c>
    </row>
    <row r="165" spans="1:20" hidden="1" x14ac:dyDescent="0.3">
      <c r="A165" s="2" t="s">
        <v>370</v>
      </c>
      <c r="B165" s="5">
        <v>45719</v>
      </c>
      <c r="C165" s="5" t="str">
        <f>TEXT(B165,"mmm")</f>
        <v>Mar</v>
      </c>
      <c r="D165" s="2" t="s">
        <v>371</v>
      </c>
      <c r="E165" s="2" t="s">
        <v>56</v>
      </c>
      <c r="F165" s="2" t="str" cm="1">
        <f t="array" ref="F1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5" s="2" t="str" cm="1">
        <f t="array" ref="G1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5" s="2" t="s">
        <v>94</v>
      </c>
      <c r="I165" s="2" t="s">
        <v>95</v>
      </c>
      <c r="J165" s="2">
        <v>1</v>
      </c>
      <c r="K165" s="8">
        <v>399</v>
      </c>
      <c r="L165" s="3">
        <v>0.05</v>
      </c>
      <c r="M165" s="12">
        <f>K165*L165</f>
        <v>19.950000000000003</v>
      </c>
      <c r="N165" s="12">
        <f>K165*J165</f>
        <v>399</v>
      </c>
      <c r="O165" s="12">
        <f>N165-M165</f>
        <v>379.05</v>
      </c>
      <c r="P165" s="2" t="s">
        <v>45</v>
      </c>
      <c r="Q165" s="2" t="s">
        <v>50</v>
      </c>
      <c r="R165" s="2">
        <v>80</v>
      </c>
      <c r="S165" s="20">
        <f>Table1[[#This Row],[Net_revenue]]/Table1[[#This Row],[Gross_revenue]]*100%</f>
        <v>0.95000000000000007</v>
      </c>
      <c r="T165" s="18">
        <f>COUNTIFS(Table1[Customer ID], "&gt;1", Table1[Customer ID], 1)</f>
        <v>0</v>
      </c>
    </row>
    <row r="166" spans="1:20" hidden="1" x14ac:dyDescent="0.3">
      <c r="A166" s="2" t="s">
        <v>372</v>
      </c>
      <c r="B166" s="5">
        <v>45699</v>
      </c>
      <c r="C166" s="5" t="str">
        <f>TEXT(B166,"mmm")</f>
        <v>Feb</v>
      </c>
      <c r="D166" s="2" t="s">
        <v>373</v>
      </c>
      <c r="E166" s="2" t="s">
        <v>21</v>
      </c>
      <c r="F166" s="2" t="str" cm="1">
        <f t="array" ref="F1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6" s="2" t="str" cm="1">
        <f t="array" ref="G1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 s="2" t="s">
        <v>63</v>
      </c>
      <c r="I166" s="2" t="s">
        <v>23</v>
      </c>
      <c r="J166" s="2">
        <v>1</v>
      </c>
      <c r="K166" s="8">
        <v>2499</v>
      </c>
      <c r="L166" s="3">
        <v>0.25</v>
      </c>
      <c r="M166" s="12">
        <f>K166*L166</f>
        <v>624.75</v>
      </c>
      <c r="N166" s="12">
        <f>K166*J166</f>
        <v>2499</v>
      </c>
      <c r="O166" s="12">
        <f>N166-M166</f>
        <v>1874.25</v>
      </c>
      <c r="P166" s="2" t="s">
        <v>45</v>
      </c>
      <c r="Q166" s="2" t="s">
        <v>18</v>
      </c>
      <c r="R166" s="2">
        <v>60</v>
      </c>
      <c r="S166" s="20">
        <f>Table1[[#This Row],[Net_revenue]]/Table1[[#This Row],[Gross_revenue]]*100%</f>
        <v>0.75</v>
      </c>
      <c r="T166" s="18">
        <f>COUNTIFS(Table1[Customer ID], "&gt;1", Table1[Customer ID], 1)</f>
        <v>0</v>
      </c>
    </row>
    <row r="167" spans="1:20" hidden="1" x14ac:dyDescent="0.3">
      <c r="A167" s="2" t="s">
        <v>374</v>
      </c>
      <c r="B167" s="5">
        <v>45751</v>
      </c>
      <c r="C167" s="5" t="str">
        <f>TEXT(B167,"mmm")</f>
        <v>Apr</v>
      </c>
      <c r="D167" s="2" t="s">
        <v>375</v>
      </c>
      <c r="E167" s="2" t="s">
        <v>53</v>
      </c>
      <c r="F167" s="2" t="str" cm="1">
        <f t="array" ref="F1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67" s="2" t="str" cm="1">
        <f t="array" ref="G1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7" s="2" t="s">
        <v>71</v>
      </c>
      <c r="I167" s="2" t="s">
        <v>29</v>
      </c>
      <c r="J167" s="2">
        <v>1</v>
      </c>
      <c r="K167" s="8">
        <v>5499</v>
      </c>
      <c r="L167" s="3">
        <v>0.15</v>
      </c>
      <c r="M167" s="12">
        <f>K167*L167</f>
        <v>824.85</v>
      </c>
      <c r="N167" s="12">
        <f>K167*J167</f>
        <v>5499</v>
      </c>
      <c r="O167" s="12">
        <f>N167-M167</f>
        <v>4674.1499999999996</v>
      </c>
      <c r="P167" s="2" t="s">
        <v>45</v>
      </c>
      <c r="Q167" s="2" t="s">
        <v>18</v>
      </c>
      <c r="R167" s="2">
        <v>0</v>
      </c>
      <c r="S167" s="20">
        <f>Table1[[#This Row],[Net_revenue]]/Table1[[#This Row],[Gross_revenue]]*100%</f>
        <v>0.85</v>
      </c>
      <c r="T167" s="18">
        <f>COUNTIFS(Table1[Customer ID], "&gt;1", Table1[Customer ID], 1)</f>
        <v>0</v>
      </c>
    </row>
    <row r="168" spans="1:20" hidden="1" x14ac:dyDescent="0.3">
      <c r="A168" s="2" t="s">
        <v>376</v>
      </c>
      <c r="B168" s="5">
        <v>45860</v>
      </c>
      <c r="C168" s="5" t="str">
        <f>TEXT(B168,"mmm")</f>
        <v>Jul</v>
      </c>
      <c r="D168" s="2" t="s">
        <v>377</v>
      </c>
      <c r="E168" s="2" t="s">
        <v>40</v>
      </c>
      <c r="F168" s="2" t="str" cm="1">
        <f t="array" ref="F1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8" s="2" t="str" cm="1">
        <f t="array" ref="G1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8" s="2" t="s">
        <v>15</v>
      </c>
      <c r="I168" s="2" t="s">
        <v>16</v>
      </c>
      <c r="J168" s="2">
        <v>1</v>
      </c>
      <c r="K168" s="8">
        <v>1799</v>
      </c>
      <c r="L168" s="3">
        <v>0</v>
      </c>
      <c r="M168" s="12">
        <f>K168*L168</f>
        <v>0</v>
      </c>
      <c r="N168" s="12">
        <f>K168*J168</f>
        <v>1799</v>
      </c>
      <c r="O168" s="12">
        <f>N168-M168</f>
        <v>1799</v>
      </c>
      <c r="P168" s="2" t="s">
        <v>45</v>
      </c>
      <c r="Q168" s="2" t="s">
        <v>18</v>
      </c>
      <c r="R168" s="2">
        <v>60</v>
      </c>
      <c r="S168" s="20">
        <f>Table1[[#This Row],[Net_revenue]]/Table1[[#This Row],[Gross_revenue]]*100%</f>
        <v>1</v>
      </c>
      <c r="T168" s="18">
        <f>COUNTIFS(Table1[Customer ID], "&gt;1", Table1[Customer ID], 1)</f>
        <v>0</v>
      </c>
    </row>
    <row r="169" spans="1:20" hidden="1" x14ac:dyDescent="0.3">
      <c r="A169" s="2" t="s">
        <v>378</v>
      </c>
      <c r="B169" s="5">
        <v>45950</v>
      </c>
      <c r="C169" s="5" t="str">
        <f>TEXT(B169,"mmm")</f>
        <v>Oct</v>
      </c>
      <c r="D169" s="2" t="s">
        <v>379</v>
      </c>
      <c r="E169" s="2" t="s">
        <v>56</v>
      </c>
      <c r="F169" s="2" t="str" cm="1">
        <f t="array" ref="F1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9" s="2" t="str" cm="1">
        <f t="array" ref="G1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 s="2" t="s">
        <v>94</v>
      </c>
      <c r="I169" s="2" t="s">
        <v>95</v>
      </c>
      <c r="J169" s="2">
        <v>1</v>
      </c>
      <c r="K169" s="8">
        <v>399</v>
      </c>
      <c r="L169" s="3">
        <v>0</v>
      </c>
      <c r="M169" s="12">
        <f>K169*L169</f>
        <v>0</v>
      </c>
      <c r="N169" s="12">
        <f>K169*J169</f>
        <v>399</v>
      </c>
      <c r="O169" s="12">
        <f>N169-M169</f>
        <v>399</v>
      </c>
      <c r="P169" s="2" t="s">
        <v>17</v>
      </c>
      <c r="Q169" s="2" t="s">
        <v>50</v>
      </c>
      <c r="R169" s="2">
        <v>60</v>
      </c>
      <c r="S169" s="20">
        <f>Table1[[#This Row],[Net_revenue]]/Table1[[#This Row],[Gross_revenue]]*100%</f>
        <v>1</v>
      </c>
      <c r="T169" s="18">
        <f>COUNTIFS(Table1[Customer ID], "&gt;1", Table1[Customer ID], 1)</f>
        <v>0</v>
      </c>
    </row>
    <row r="170" spans="1:20" hidden="1" x14ac:dyDescent="0.3">
      <c r="A170" s="2" t="s">
        <v>380</v>
      </c>
      <c r="B170" s="5">
        <v>45816</v>
      </c>
      <c r="C170" s="5" t="str">
        <f>TEXT(B170,"mmm")</f>
        <v>Jun</v>
      </c>
      <c r="D170" s="2" t="s">
        <v>381</v>
      </c>
      <c r="E170" s="2" t="s">
        <v>21</v>
      </c>
      <c r="F170" s="2" t="str" cm="1">
        <f t="array" ref="F1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0" s="2" t="str" cm="1">
        <f t="array" ref="G1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0" s="2" t="s">
        <v>15</v>
      </c>
      <c r="I170" s="2" t="s">
        <v>16</v>
      </c>
      <c r="J170" s="2">
        <v>1</v>
      </c>
      <c r="K170" s="8">
        <v>1799</v>
      </c>
      <c r="L170" s="3">
        <v>0</v>
      </c>
      <c r="M170" s="12">
        <f>K170*L170</f>
        <v>0</v>
      </c>
      <c r="N170" s="12">
        <f>K170*J170</f>
        <v>1799</v>
      </c>
      <c r="O170" s="12">
        <f>N170-M170</f>
        <v>1799</v>
      </c>
      <c r="P170" s="2" t="s">
        <v>45</v>
      </c>
      <c r="Q170" s="2" t="s">
        <v>50</v>
      </c>
      <c r="R170" s="2">
        <v>60</v>
      </c>
      <c r="S170" s="20">
        <f>Table1[[#This Row],[Net_revenue]]/Table1[[#This Row],[Gross_revenue]]*100%</f>
        <v>1</v>
      </c>
      <c r="T170" s="18">
        <f>COUNTIFS(Table1[Customer ID], "&gt;1", Table1[Customer ID], 1)</f>
        <v>0</v>
      </c>
    </row>
    <row r="171" spans="1:20" hidden="1" x14ac:dyDescent="0.3">
      <c r="A171" s="2" t="s">
        <v>382</v>
      </c>
      <c r="B171" s="5">
        <v>45862</v>
      </c>
      <c r="C171" s="5" t="str">
        <f>TEXT(B171,"mmm")</f>
        <v>Jul</v>
      </c>
      <c r="D171" s="2" t="s">
        <v>383</v>
      </c>
      <c r="E171" s="2" t="s">
        <v>75</v>
      </c>
      <c r="F171" s="2" t="str" cm="1">
        <f t="array" ref="F1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71" s="2" t="str" cm="1">
        <f t="array" ref="G1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1" s="2" t="s">
        <v>94</v>
      </c>
      <c r="I171" s="2" t="s">
        <v>95</v>
      </c>
      <c r="J171" s="2">
        <v>3</v>
      </c>
      <c r="K171" s="8">
        <v>399</v>
      </c>
      <c r="L171" s="3">
        <v>0.1</v>
      </c>
      <c r="M171" s="12">
        <f>K171*L171</f>
        <v>39.900000000000006</v>
      </c>
      <c r="N171" s="12">
        <f>K171*J171</f>
        <v>1197</v>
      </c>
      <c r="O171" s="12">
        <f>N171-M171</f>
        <v>1157.0999999999999</v>
      </c>
      <c r="P171" s="2" t="s">
        <v>17</v>
      </c>
      <c r="Q171" s="2" t="s">
        <v>18</v>
      </c>
      <c r="R171" s="2">
        <v>80</v>
      </c>
      <c r="S171" s="20">
        <f>Table1[[#This Row],[Net_revenue]]/Table1[[#This Row],[Gross_revenue]]*100%</f>
        <v>0.96666666666666656</v>
      </c>
      <c r="T171" s="18">
        <f>COUNTIFS(Table1[Customer ID], "&gt;1", Table1[Customer ID], 1)</f>
        <v>0</v>
      </c>
    </row>
    <row r="172" spans="1:20" hidden="1" x14ac:dyDescent="0.3">
      <c r="A172" s="2" t="s">
        <v>384</v>
      </c>
      <c r="B172" s="5">
        <v>45670</v>
      </c>
      <c r="C172" s="5" t="str">
        <f>TEXT(B172,"mmm")</f>
        <v>Jan</v>
      </c>
      <c r="D172" s="2" t="s">
        <v>385</v>
      </c>
      <c r="E172" s="2" t="s">
        <v>120</v>
      </c>
      <c r="F172" s="2" t="str" cm="1">
        <f t="array" ref="F1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2" s="2" t="str" cm="1">
        <f t="array" ref="G1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2" s="2" t="s">
        <v>65</v>
      </c>
      <c r="I172" s="2" t="s">
        <v>23</v>
      </c>
      <c r="J172" s="2">
        <v>2</v>
      </c>
      <c r="K172" s="8">
        <v>1899</v>
      </c>
      <c r="L172" s="3">
        <v>0</v>
      </c>
      <c r="M172" s="12">
        <f>K172*L172</f>
        <v>0</v>
      </c>
      <c r="N172" s="12">
        <f>K172*J172</f>
        <v>3798</v>
      </c>
      <c r="O172" s="12">
        <f>N172-M172</f>
        <v>3798</v>
      </c>
      <c r="P172" s="2" t="s">
        <v>17</v>
      </c>
      <c r="Q172" s="2" t="s">
        <v>18</v>
      </c>
      <c r="R172" s="2">
        <v>60</v>
      </c>
      <c r="S172" s="20">
        <f>Table1[[#This Row],[Net_revenue]]/Table1[[#This Row],[Gross_revenue]]*100%</f>
        <v>1</v>
      </c>
      <c r="T172" s="18">
        <f>COUNTIFS(Table1[Customer ID], "&gt;1", Table1[Customer ID], 1)</f>
        <v>0</v>
      </c>
    </row>
    <row r="173" spans="1:20" hidden="1" x14ac:dyDescent="0.3">
      <c r="A173" s="2" t="s">
        <v>386</v>
      </c>
      <c r="B173" s="5">
        <v>45978</v>
      </c>
      <c r="C173" s="5" t="str">
        <f>TEXT(B173,"mmm")</f>
        <v>Nov</v>
      </c>
      <c r="D173" s="2" t="s">
        <v>387</v>
      </c>
      <c r="E173" s="2" t="s">
        <v>40</v>
      </c>
      <c r="F173" s="2" t="str" cm="1">
        <f t="array" ref="F1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3" s="2" t="str" cm="1">
        <f t="array" ref="G1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3" s="2" t="s">
        <v>107</v>
      </c>
      <c r="I173" s="2" t="s">
        <v>95</v>
      </c>
      <c r="J173" s="2">
        <v>1</v>
      </c>
      <c r="K173" s="8">
        <v>1599</v>
      </c>
      <c r="L173" s="3">
        <v>0.15</v>
      </c>
      <c r="M173" s="12">
        <f>K173*L173</f>
        <v>239.85</v>
      </c>
      <c r="N173" s="12">
        <f>K173*J173</f>
        <v>1599</v>
      </c>
      <c r="O173" s="12">
        <f>N173-M173</f>
        <v>1359.15</v>
      </c>
      <c r="P173" s="2" t="s">
        <v>45</v>
      </c>
      <c r="Q173" s="2" t="s">
        <v>72</v>
      </c>
      <c r="R173" s="2">
        <v>60</v>
      </c>
      <c r="S173" s="20">
        <f>Table1[[#This Row],[Net_revenue]]/Table1[[#This Row],[Gross_revenue]]*100%</f>
        <v>0.85000000000000009</v>
      </c>
      <c r="T173" s="18">
        <f>COUNTIFS(Table1[Customer ID], "&gt;1", Table1[Customer ID], 1)</f>
        <v>0</v>
      </c>
    </row>
    <row r="174" spans="1:20" hidden="1" x14ac:dyDescent="0.3">
      <c r="A174" s="2" t="s">
        <v>388</v>
      </c>
      <c r="B174" s="5">
        <v>45766</v>
      </c>
      <c r="C174" s="5" t="str">
        <f>TEXT(B174,"mmm")</f>
        <v>Apr</v>
      </c>
      <c r="D174" s="2" t="s">
        <v>389</v>
      </c>
      <c r="E174" s="2" t="s">
        <v>40</v>
      </c>
      <c r="F174" s="2" t="str" cm="1">
        <f t="array" ref="F1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4" s="2" t="str" cm="1">
        <f t="array" ref="G1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4" s="2" t="s">
        <v>63</v>
      </c>
      <c r="I174" s="2" t="s">
        <v>23</v>
      </c>
      <c r="J174" s="2">
        <v>2</v>
      </c>
      <c r="K174" s="8">
        <v>2499</v>
      </c>
      <c r="L174" s="3">
        <v>0</v>
      </c>
      <c r="M174" s="12">
        <f>K174*L174</f>
        <v>0</v>
      </c>
      <c r="N174" s="12">
        <f>K174*J174</f>
        <v>4998</v>
      </c>
      <c r="O174" s="12">
        <f>N174-M174</f>
        <v>4998</v>
      </c>
      <c r="P174" s="2" t="s">
        <v>45</v>
      </c>
      <c r="Q174" s="2" t="s">
        <v>18</v>
      </c>
      <c r="R174" s="2">
        <v>40</v>
      </c>
      <c r="S174" s="20">
        <f>Table1[[#This Row],[Net_revenue]]/Table1[[#This Row],[Gross_revenue]]*100%</f>
        <v>1</v>
      </c>
      <c r="T174" s="18">
        <f>COUNTIFS(Table1[Customer ID], "&gt;1", Table1[Customer ID], 1)</f>
        <v>0</v>
      </c>
    </row>
    <row r="175" spans="1:20" hidden="1" x14ac:dyDescent="0.3">
      <c r="A175" s="2" t="s">
        <v>390</v>
      </c>
      <c r="B175" s="5">
        <v>45751</v>
      </c>
      <c r="C175" s="5" t="str">
        <f>TEXT(B175,"mmm")</f>
        <v>Apr</v>
      </c>
      <c r="D175" s="2" t="s">
        <v>178</v>
      </c>
      <c r="E175" s="2" t="s">
        <v>48</v>
      </c>
      <c r="F175" s="2" t="str" cm="1">
        <f t="array" ref="F1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5" s="2" t="str" cm="1">
        <f t="array" ref="G1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5" s="2" t="s">
        <v>22</v>
      </c>
      <c r="I175" s="2" t="s">
        <v>23</v>
      </c>
      <c r="J175" s="2">
        <v>1</v>
      </c>
      <c r="K175" s="8">
        <v>3999</v>
      </c>
      <c r="L175" s="3">
        <v>0.2</v>
      </c>
      <c r="M175" s="12">
        <f>K175*L175</f>
        <v>799.80000000000007</v>
      </c>
      <c r="N175" s="12">
        <f>K175*J175</f>
        <v>3999</v>
      </c>
      <c r="O175" s="12">
        <f>N175-M175</f>
        <v>3199.2</v>
      </c>
      <c r="P175" s="2" t="s">
        <v>45</v>
      </c>
      <c r="Q175" s="2" t="s">
        <v>18</v>
      </c>
      <c r="R175" s="2">
        <v>40</v>
      </c>
      <c r="S175" s="20">
        <f>Table1[[#This Row],[Net_revenue]]/Table1[[#This Row],[Gross_revenue]]*100%</f>
        <v>0.79999999999999993</v>
      </c>
      <c r="T175" s="18">
        <f>COUNTIFS(Table1[Customer ID], "&gt;1", Table1[Customer ID], 1)</f>
        <v>0</v>
      </c>
    </row>
    <row r="176" spans="1:20" hidden="1" x14ac:dyDescent="0.3">
      <c r="A176" s="2" t="s">
        <v>391</v>
      </c>
      <c r="B176" s="5">
        <v>45822</v>
      </c>
      <c r="C176" s="5" t="str">
        <f>TEXT(B176,"mmm")</f>
        <v>Jun</v>
      </c>
      <c r="D176" s="2" t="s">
        <v>392</v>
      </c>
      <c r="E176" s="2" t="s">
        <v>48</v>
      </c>
      <c r="F176" s="2" t="str" cm="1">
        <f t="array" ref="F1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6" s="2" t="str" cm="1">
        <f t="array" ref="G1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6" s="2" t="s">
        <v>63</v>
      </c>
      <c r="I176" s="2" t="s">
        <v>23</v>
      </c>
      <c r="J176" s="2">
        <v>2</v>
      </c>
      <c r="K176" s="8">
        <v>2499</v>
      </c>
      <c r="L176" s="3">
        <v>0</v>
      </c>
      <c r="M176" s="12">
        <f>K176*L176</f>
        <v>0</v>
      </c>
      <c r="N176" s="12">
        <f>K176*J176</f>
        <v>4998</v>
      </c>
      <c r="O176" s="12">
        <f>N176-M176</f>
        <v>4998</v>
      </c>
      <c r="P176" s="2" t="s">
        <v>24</v>
      </c>
      <c r="Q176" s="2" t="s">
        <v>50</v>
      </c>
      <c r="R176" s="2">
        <v>40</v>
      </c>
      <c r="S176" s="20">
        <f>Table1[[#This Row],[Net_revenue]]/Table1[[#This Row],[Gross_revenue]]*100%</f>
        <v>1</v>
      </c>
      <c r="T176" s="18">
        <f>COUNTIFS(Table1[Customer ID], "&gt;1", Table1[Customer ID], 1)</f>
        <v>0</v>
      </c>
    </row>
    <row r="177" spans="1:20" hidden="1" x14ac:dyDescent="0.3">
      <c r="A177" s="2" t="s">
        <v>393</v>
      </c>
      <c r="B177" s="5">
        <v>45797</v>
      </c>
      <c r="C177" s="5" t="str">
        <f>TEXT(B177,"mmm")</f>
        <v>May</v>
      </c>
      <c r="D177" s="2" t="s">
        <v>392</v>
      </c>
      <c r="E177" s="2" t="s">
        <v>195</v>
      </c>
      <c r="F177" s="2" t="str" cm="1">
        <f t="array" ref="F1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7" s="2" t="str" cm="1">
        <f t="array" ref="G1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 s="2" t="s">
        <v>33</v>
      </c>
      <c r="I177" s="2" t="s">
        <v>16</v>
      </c>
      <c r="J177" s="2">
        <v>2</v>
      </c>
      <c r="K177" s="8">
        <v>899</v>
      </c>
      <c r="L177" s="3">
        <v>0</v>
      </c>
      <c r="M177" s="12">
        <f>K177*L177</f>
        <v>0</v>
      </c>
      <c r="N177" s="12">
        <f>K177*J177</f>
        <v>1798</v>
      </c>
      <c r="O177" s="12">
        <f>N177-M177</f>
        <v>1798</v>
      </c>
      <c r="P177" s="2" t="s">
        <v>30</v>
      </c>
      <c r="Q177" s="2" t="s">
        <v>18</v>
      </c>
      <c r="R177" s="2">
        <v>0</v>
      </c>
      <c r="S177" s="20">
        <f>Table1[[#This Row],[Net_revenue]]/Table1[[#This Row],[Gross_revenue]]*100%</f>
        <v>1</v>
      </c>
      <c r="T177" s="18">
        <f>COUNTIFS(Table1[Customer ID], "&gt;1", Table1[Customer ID], 1)</f>
        <v>0</v>
      </c>
    </row>
    <row r="178" spans="1:20" hidden="1" x14ac:dyDescent="0.3">
      <c r="A178" s="2" t="s">
        <v>394</v>
      </c>
      <c r="B178" s="5">
        <v>45997</v>
      </c>
      <c r="C178" s="5" t="str">
        <f>TEXT(B178,"mmm")</f>
        <v>Dec</v>
      </c>
      <c r="D178" s="2" t="s">
        <v>395</v>
      </c>
      <c r="E178" s="2" t="s">
        <v>27</v>
      </c>
      <c r="F178" s="2" t="str" cm="1">
        <f t="array" ref="F1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8" s="2" t="str" cm="1">
        <f t="array" ref="G1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8" s="2" t="s">
        <v>117</v>
      </c>
      <c r="I178" s="2" t="s">
        <v>23</v>
      </c>
      <c r="J178" s="2">
        <v>3</v>
      </c>
      <c r="K178" s="8">
        <v>2199</v>
      </c>
      <c r="L178" s="3">
        <v>0.2</v>
      </c>
      <c r="M178" s="12">
        <f>K178*L178</f>
        <v>439.8</v>
      </c>
      <c r="N178" s="12">
        <f>K178*J178</f>
        <v>6597</v>
      </c>
      <c r="O178" s="12">
        <f>N178-M178</f>
        <v>6157.2</v>
      </c>
      <c r="P178" s="2" t="s">
        <v>30</v>
      </c>
      <c r="Q178" s="2" t="s">
        <v>50</v>
      </c>
      <c r="R178" s="2">
        <v>80</v>
      </c>
      <c r="S178" s="20">
        <f>Table1[[#This Row],[Net_revenue]]/Table1[[#This Row],[Gross_revenue]]*100%</f>
        <v>0.93333333333333335</v>
      </c>
      <c r="T178" s="18">
        <f>COUNTIFS(Table1[Customer ID], "&gt;1", Table1[Customer ID], 1)</f>
        <v>0</v>
      </c>
    </row>
    <row r="179" spans="1:20" hidden="1" x14ac:dyDescent="0.3">
      <c r="A179" s="2" t="s">
        <v>396</v>
      </c>
      <c r="B179" s="5">
        <v>45716</v>
      </c>
      <c r="C179" s="5" t="str">
        <f>TEXT(B179,"mmm")</f>
        <v>Feb</v>
      </c>
      <c r="D179" s="2" t="s">
        <v>397</v>
      </c>
      <c r="E179" s="2" t="s">
        <v>48</v>
      </c>
      <c r="F179" s="2" t="str" cm="1">
        <f t="array" ref="F1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9" s="2" t="str" cm="1">
        <f t="array" ref="G1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9" s="2" t="s">
        <v>15</v>
      </c>
      <c r="I179" s="2" t="s">
        <v>16</v>
      </c>
      <c r="J179" s="2">
        <v>3</v>
      </c>
      <c r="K179" s="8">
        <v>1799</v>
      </c>
      <c r="L179" s="3">
        <v>0</v>
      </c>
      <c r="M179" s="12">
        <f>K179*L179</f>
        <v>0</v>
      </c>
      <c r="N179" s="12">
        <f>K179*J179</f>
        <v>5397</v>
      </c>
      <c r="O179" s="12">
        <f>N179-M179</f>
        <v>5397</v>
      </c>
      <c r="P179" s="2" t="s">
        <v>17</v>
      </c>
      <c r="Q179" s="2" t="s">
        <v>18</v>
      </c>
      <c r="R179" s="2">
        <v>80</v>
      </c>
      <c r="S179" s="20">
        <f>Table1[[#This Row],[Net_revenue]]/Table1[[#This Row],[Gross_revenue]]*100%</f>
        <v>1</v>
      </c>
      <c r="T179" s="18">
        <f>COUNTIFS(Table1[Customer ID], "&gt;1", Table1[Customer ID], 1)</f>
        <v>0</v>
      </c>
    </row>
    <row r="180" spans="1:20" hidden="1" x14ac:dyDescent="0.3">
      <c r="A180" s="2" t="s">
        <v>398</v>
      </c>
      <c r="B180" s="5">
        <v>45965</v>
      </c>
      <c r="C180" s="5" t="str">
        <f>TEXT(B180,"mmm")</f>
        <v>Nov</v>
      </c>
      <c r="D180" s="2" t="s">
        <v>399</v>
      </c>
      <c r="E180" s="2" t="s">
        <v>48</v>
      </c>
      <c r="F180" s="2" t="str" cm="1">
        <f t="array" ref="F1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0" s="2" t="str" cm="1">
        <f t="array" ref="G1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0" s="2" t="s">
        <v>44</v>
      </c>
      <c r="I180" s="2" t="s">
        <v>16</v>
      </c>
      <c r="J180" s="2">
        <v>1</v>
      </c>
      <c r="K180" s="8">
        <v>1599</v>
      </c>
      <c r="L180" s="3">
        <v>0</v>
      </c>
      <c r="M180" s="12">
        <f>K180*L180</f>
        <v>0</v>
      </c>
      <c r="N180" s="12">
        <f>K180*J180</f>
        <v>1599</v>
      </c>
      <c r="O180" s="12">
        <f>N180-M180</f>
        <v>1599</v>
      </c>
      <c r="P180" s="2" t="s">
        <v>45</v>
      </c>
      <c r="Q180" s="2" t="s">
        <v>50</v>
      </c>
      <c r="R180" s="2">
        <v>0</v>
      </c>
      <c r="S180" s="20">
        <f>Table1[[#This Row],[Net_revenue]]/Table1[[#This Row],[Gross_revenue]]*100%</f>
        <v>1</v>
      </c>
      <c r="T180" s="18">
        <f>COUNTIFS(Table1[Customer ID], "&gt;1", Table1[Customer ID], 1)</f>
        <v>0</v>
      </c>
    </row>
    <row r="181" spans="1:20" hidden="1" x14ac:dyDescent="0.3">
      <c r="A181" s="2" t="s">
        <v>400</v>
      </c>
      <c r="B181" s="5">
        <v>45735</v>
      </c>
      <c r="C181" s="5" t="str">
        <f>TEXT(B181,"mmm")</f>
        <v>Mar</v>
      </c>
      <c r="D181" s="2" t="s">
        <v>377</v>
      </c>
      <c r="E181" s="2" t="s">
        <v>40</v>
      </c>
      <c r="F181" s="2" t="str" cm="1">
        <f t="array" ref="F1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1" s="2" t="str" cm="1">
        <f t="array" ref="G1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1" s="2" t="s">
        <v>41</v>
      </c>
      <c r="I181" s="2" t="s">
        <v>16</v>
      </c>
      <c r="J181" s="2">
        <v>1</v>
      </c>
      <c r="K181" s="8">
        <v>2299</v>
      </c>
      <c r="L181" s="3">
        <v>0.25</v>
      </c>
      <c r="M181" s="12">
        <f>K181*L181</f>
        <v>574.75</v>
      </c>
      <c r="N181" s="12">
        <f>K181*J181</f>
        <v>2299</v>
      </c>
      <c r="O181" s="12">
        <f>N181-M181</f>
        <v>1724.25</v>
      </c>
      <c r="P181" s="2" t="s">
        <v>30</v>
      </c>
      <c r="Q181" s="2" t="s">
        <v>18</v>
      </c>
      <c r="R181" s="2">
        <v>80</v>
      </c>
      <c r="S181" s="20">
        <f>Table1[[#This Row],[Net_revenue]]/Table1[[#This Row],[Gross_revenue]]*100%</f>
        <v>0.75</v>
      </c>
      <c r="T181" s="18">
        <f>COUNTIFS(Table1[Customer ID], "&gt;1", Table1[Customer ID], 1)</f>
        <v>0</v>
      </c>
    </row>
    <row r="182" spans="1:20" hidden="1" x14ac:dyDescent="0.3">
      <c r="A182" s="2" t="s">
        <v>401</v>
      </c>
      <c r="B182" s="5">
        <v>45909</v>
      </c>
      <c r="C182" s="5" t="str">
        <f>TEXT(B182,"mmm")</f>
        <v>Sep</v>
      </c>
      <c r="D182" s="2" t="s">
        <v>402</v>
      </c>
      <c r="E182" s="2" t="s">
        <v>14</v>
      </c>
      <c r="F182" s="2" t="str" cm="1">
        <f t="array" ref="F1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2" s="2" t="str" cm="1">
        <f t="array" ref="G1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2" s="2" t="s">
        <v>63</v>
      </c>
      <c r="I182" s="2" t="s">
        <v>23</v>
      </c>
      <c r="J182" s="2">
        <v>1</v>
      </c>
      <c r="K182" s="8">
        <v>2499</v>
      </c>
      <c r="L182" s="3">
        <v>0</v>
      </c>
      <c r="M182" s="12">
        <f>K182*L182</f>
        <v>0</v>
      </c>
      <c r="N182" s="12">
        <f>K182*J182</f>
        <v>2499</v>
      </c>
      <c r="O182" s="12">
        <f>N182-M182</f>
        <v>2499</v>
      </c>
      <c r="P182" s="2" t="s">
        <v>45</v>
      </c>
      <c r="Q182" s="2" t="s">
        <v>18</v>
      </c>
      <c r="R182" s="2">
        <v>0</v>
      </c>
      <c r="S182" s="20">
        <f>Table1[[#This Row],[Net_revenue]]/Table1[[#This Row],[Gross_revenue]]*100%</f>
        <v>1</v>
      </c>
      <c r="T182" s="18">
        <f>COUNTIFS(Table1[Customer ID], "&gt;1", Table1[Customer ID], 1)</f>
        <v>0</v>
      </c>
    </row>
    <row r="183" spans="1:20" hidden="1" x14ac:dyDescent="0.3">
      <c r="A183" s="2" t="s">
        <v>403</v>
      </c>
      <c r="B183" s="5">
        <v>45786</v>
      </c>
      <c r="C183" s="5" t="str">
        <f>TEXT(B183,"mmm")</f>
        <v>May</v>
      </c>
      <c r="D183" s="2" t="s">
        <v>116</v>
      </c>
      <c r="E183" s="2" t="s">
        <v>40</v>
      </c>
      <c r="F183" s="2" t="str" cm="1">
        <f t="array" ref="F1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3" s="2" t="str" cm="1">
        <f t="array" ref="G1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3" s="2" t="s">
        <v>28</v>
      </c>
      <c r="I183" s="2" t="s">
        <v>29</v>
      </c>
      <c r="J183" s="2">
        <v>1</v>
      </c>
      <c r="K183" s="8">
        <v>2799</v>
      </c>
      <c r="L183" s="3">
        <v>0.1</v>
      </c>
      <c r="M183" s="12">
        <f>K183*L183</f>
        <v>279.90000000000003</v>
      </c>
      <c r="N183" s="12">
        <f>K183*J183</f>
        <v>2799</v>
      </c>
      <c r="O183" s="12">
        <f>N183-M183</f>
        <v>2519.1</v>
      </c>
      <c r="P183" s="2" t="s">
        <v>30</v>
      </c>
      <c r="Q183" s="2" t="s">
        <v>18</v>
      </c>
      <c r="R183" s="2">
        <v>80</v>
      </c>
      <c r="S183" s="20">
        <f>Table1[[#This Row],[Net_revenue]]/Table1[[#This Row],[Gross_revenue]]*100%</f>
        <v>0.9</v>
      </c>
      <c r="T183" s="18">
        <f>COUNTIFS(Table1[Customer ID], "&gt;1", Table1[Customer ID], 1)</f>
        <v>0</v>
      </c>
    </row>
    <row r="184" spans="1:20" hidden="1" x14ac:dyDescent="0.3">
      <c r="A184" s="2" t="s">
        <v>404</v>
      </c>
      <c r="B184" s="5">
        <v>45876</v>
      </c>
      <c r="C184" s="5" t="str">
        <f>TEXT(B184,"mmm")</f>
        <v>Aug</v>
      </c>
      <c r="D184" s="2" t="s">
        <v>405</v>
      </c>
      <c r="E184" s="2" t="s">
        <v>21</v>
      </c>
      <c r="F184" s="2" t="str" cm="1">
        <f t="array" ref="F1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4" s="2" t="str" cm="1">
        <f t="array" ref="G1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4" s="2" t="s">
        <v>80</v>
      </c>
      <c r="I184" s="2" t="s">
        <v>23</v>
      </c>
      <c r="J184" s="2">
        <v>1</v>
      </c>
      <c r="K184" s="8">
        <v>799</v>
      </c>
      <c r="L184" s="3">
        <v>0.1</v>
      </c>
      <c r="M184" s="12">
        <f>K184*L184</f>
        <v>79.900000000000006</v>
      </c>
      <c r="N184" s="12">
        <f>K184*J184</f>
        <v>799</v>
      </c>
      <c r="O184" s="12">
        <f>N184-M184</f>
        <v>719.1</v>
      </c>
      <c r="P184" s="2" t="s">
        <v>17</v>
      </c>
      <c r="Q184" s="2" t="s">
        <v>18</v>
      </c>
      <c r="R184" s="2">
        <v>80</v>
      </c>
      <c r="S184" s="20">
        <f>Table1[[#This Row],[Net_revenue]]/Table1[[#This Row],[Gross_revenue]]*100%</f>
        <v>0.9</v>
      </c>
      <c r="T184" s="18">
        <f>COUNTIFS(Table1[Customer ID], "&gt;1", Table1[Customer ID], 1)</f>
        <v>0</v>
      </c>
    </row>
    <row r="185" spans="1:20" hidden="1" x14ac:dyDescent="0.3">
      <c r="A185" s="2" t="s">
        <v>406</v>
      </c>
      <c r="B185" s="5">
        <v>45912</v>
      </c>
      <c r="C185" s="5" t="str">
        <f>TEXT(B185,"mmm")</f>
        <v>Sep</v>
      </c>
      <c r="D185" s="2" t="s">
        <v>407</v>
      </c>
      <c r="E185" s="2" t="s">
        <v>14</v>
      </c>
      <c r="F185" s="2" t="str" cm="1">
        <f t="array" ref="F1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5" s="2" t="str" cm="1">
        <f t="array" ref="G1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5" s="2" t="s">
        <v>188</v>
      </c>
      <c r="I185" s="2" t="s">
        <v>95</v>
      </c>
      <c r="J185" s="2">
        <v>2</v>
      </c>
      <c r="K185" s="8">
        <v>699</v>
      </c>
      <c r="L185" s="3">
        <v>0</v>
      </c>
      <c r="M185" s="12">
        <f>K185*L185</f>
        <v>0</v>
      </c>
      <c r="N185" s="12">
        <f>K185*J185</f>
        <v>1398</v>
      </c>
      <c r="O185" s="12">
        <f>N185-M185</f>
        <v>1398</v>
      </c>
      <c r="P185" s="2" t="s">
        <v>45</v>
      </c>
      <c r="Q185" s="2" t="s">
        <v>18</v>
      </c>
      <c r="R185" s="2">
        <v>60</v>
      </c>
      <c r="S185" s="20">
        <f>Table1[[#This Row],[Net_revenue]]/Table1[[#This Row],[Gross_revenue]]*100%</f>
        <v>1</v>
      </c>
      <c r="T185" s="18">
        <f>COUNTIFS(Table1[Customer ID], "&gt;1", Table1[Customer ID], 1)</f>
        <v>0</v>
      </c>
    </row>
    <row r="186" spans="1:20" hidden="1" x14ac:dyDescent="0.3">
      <c r="A186" s="2" t="s">
        <v>408</v>
      </c>
      <c r="B186" s="5">
        <v>45676</v>
      </c>
      <c r="C186" s="5" t="str">
        <f>TEXT(B186,"mmm")</f>
        <v>Jan</v>
      </c>
      <c r="D186" s="2" t="s">
        <v>35</v>
      </c>
      <c r="E186" s="2" t="s">
        <v>21</v>
      </c>
      <c r="F186" s="2" t="str" cm="1">
        <f t="array" ref="F1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6" s="2" t="str" cm="1">
        <f t="array" ref="G1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6" s="2" t="s">
        <v>22</v>
      </c>
      <c r="I186" s="2" t="s">
        <v>23</v>
      </c>
      <c r="J186" s="2">
        <v>4</v>
      </c>
      <c r="K186" s="8">
        <v>3999</v>
      </c>
      <c r="L186" s="3">
        <v>0.15</v>
      </c>
      <c r="M186" s="12">
        <f>K186*L186</f>
        <v>599.85</v>
      </c>
      <c r="N186" s="12">
        <f>K186*J186</f>
        <v>15996</v>
      </c>
      <c r="O186" s="12">
        <f>N186-M186</f>
        <v>15396.15</v>
      </c>
      <c r="P186" s="2" t="s">
        <v>45</v>
      </c>
      <c r="Q186" s="2" t="s">
        <v>18</v>
      </c>
      <c r="R186" s="2">
        <v>80</v>
      </c>
      <c r="S186" s="20">
        <f>Table1[[#This Row],[Net_revenue]]/Table1[[#This Row],[Gross_revenue]]*100%</f>
        <v>0.96250000000000002</v>
      </c>
      <c r="T186" s="18">
        <f>COUNTIFS(Table1[Customer ID], "&gt;1", Table1[Customer ID], 1)</f>
        <v>0</v>
      </c>
    </row>
    <row r="187" spans="1:20" hidden="1" x14ac:dyDescent="0.3">
      <c r="A187" s="2" t="s">
        <v>409</v>
      </c>
      <c r="B187" s="5">
        <v>45964</v>
      </c>
      <c r="C187" s="5" t="str">
        <f>TEXT(B187,"mmm")</f>
        <v>Nov</v>
      </c>
      <c r="D187" s="2" t="s">
        <v>154</v>
      </c>
      <c r="E187" s="2" t="s">
        <v>40</v>
      </c>
      <c r="F187" s="2" t="str" cm="1">
        <f t="array" ref="F1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7" s="2" t="str" cm="1">
        <f t="array" ref="G1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7" s="2" t="s">
        <v>117</v>
      </c>
      <c r="I187" s="2" t="s">
        <v>23</v>
      </c>
      <c r="J187" s="2">
        <v>5</v>
      </c>
      <c r="K187" s="8">
        <v>2199</v>
      </c>
      <c r="L187" s="3">
        <v>0</v>
      </c>
      <c r="M187" s="12">
        <f>K187*L187</f>
        <v>0</v>
      </c>
      <c r="N187" s="12">
        <f>K187*J187</f>
        <v>10995</v>
      </c>
      <c r="O187" s="12">
        <f>N187-M187</f>
        <v>10995</v>
      </c>
      <c r="P187" s="2" t="s">
        <v>24</v>
      </c>
      <c r="Q187" s="2" t="s">
        <v>18</v>
      </c>
      <c r="R187" s="2">
        <v>40</v>
      </c>
      <c r="S187" s="20">
        <f>Table1[[#This Row],[Net_revenue]]/Table1[[#This Row],[Gross_revenue]]*100%</f>
        <v>1</v>
      </c>
      <c r="T187" s="18">
        <f>COUNTIFS(Table1[Customer ID], "&gt;1", Table1[Customer ID], 1)</f>
        <v>0</v>
      </c>
    </row>
    <row r="188" spans="1:20" hidden="1" x14ac:dyDescent="0.3">
      <c r="A188" s="2" t="s">
        <v>410</v>
      </c>
      <c r="B188" s="5">
        <v>45851</v>
      </c>
      <c r="C188" s="5" t="str">
        <f>TEXT(B188,"mmm")</f>
        <v>Jul</v>
      </c>
      <c r="D188" s="2" t="s">
        <v>154</v>
      </c>
      <c r="E188" s="2" t="s">
        <v>75</v>
      </c>
      <c r="F188" s="2" t="str" cm="1">
        <f t="array" ref="F1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8" s="2" t="str" cm="1">
        <f t="array" ref="G1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 s="2" t="s">
        <v>44</v>
      </c>
      <c r="I188" s="2" t="s">
        <v>16</v>
      </c>
      <c r="J188" s="2">
        <v>3</v>
      </c>
      <c r="K188" s="8">
        <v>1599</v>
      </c>
      <c r="L188" s="3">
        <v>0</v>
      </c>
      <c r="M188" s="12">
        <f>K188*L188</f>
        <v>0</v>
      </c>
      <c r="N188" s="12">
        <f>K188*J188</f>
        <v>4797</v>
      </c>
      <c r="O188" s="12">
        <f>N188-M188</f>
        <v>4797</v>
      </c>
      <c r="P188" s="2" t="s">
        <v>17</v>
      </c>
      <c r="Q188" s="2" t="s">
        <v>18</v>
      </c>
      <c r="R188" s="2">
        <v>40</v>
      </c>
      <c r="S188" s="20">
        <f>Table1[[#This Row],[Net_revenue]]/Table1[[#This Row],[Gross_revenue]]*100%</f>
        <v>1</v>
      </c>
      <c r="T188" s="18">
        <f>COUNTIFS(Table1[Customer ID], "&gt;1", Table1[Customer ID], 1)</f>
        <v>0</v>
      </c>
    </row>
    <row r="189" spans="1:20" hidden="1" x14ac:dyDescent="0.3">
      <c r="A189" s="2" t="s">
        <v>411</v>
      </c>
      <c r="B189" s="5">
        <v>45723</v>
      </c>
      <c r="C189" s="5" t="str">
        <f>TEXT(B189,"mmm")</f>
        <v>Mar</v>
      </c>
      <c r="D189" s="2" t="s">
        <v>79</v>
      </c>
      <c r="E189" s="2" t="s">
        <v>40</v>
      </c>
      <c r="F189" s="2" t="str" cm="1">
        <f t="array" ref="F1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9" s="2" t="str" cm="1">
        <f t="array" ref="G1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9" s="2" t="s">
        <v>217</v>
      </c>
      <c r="I189" s="2" t="s">
        <v>29</v>
      </c>
      <c r="J189" s="2">
        <v>2</v>
      </c>
      <c r="K189" s="8">
        <v>3299</v>
      </c>
      <c r="L189" s="3">
        <v>0.05</v>
      </c>
      <c r="M189" s="12">
        <f>K189*L189</f>
        <v>164.95000000000002</v>
      </c>
      <c r="N189" s="12">
        <f>K189*J189</f>
        <v>6598</v>
      </c>
      <c r="O189" s="12">
        <f>N189-M189</f>
        <v>6433.05</v>
      </c>
      <c r="P189" s="2" t="s">
        <v>45</v>
      </c>
      <c r="Q189" s="2" t="s">
        <v>18</v>
      </c>
      <c r="R189" s="2">
        <v>60</v>
      </c>
      <c r="S189" s="20">
        <f>Table1[[#This Row],[Net_revenue]]/Table1[[#This Row],[Gross_revenue]]*100%</f>
        <v>0.97499999999999998</v>
      </c>
      <c r="T189" s="18">
        <f>COUNTIFS(Table1[Customer ID], "&gt;1", Table1[Customer ID], 1)</f>
        <v>0</v>
      </c>
    </row>
    <row r="190" spans="1:20" hidden="1" x14ac:dyDescent="0.3">
      <c r="A190" s="2" t="s">
        <v>412</v>
      </c>
      <c r="B190" s="5">
        <v>45815</v>
      </c>
      <c r="C190" s="5" t="str">
        <f>TEXT(B190,"mmm")</f>
        <v>Jun</v>
      </c>
      <c r="D190" s="2" t="s">
        <v>413</v>
      </c>
      <c r="E190" s="2" t="s">
        <v>120</v>
      </c>
      <c r="F190" s="2" t="str" cm="1">
        <f t="array" ref="F1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0" s="2" t="str" cm="1">
        <f t="array" ref="G1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0" s="2" t="s">
        <v>134</v>
      </c>
      <c r="I190" s="2" t="s">
        <v>29</v>
      </c>
      <c r="J190" s="2">
        <v>1</v>
      </c>
      <c r="K190" s="8">
        <v>1499</v>
      </c>
      <c r="L190" s="3">
        <v>0.1</v>
      </c>
      <c r="M190" s="12">
        <f>K190*L190</f>
        <v>149.9</v>
      </c>
      <c r="N190" s="12">
        <f>K190*J190</f>
        <v>1499</v>
      </c>
      <c r="O190" s="12">
        <f>N190-M190</f>
        <v>1349.1</v>
      </c>
      <c r="P190" s="2" t="s">
        <v>45</v>
      </c>
      <c r="Q190" s="2" t="s">
        <v>72</v>
      </c>
      <c r="R190" s="2">
        <v>60</v>
      </c>
      <c r="S190" s="20">
        <f>Table1[[#This Row],[Net_revenue]]/Table1[[#This Row],[Gross_revenue]]*100%</f>
        <v>0.89999999999999991</v>
      </c>
      <c r="T190" s="18">
        <f>COUNTIFS(Table1[Customer ID], "&gt;1", Table1[Customer ID], 1)</f>
        <v>0</v>
      </c>
    </row>
    <row r="191" spans="1:20" hidden="1" x14ac:dyDescent="0.3">
      <c r="A191" s="2" t="s">
        <v>414</v>
      </c>
      <c r="B191" s="5">
        <v>45732</v>
      </c>
      <c r="C191" s="5" t="str">
        <f>TEXT(B191,"mmm")</f>
        <v>Mar</v>
      </c>
      <c r="D191" s="2" t="s">
        <v>415</v>
      </c>
      <c r="E191" s="2" t="s">
        <v>48</v>
      </c>
      <c r="F191" s="2" t="str" cm="1">
        <f t="array" ref="F1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1" s="2" t="str" cm="1">
        <f t="array" ref="G1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1" s="2" t="s">
        <v>217</v>
      </c>
      <c r="I191" s="2" t="s">
        <v>29</v>
      </c>
      <c r="J191" s="2">
        <v>2</v>
      </c>
      <c r="K191" s="8">
        <v>3299</v>
      </c>
      <c r="L191" s="3">
        <v>0</v>
      </c>
      <c r="M191" s="12">
        <f>K191*L191</f>
        <v>0</v>
      </c>
      <c r="N191" s="12">
        <f>K191*J191</f>
        <v>6598</v>
      </c>
      <c r="O191" s="12">
        <f>N191-M191</f>
        <v>6598</v>
      </c>
      <c r="P191" s="2" t="s">
        <v>17</v>
      </c>
      <c r="Q191" s="2" t="s">
        <v>18</v>
      </c>
      <c r="R191" s="2">
        <v>0</v>
      </c>
      <c r="S191" s="20">
        <f>Table1[[#This Row],[Net_revenue]]/Table1[[#This Row],[Gross_revenue]]*100%</f>
        <v>1</v>
      </c>
      <c r="T191" s="18">
        <f>COUNTIFS(Table1[Customer ID], "&gt;1", Table1[Customer ID], 1)</f>
        <v>0</v>
      </c>
    </row>
    <row r="192" spans="1:20" hidden="1" x14ac:dyDescent="0.3">
      <c r="A192" s="2" t="s">
        <v>416</v>
      </c>
      <c r="B192" s="5">
        <v>45921</v>
      </c>
      <c r="C192" s="5" t="str">
        <f>TEXT(B192,"mmm")</f>
        <v>Sep</v>
      </c>
      <c r="D192" s="2" t="s">
        <v>417</v>
      </c>
      <c r="E192" s="2" t="s">
        <v>21</v>
      </c>
      <c r="F192" s="2" t="str" cm="1">
        <f t="array" ref="F1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2" s="2" t="str" cm="1">
        <f t="array" ref="G1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2" s="2" t="s">
        <v>98</v>
      </c>
      <c r="I192" s="2" t="s">
        <v>37</v>
      </c>
      <c r="J192" s="2">
        <v>1</v>
      </c>
      <c r="K192" s="8">
        <v>299</v>
      </c>
      <c r="L192" s="3">
        <v>0.2</v>
      </c>
      <c r="M192" s="12">
        <f>K192*L192</f>
        <v>59.800000000000004</v>
      </c>
      <c r="N192" s="12">
        <f>K192*J192</f>
        <v>299</v>
      </c>
      <c r="O192" s="12">
        <f>N192-M192</f>
        <v>239.2</v>
      </c>
      <c r="P192" s="2" t="s">
        <v>30</v>
      </c>
      <c r="Q192" s="2" t="s">
        <v>18</v>
      </c>
      <c r="R192" s="2">
        <v>0</v>
      </c>
      <c r="S192" s="20">
        <f>Table1[[#This Row],[Net_revenue]]/Table1[[#This Row],[Gross_revenue]]*100%</f>
        <v>0.79999999999999993</v>
      </c>
      <c r="T192" s="18">
        <f>COUNTIFS(Table1[Customer ID], "&gt;1", Table1[Customer ID], 1)</f>
        <v>0</v>
      </c>
    </row>
    <row r="193" spans="1:20" hidden="1" x14ac:dyDescent="0.3">
      <c r="A193" s="2" t="s">
        <v>418</v>
      </c>
      <c r="B193" s="5">
        <v>45773</v>
      </c>
      <c r="C193" s="5" t="str">
        <f>TEXT(B193,"mmm")</f>
        <v>Apr</v>
      </c>
      <c r="D193" s="2" t="s">
        <v>419</v>
      </c>
      <c r="E193" s="2" t="s">
        <v>40</v>
      </c>
      <c r="F193" s="2" t="str" cm="1">
        <f t="array" ref="F1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3" s="2" t="str" cm="1">
        <f t="array" ref="G1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3" s="2" t="s">
        <v>89</v>
      </c>
      <c r="I193" s="2" t="s">
        <v>29</v>
      </c>
      <c r="J193" s="2">
        <v>1</v>
      </c>
      <c r="K193" s="8">
        <v>449</v>
      </c>
      <c r="L193" s="3">
        <v>0.25</v>
      </c>
      <c r="M193" s="12">
        <f>K193*L193</f>
        <v>112.25</v>
      </c>
      <c r="N193" s="12">
        <f>K193*J193</f>
        <v>449</v>
      </c>
      <c r="O193" s="12">
        <f>N193-M193</f>
        <v>336.75</v>
      </c>
      <c r="P193" s="2" t="s">
        <v>17</v>
      </c>
      <c r="Q193" s="2" t="s">
        <v>18</v>
      </c>
      <c r="R193" s="2">
        <v>60</v>
      </c>
      <c r="S193" s="20">
        <f>Table1[[#This Row],[Net_revenue]]/Table1[[#This Row],[Gross_revenue]]*100%</f>
        <v>0.75</v>
      </c>
      <c r="T193" s="18">
        <f>COUNTIFS(Table1[Customer ID], "&gt;1", Table1[Customer ID], 1)</f>
        <v>0</v>
      </c>
    </row>
    <row r="194" spans="1:20" hidden="1" x14ac:dyDescent="0.3">
      <c r="A194" s="2" t="s">
        <v>420</v>
      </c>
      <c r="B194" s="5">
        <v>45971</v>
      </c>
      <c r="C194" s="5" t="str">
        <f>TEXT(B194,"mmm")</f>
        <v>Nov</v>
      </c>
      <c r="D194" s="2" t="s">
        <v>421</v>
      </c>
      <c r="E194" s="2" t="s">
        <v>48</v>
      </c>
      <c r="F194" s="2" t="str" cm="1">
        <f t="array" ref="F1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4" s="2" t="str" cm="1">
        <f t="array" ref="G1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 s="2" t="s">
        <v>41</v>
      </c>
      <c r="I194" s="2" t="s">
        <v>16</v>
      </c>
      <c r="J194" s="2">
        <v>2</v>
      </c>
      <c r="K194" s="8">
        <v>2299</v>
      </c>
      <c r="L194" s="3">
        <v>0</v>
      </c>
      <c r="M194" s="12">
        <f>K194*L194</f>
        <v>0</v>
      </c>
      <c r="N194" s="12">
        <f>K194*J194</f>
        <v>4598</v>
      </c>
      <c r="O194" s="12">
        <f>N194-M194</f>
        <v>4598</v>
      </c>
      <c r="P194" s="2" t="s">
        <v>17</v>
      </c>
      <c r="Q194" s="2" t="s">
        <v>18</v>
      </c>
      <c r="R194" s="2">
        <v>60</v>
      </c>
      <c r="S194" s="20">
        <f>Table1[[#This Row],[Net_revenue]]/Table1[[#This Row],[Gross_revenue]]*100%</f>
        <v>1</v>
      </c>
      <c r="T194" s="18">
        <f>COUNTIFS(Table1[Customer ID], "&gt;1", Table1[Customer ID], 1)</f>
        <v>0</v>
      </c>
    </row>
    <row r="195" spans="1:20" hidden="1" x14ac:dyDescent="0.3">
      <c r="A195" s="2" t="s">
        <v>422</v>
      </c>
      <c r="B195" s="5">
        <v>45832</v>
      </c>
      <c r="C195" s="5" t="str">
        <f>TEXT(B195,"mmm")</f>
        <v>Jun</v>
      </c>
      <c r="D195" s="2" t="s">
        <v>313</v>
      </c>
      <c r="E195" s="2" t="s">
        <v>21</v>
      </c>
      <c r="F195" s="2" t="str" cm="1">
        <f t="array" ref="F1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5" s="2" t="str" cm="1">
        <f t="array" ref="G1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5" s="2" t="s">
        <v>41</v>
      </c>
      <c r="I195" s="2" t="s">
        <v>16</v>
      </c>
      <c r="J195" s="2">
        <v>3</v>
      </c>
      <c r="K195" s="8">
        <v>2299</v>
      </c>
      <c r="L195" s="3">
        <v>0</v>
      </c>
      <c r="M195" s="12">
        <f>K195*L195</f>
        <v>0</v>
      </c>
      <c r="N195" s="12">
        <f>K195*J195</f>
        <v>6897</v>
      </c>
      <c r="O195" s="12">
        <f>N195-M195</f>
        <v>6897</v>
      </c>
      <c r="P195" s="2" t="s">
        <v>17</v>
      </c>
      <c r="Q195" s="2" t="s">
        <v>18</v>
      </c>
      <c r="R195" s="2">
        <v>80</v>
      </c>
      <c r="S195" s="20">
        <f>Table1[[#This Row],[Net_revenue]]/Table1[[#This Row],[Gross_revenue]]*100%</f>
        <v>1</v>
      </c>
      <c r="T195" s="18">
        <f>COUNTIFS(Table1[Customer ID], "&gt;1", Table1[Customer ID], 1)</f>
        <v>0</v>
      </c>
    </row>
    <row r="196" spans="1:20" hidden="1" x14ac:dyDescent="0.3">
      <c r="A196" s="2" t="s">
        <v>423</v>
      </c>
      <c r="B196" s="5">
        <v>45844</v>
      </c>
      <c r="C196" s="5" t="str">
        <f>TEXT(B196,"mmm")</f>
        <v>Jul</v>
      </c>
      <c r="D196" s="2" t="s">
        <v>424</v>
      </c>
      <c r="E196" s="2" t="s">
        <v>120</v>
      </c>
      <c r="F196" s="2" t="str" cm="1">
        <f t="array" ref="F1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6" s="2" t="str" cm="1">
        <f t="array" ref="G1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6" s="2" t="s">
        <v>188</v>
      </c>
      <c r="I196" s="2" t="s">
        <v>95</v>
      </c>
      <c r="J196" s="2">
        <v>1</v>
      </c>
      <c r="K196" s="8">
        <v>699</v>
      </c>
      <c r="L196" s="3">
        <v>0</v>
      </c>
      <c r="M196" s="12">
        <f>K196*L196</f>
        <v>0</v>
      </c>
      <c r="N196" s="12">
        <f>K196*J196</f>
        <v>699</v>
      </c>
      <c r="O196" s="12">
        <f>N196-M196</f>
        <v>699</v>
      </c>
      <c r="P196" s="2" t="s">
        <v>24</v>
      </c>
      <c r="Q196" s="2" t="s">
        <v>18</v>
      </c>
      <c r="R196" s="2">
        <v>0</v>
      </c>
      <c r="S196" s="20">
        <f>Table1[[#This Row],[Net_revenue]]/Table1[[#This Row],[Gross_revenue]]*100%</f>
        <v>1</v>
      </c>
      <c r="T196" s="18">
        <f>COUNTIFS(Table1[Customer ID], "&gt;1", Table1[Customer ID], 1)</f>
        <v>0</v>
      </c>
    </row>
    <row r="197" spans="1:20" hidden="1" x14ac:dyDescent="0.3">
      <c r="A197" s="2" t="s">
        <v>425</v>
      </c>
      <c r="B197" s="5">
        <v>45898</v>
      </c>
      <c r="C197" s="5" t="str">
        <f>TEXT(B197,"mmm")</f>
        <v>Aug</v>
      </c>
      <c r="D197" s="2" t="s">
        <v>426</v>
      </c>
      <c r="E197" s="2" t="s">
        <v>48</v>
      </c>
      <c r="F197" s="2" t="str" cm="1">
        <f t="array" ref="F1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7" s="2" t="str" cm="1">
        <f t="array" ref="G1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7" s="2" t="s">
        <v>217</v>
      </c>
      <c r="I197" s="2" t="s">
        <v>29</v>
      </c>
      <c r="J197" s="2">
        <v>1</v>
      </c>
      <c r="K197" s="8">
        <v>3299</v>
      </c>
      <c r="L197" s="3">
        <v>0</v>
      </c>
      <c r="M197" s="12">
        <f>K197*L197</f>
        <v>0</v>
      </c>
      <c r="N197" s="12">
        <f>K197*J197</f>
        <v>3299</v>
      </c>
      <c r="O197" s="12">
        <f>N197-M197</f>
        <v>3299</v>
      </c>
      <c r="P197" s="2" t="s">
        <v>17</v>
      </c>
      <c r="Q197" s="2" t="s">
        <v>18</v>
      </c>
      <c r="R197" s="2">
        <v>0</v>
      </c>
      <c r="S197" s="20">
        <f>Table1[[#This Row],[Net_revenue]]/Table1[[#This Row],[Gross_revenue]]*100%</f>
        <v>1</v>
      </c>
      <c r="T197" s="18">
        <f>COUNTIFS(Table1[Customer ID], "&gt;1", Table1[Customer ID], 1)</f>
        <v>0</v>
      </c>
    </row>
    <row r="198" spans="1:20" hidden="1" x14ac:dyDescent="0.3">
      <c r="A198" s="2" t="s">
        <v>427</v>
      </c>
      <c r="B198" s="5">
        <v>45860</v>
      </c>
      <c r="C198" s="5" t="str">
        <f>TEXT(B198,"mmm")</f>
        <v>Jul</v>
      </c>
      <c r="D198" s="2" t="s">
        <v>428</v>
      </c>
      <c r="E198" s="2" t="s">
        <v>53</v>
      </c>
      <c r="F198" s="2" t="str" cm="1">
        <f t="array" ref="F1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98" s="2" t="str" cm="1">
        <f t="array" ref="G1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8" s="2" t="s">
        <v>36</v>
      </c>
      <c r="I198" s="2" t="s">
        <v>37</v>
      </c>
      <c r="J198" s="2">
        <v>3</v>
      </c>
      <c r="K198" s="8">
        <v>349</v>
      </c>
      <c r="L198" s="3">
        <v>0.2</v>
      </c>
      <c r="M198" s="12">
        <f>K198*L198</f>
        <v>69.8</v>
      </c>
      <c r="N198" s="12">
        <f>K198*J198</f>
        <v>1047</v>
      </c>
      <c r="O198" s="12">
        <f>N198-M198</f>
        <v>977.2</v>
      </c>
      <c r="P198" s="2" t="s">
        <v>45</v>
      </c>
      <c r="Q198" s="2" t="s">
        <v>18</v>
      </c>
      <c r="R198" s="2">
        <v>80</v>
      </c>
      <c r="S198" s="20">
        <f>Table1[[#This Row],[Net_revenue]]/Table1[[#This Row],[Gross_revenue]]*100%</f>
        <v>0.93333333333333335</v>
      </c>
      <c r="T198" s="18">
        <f>COUNTIFS(Table1[Customer ID], "&gt;1", Table1[Customer ID], 1)</f>
        <v>0</v>
      </c>
    </row>
    <row r="199" spans="1:20" hidden="1" x14ac:dyDescent="0.3">
      <c r="A199" s="2" t="s">
        <v>429</v>
      </c>
      <c r="B199" s="5">
        <v>45923</v>
      </c>
      <c r="C199" s="5" t="str">
        <f>TEXT(B199,"mmm")</f>
        <v>Sep</v>
      </c>
      <c r="D199" s="2" t="s">
        <v>430</v>
      </c>
      <c r="E199" s="2" t="s">
        <v>48</v>
      </c>
      <c r="F199" s="2" t="str" cm="1">
        <f t="array" ref="F1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9" s="2" t="str" cm="1">
        <f t="array" ref="G1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9" s="2" t="s">
        <v>217</v>
      </c>
      <c r="I199" s="2" t="s">
        <v>29</v>
      </c>
      <c r="J199" s="2">
        <v>1</v>
      </c>
      <c r="K199" s="8">
        <v>3299</v>
      </c>
      <c r="L199" s="3">
        <v>0.1</v>
      </c>
      <c r="M199" s="12">
        <f>K199*L199</f>
        <v>329.90000000000003</v>
      </c>
      <c r="N199" s="12">
        <f>K199*J199</f>
        <v>3299</v>
      </c>
      <c r="O199" s="12">
        <f>N199-M199</f>
        <v>2969.1</v>
      </c>
      <c r="P199" s="2" t="s">
        <v>30</v>
      </c>
      <c r="Q199" s="2" t="s">
        <v>18</v>
      </c>
      <c r="R199" s="2">
        <v>0</v>
      </c>
      <c r="S199" s="20">
        <f>Table1[[#This Row],[Net_revenue]]/Table1[[#This Row],[Gross_revenue]]*100%</f>
        <v>0.9</v>
      </c>
      <c r="T199" s="18">
        <f>COUNTIFS(Table1[Customer ID], "&gt;1", Table1[Customer ID], 1)</f>
        <v>0</v>
      </c>
    </row>
    <row r="200" spans="1:20" hidden="1" x14ac:dyDescent="0.3">
      <c r="A200" s="2" t="s">
        <v>431</v>
      </c>
      <c r="B200" s="5">
        <v>46014</v>
      </c>
      <c r="C200" s="5" t="str">
        <f>TEXT(B200,"mmm")</f>
        <v>Dec</v>
      </c>
      <c r="D200" s="2" t="s">
        <v>432</v>
      </c>
      <c r="E200" s="2" t="s">
        <v>14</v>
      </c>
      <c r="F200" s="2" t="str" cm="1">
        <f t="array" ref="F2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00" s="2" t="str" cm="1">
        <f t="array" ref="G2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00" s="2" t="s">
        <v>117</v>
      </c>
      <c r="I200" s="2" t="s">
        <v>23</v>
      </c>
      <c r="J200" s="2">
        <v>2</v>
      </c>
      <c r="K200" s="8">
        <v>2199</v>
      </c>
      <c r="L200" s="3">
        <v>0.1</v>
      </c>
      <c r="M200" s="12">
        <f>K200*L200</f>
        <v>219.9</v>
      </c>
      <c r="N200" s="12">
        <f>K200*J200</f>
        <v>4398</v>
      </c>
      <c r="O200" s="12">
        <f>N200-M200</f>
        <v>4178.1000000000004</v>
      </c>
      <c r="P200" s="2" t="s">
        <v>45</v>
      </c>
      <c r="Q200" s="2" t="s">
        <v>18</v>
      </c>
      <c r="R200" s="2">
        <v>80</v>
      </c>
      <c r="S200" s="20">
        <f>Table1[[#This Row],[Net_revenue]]/Table1[[#This Row],[Gross_revenue]]*100%</f>
        <v>0.95000000000000007</v>
      </c>
      <c r="T200" s="18">
        <f>COUNTIFS(Table1[Customer ID], "&gt;1", Table1[Customer ID], 1)</f>
        <v>0</v>
      </c>
    </row>
    <row r="201" spans="1:20" hidden="1" x14ac:dyDescent="0.3">
      <c r="A201" s="2" t="s">
        <v>433</v>
      </c>
      <c r="B201" s="5">
        <v>45845</v>
      </c>
      <c r="C201" s="5" t="str">
        <f>TEXT(B201,"mmm")</f>
        <v>Jul</v>
      </c>
      <c r="D201" s="2" t="s">
        <v>434</v>
      </c>
      <c r="E201" s="2" t="s">
        <v>56</v>
      </c>
      <c r="F201" s="2" t="str" cm="1">
        <f t="array" ref="F2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01" s="2" t="str" cm="1">
        <f t="array" ref="G2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01" s="2" t="s">
        <v>22</v>
      </c>
      <c r="I201" s="2" t="s">
        <v>23</v>
      </c>
      <c r="J201" s="2">
        <v>1</v>
      </c>
      <c r="K201" s="8">
        <v>3999</v>
      </c>
      <c r="L201" s="3">
        <v>0</v>
      </c>
      <c r="M201" s="12">
        <f>K201*L201</f>
        <v>0</v>
      </c>
      <c r="N201" s="12">
        <f>K201*J201</f>
        <v>3999</v>
      </c>
      <c r="O201" s="12">
        <f>N201-M201</f>
        <v>3999</v>
      </c>
      <c r="P201" s="2" t="s">
        <v>45</v>
      </c>
      <c r="Q201" s="2" t="s">
        <v>18</v>
      </c>
      <c r="R201" s="2">
        <v>0</v>
      </c>
      <c r="S201" s="20">
        <f>Table1[[#This Row],[Net_revenue]]/Table1[[#This Row],[Gross_revenue]]*100%</f>
        <v>1</v>
      </c>
      <c r="T201" s="18">
        <f>COUNTIFS(Table1[Customer ID], "&gt;1", Table1[Customer ID], 1)</f>
        <v>0</v>
      </c>
    </row>
    <row r="202" spans="1:20" hidden="1" x14ac:dyDescent="0.3">
      <c r="A202" s="2" t="s">
        <v>435</v>
      </c>
      <c r="B202" s="5">
        <v>45935</v>
      </c>
      <c r="C202" s="5" t="str">
        <f>TEXT(B202,"mmm")</f>
        <v>Oct</v>
      </c>
      <c r="D202" s="2" t="s">
        <v>436</v>
      </c>
      <c r="E202" s="2" t="s">
        <v>14</v>
      </c>
      <c r="F202" s="2" t="str" cm="1">
        <f t="array" ref="F2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02" s="2" t="str" cm="1">
        <f t="array" ref="G2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02" s="2" t="s">
        <v>65</v>
      </c>
      <c r="I202" s="2" t="s">
        <v>23</v>
      </c>
      <c r="J202" s="2">
        <v>1</v>
      </c>
      <c r="K202" s="8">
        <v>1899</v>
      </c>
      <c r="L202" s="3">
        <v>0</v>
      </c>
      <c r="M202" s="12">
        <f>K202*L202</f>
        <v>0</v>
      </c>
      <c r="N202" s="12">
        <f>K202*J202</f>
        <v>1899</v>
      </c>
      <c r="O202" s="12">
        <f>N202-M202</f>
        <v>1899</v>
      </c>
      <c r="P202" s="2" t="s">
        <v>45</v>
      </c>
      <c r="Q202" s="2" t="s">
        <v>18</v>
      </c>
      <c r="R202" s="2">
        <v>80</v>
      </c>
      <c r="S202" s="20">
        <f>Table1[[#This Row],[Net_revenue]]/Table1[[#This Row],[Gross_revenue]]*100%</f>
        <v>1</v>
      </c>
      <c r="T202" s="18">
        <f>COUNTIFS(Table1[Customer ID], "&gt;1", Table1[Customer ID], 1)</f>
        <v>0</v>
      </c>
    </row>
    <row r="203" spans="1:20" hidden="1" x14ac:dyDescent="0.3">
      <c r="A203" s="2" t="s">
        <v>437</v>
      </c>
      <c r="B203" s="5">
        <v>45945</v>
      </c>
      <c r="C203" s="5" t="str">
        <f>TEXT(B203,"mmm")</f>
        <v>Oct</v>
      </c>
      <c r="D203" s="2" t="s">
        <v>438</v>
      </c>
      <c r="E203" s="2" t="s">
        <v>21</v>
      </c>
      <c r="F203" s="2" t="str" cm="1">
        <f t="array" ref="F2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03" s="2" t="str" cm="1">
        <f t="array" ref="G2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03" s="2" t="s">
        <v>33</v>
      </c>
      <c r="I203" s="2" t="s">
        <v>16</v>
      </c>
      <c r="J203" s="2">
        <v>3</v>
      </c>
      <c r="K203" s="8">
        <v>899</v>
      </c>
      <c r="L203" s="3">
        <v>0.05</v>
      </c>
      <c r="M203" s="12">
        <f>K203*L203</f>
        <v>44.95</v>
      </c>
      <c r="N203" s="12">
        <f>K203*J203</f>
        <v>2697</v>
      </c>
      <c r="O203" s="12">
        <f>N203-M203</f>
        <v>2652.05</v>
      </c>
      <c r="P203" s="2" t="s">
        <v>24</v>
      </c>
      <c r="Q203" s="2" t="s">
        <v>50</v>
      </c>
      <c r="R203" s="2">
        <v>40</v>
      </c>
      <c r="S203" s="20">
        <f>Table1[[#This Row],[Net_revenue]]/Table1[[#This Row],[Gross_revenue]]*100%</f>
        <v>0.98333333333333339</v>
      </c>
      <c r="T203" s="18">
        <f>COUNTIFS(Table1[Customer ID], "&gt;1", Table1[Customer ID], 1)</f>
        <v>0</v>
      </c>
    </row>
    <row r="204" spans="1:20" hidden="1" x14ac:dyDescent="0.3">
      <c r="A204" s="2" t="s">
        <v>439</v>
      </c>
      <c r="B204" s="5">
        <v>46022</v>
      </c>
      <c r="C204" s="5" t="str">
        <f>TEXT(B204,"mmm")</f>
        <v>Dec</v>
      </c>
      <c r="D204" s="2" t="s">
        <v>440</v>
      </c>
      <c r="E204" s="2" t="s">
        <v>14</v>
      </c>
      <c r="F204" s="2" t="str" cm="1">
        <f t="array" ref="F2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04" s="2" t="str" cm="1">
        <f t="array" ref="G2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04" s="2" t="s">
        <v>15</v>
      </c>
      <c r="I204" s="2" t="s">
        <v>16</v>
      </c>
      <c r="J204" s="2">
        <v>1</v>
      </c>
      <c r="K204" s="8">
        <v>1799</v>
      </c>
      <c r="L204" s="3">
        <v>0</v>
      </c>
      <c r="M204" s="12">
        <f>K204*L204</f>
        <v>0</v>
      </c>
      <c r="N204" s="12">
        <f>K204*J204</f>
        <v>1799</v>
      </c>
      <c r="O204" s="12">
        <f>N204-M204</f>
        <v>1799</v>
      </c>
      <c r="P204" s="2" t="s">
        <v>45</v>
      </c>
      <c r="Q204" s="2" t="s">
        <v>50</v>
      </c>
      <c r="R204" s="2">
        <v>80</v>
      </c>
      <c r="S204" s="20">
        <f>Table1[[#This Row],[Net_revenue]]/Table1[[#This Row],[Gross_revenue]]*100%</f>
        <v>1</v>
      </c>
      <c r="T204" s="18">
        <f>COUNTIFS(Table1[Customer ID], "&gt;1", Table1[Customer ID], 1)</f>
        <v>0</v>
      </c>
    </row>
    <row r="205" spans="1:20" hidden="1" x14ac:dyDescent="0.3">
      <c r="A205" s="2" t="s">
        <v>441</v>
      </c>
      <c r="B205" s="5">
        <v>45946</v>
      </c>
      <c r="C205" s="5" t="str">
        <f>TEXT(B205,"mmm")</f>
        <v>Oct</v>
      </c>
      <c r="D205" s="2" t="s">
        <v>442</v>
      </c>
      <c r="E205" s="2" t="s">
        <v>48</v>
      </c>
      <c r="F205" s="2" t="str" cm="1">
        <f t="array" ref="F2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05" s="2" t="str" cm="1">
        <f t="array" ref="G2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05" s="2" t="s">
        <v>65</v>
      </c>
      <c r="I205" s="2" t="s">
        <v>23</v>
      </c>
      <c r="J205" s="2">
        <v>3</v>
      </c>
      <c r="K205" s="8">
        <v>1899</v>
      </c>
      <c r="L205" s="3">
        <v>0.1</v>
      </c>
      <c r="M205" s="12">
        <f>K205*L205</f>
        <v>189.9</v>
      </c>
      <c r="N205" s="12">
        <f>K205*J205</f>
        <v>5697</v>
      </c>
      <c r="O205" s="12">
        <f>N205-M205</f>
        <v>5507.1</v>
      </c>
      <c r="P205" s="2" t="s">
        <v>45</v>
      </c>
      <c r="Q205" s="2" t="s">
        <v>18</v>
      </c>
      <c r="R205" s="2">
        <v>40</v>
      </c>
      <c r="S205" s="20">
        <f>Table1[[#This Row],[Net_revenue]]/Table1[[#This Row],[Gross_revenue]]*100%</f>
        <v>0.96666666666666679</v>
      </c>
      <c r="T205" s="18">
        <f>COUNTIFS(Table1[Customer ID], "&gt;1", Table1[Customer ID], 1)</f>
        <v>0</v>
      </c>
    </row>
    <row r="206" spans="1:20" hidden="1" x14ac:dyDescent="0.3">
      <c r="A206" s="2" t="s">
        <v>443</v>
      </c>
      <c r="B206" s="5">
        <v>45994</v>
      </c>
      <c r="C206" s="5" t="str">
        <f>TEXT(B206,"mmm")</f>
        <v>Dec</v>
      </c>
      <c r="D206" s="2" t="s">
        <v>387</v>
      </c>
      <c r="E206" s="2" t="s">
        <v>53</v>
      </c>
      <c r="F206" s="2" t="str" cm="1">
        <f t="array" ref="F2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06" s="2" t="str" cm="1">
        <f t="array" ref="G2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06" s="2" t="s">
        <v>80</v>
      </c>
      <c r="I206" s="2" t="s">
        <v>23</v>
      </c>
      <c r="J206" s="2">
        <v>1</v>
      </c>
      <c r="K206" s="8">
        <v>799</v>
      </c>
      <c r="L206" s="3">
        <v>0.2</v>
      </c>
      <c r="M206" s="12">
        <f>K206*L206</f>
        <v>159.80000000000001</v>
      </c>
      <c r="N206" s="12">
        <f>K206*J206</f>
        <v>799</v>
      </c>
      <c r="O206" s="12">
        <f>N206-M206</f>
        <v>639.20000000000005</v>
      </c>
      <c r="P206" s="2" t="s">
        <v>17</v>
      </c>
      <c r="Q206" s="2" t="s">
        <v>18</v>
      </c>
      <c r="R206" s="2">
        <v>40</v>
      </c>
      <c r="S206" s="20">
        <f>Table1[[#This Row],[Net_revenue]]/Table1[[#This Row],[Gross_revenue]]*100%</f>
        <v>0.8</v>
      </c>
      <c r="T206" s="18">
        <f>COUNTIFS(Table1[Customer ID], "&gt;1", Table1[Customer ID], 1)</f>
        <v>0</v>
      </c>
    </row>
    <row r="207" spans="1:20" hidden="1" x14ac:dyDescent="0.3">
      <c r="A207" s="2" t="s">
        <v>444</v>
      </c>
      <c r="B207" s="5">
        <v>45707</v>
      </c>
      <c r="C207" s="5" t="str">
        <f>TEXT(B207,"mmm")</f>
        <v>Feb</v>
      </c>
      <c r="D207" s="2" t="s">
        <v>445</v>
      </c>
      <c r="E207" s="2" t="s">
        <v>40</v>
      </c>
      <c r="F207" s="2" t="str" cm="1">
        <f t="array" ref="F2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07" s="2" t="str" cm="1">
        <f t="array" ref="G2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07" s="2" t="s">
        <v>15</v>
      </c>
      <c r="I207" s="2" t="s">
        <v>16</v>
      </c>
      <c r="J207" s="2">
        <v>2</v>
      </c>
      <c r="K207" s="8">
        <v>1799</v>
      </c>
      <c r="L207" s="3">
        <v>0.2</v>
      </c>
      <c r="M207" s="12">
        <f>K207*L207</f>
        <v>359.8</v>
      </c>
      <c r="N207" s="12">
        <f>K207*J207</f>
        <v>3598</v>
      </c>
      <c r="O207" s="12">
        <f>N207-M207</f>
        <v>3238.2</v>
      </c>
      <c r="P207" s="2" t="s">
        <v>45</v>
      </c>
      <c r="Q207" s="2" t="s">
        <v>18</v>
      </c>
      <c r="R207" s="2">
        <v>80</v>
      </c>
      <c r="S207" s="20">
        <f>Table1[[#This Row],[Net_revenue]]/Table1[[#This Row],[Gross_revenue]]*100%</f>
        <v>0.89999999999999991</v>
      </c>
      <c r="T207" s="18">
        <f>COUNTIFS(Table1[Customer ID], "&gt;1", Table1[Customer ID], 1)</f>
        <v>0</v>
      </c>
    </row>
    <row r="208" spans="1:20" hidden="1" x14ac:dyDescent="0.3">
      <c r="A208" s="2" t="s">
        <v>446</v>
      </c>
      <c r="B208" s="5">
        <v>45841</v>
      </c>
      <c r="C208" s="5" t="str">
        <f>TEXT(B208,"mmm")</f>
        <v>Jul</v>
      </c>
      <c r="D208" s="2" t="s">
        <v>447</v>
      </c>
      <c r="E208" s="2" t="s">
        <v>14</v>
      </c>
      <c r="F208" s="2" t="str" cm="1">
        <f t="array" ref="F2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08" s="2" t="str" cm="1">
        <f t="array" ref="G2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08" s="2" t="s">
        <v>89</v>
      </c>
      <c r="I208" s="2" t="s">
        <v>29</v>
      </c>
      <c r="J208" s="2">
        <v>1</v>
      </c>
      <c r="K208" s="8">
        <v>449</v>
      </c>
      <c r="L208" s="3">
        <v>0.2</v>
      </c>
      <c r="M208" s="12">
        <f>K208*L208</f>
        <v>89.800000000000011</v>
      </c>
      <c r="N208" s="12">
        <f>K208*J208</f>
        <v>449</v>
      </c>
      <c r="O208" s="12">
        <f>N208-M208</f>
        <v>359.2</v>
      </c>
      <c r="P208" s="2" t="s">
        <v>45</v>
      </c>
      <c r="Q208" s="2" t="s">
        <v>18</v>
      </c>
      <c r="R208" s="2">
        <v>80</v>
      </c>
      <c r="S208" s="20">
        <f>Table1[[#This Row],[Net_revenue]]/Table1[[#This Row],[Gross_revenue]]*100%</f>
        <v>0.79999999999999993</v>
      </c>
      <c r="T208" s="18">
        <f>COUNTIFS(Table1[Customer ID], "&gt;1", Table1[Customer ID], 1)</f>
        <v>0</v>
      </c>
    </row>
    <row r="209" spans="1:20" hidden="1" x14ac:dyDescent="0.3">
      <c r="A209" s="2" t="s">
        <v>448</v>
      </c>
      <c r="B209" s="5">
        <v>45772</v>
      </c>
      <c r="C209" s="5" t="str">
        <f>TEXT(B209,"mmm")</f>
        <v>Apr</v>
      </c>
      <c r="D209" s="2" t="s">
        <v>321</v>
      </c>
      <c r="E209" s="2" t="s">
        <v>48</v>
      </c>
      <c r="F209" s="2" t="str" cm="1">
        <f t="array" ref="F2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09" s="2" t="str" cm="1">
        <f t="array" ref="G2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09" s="2" t="s">
        <v>44</v>
      </c>
      <c r="I209" s="2" t="s">
        <v>16</v>
      </c>
      <c r="J209" s="2">
        <v>2</v>
      </c>
      <c r="K209" s="8">
        <v>1599</v>
      </c>
      <c r="L209" s="3">
        <v>0</v>
      </c>
      <c r="M209" s="12">
        <f>K209*L209</f>
        <v>0</v>
      </c>
      <c r="N209" s="12">
        <f>K209*J209</f>
        <v>3198</v>
      </c>
      <c r="O209" s="12">
        <f>N209-M209</f>
        <v>3198</v>
      </c>
      <c r="P209" s="2" t="s">
        <v>45</v>
      </c>
      <c r="Q209" s="2" t="s">
        <v>50</v>
      </c>
      <c r="R209" s="2">
        <v>80</v>
      </c>
      <c r="S209" s="20">
        <f>Table1[[#This Row],[Net_revenue]]/Table1[[#This Row],[Gross_revenue]]*100%</f>
        <v>1</v>
      </c>
      <c r="T209" s="18">
        <f>COUNTIFS(Table1[Customer ID], "&gt;1", Table1[Customer ID], 1)</f>
        <v>0</v>
      </c>
    </row>
    <row r="210" spans="1:20" hidden="1" x14ac:dyDescent="0.3">
      <c r="A210" s="2" t="s">
        <v>449</v>
      </c>
      <c r="B210" s="5">
        <v>45866</v>
      </c>
      <c r="C210" s="5" t="str">
        <f>TEXT(B210,"mmm")</f>
        <v>Jul</v>
      </c>
      <c r="D210" s="2" t="s">
        <v>450</v>
      </c>
      <c r="E210" s="2" t="s">
        <v>48</v>
      </c>
      <c r="F210" s="2" t="str" cm="1">
        <f t="array" ref="F2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10" s="2" t="str" cm="1">
        <f t="array" ref="G2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10" s="2" t="s">
        <v>134</v>
      </c>
      <c r="I210" s="2" t="s">
        <v>29</v>
      </c>
      <c r="J210" s="2">
        <v>1</v>
      </c>
      <c r="K210" s="8">
        <v>1499</v>
      </c>
      <c r="L210" s="3">
        <v>0</v>
      </c>
      <c r="M210" s="12">
        <f>K210*L210</f>
        <v>0</v>
      </c>
      <c r="N210" s="12">
        <f>K210*J210</f>
        <v>1499</v>
      </c>
      <c r="O210" s="12">
        <f>N210-M210</f>
        <v>1499</v>
      </c>
      <c r="P210" s="2" t="s">
        <v>17</v>
      </c>
      <c r="Q210" s="2" t="s">
        <v>18</v>
      </c>
      <c r="R210" s="2">
        <v>60</v>
      </c>
      <c r="S210" s="20">
        <f>Table1[[#This Row],[Net_revenue]]/Table1[[#This Row],[Gross_revenue]]*100%</f>
        <v>1</v>
      </c>
      <c r="T210" s="18">
        <f>COUNTIFS(Table1[Customer ID], "&gt;1", Table1[Customer ID], 1)</f>
        <v>0</v>
      </c>
    </row>
    <row r="211" spans="1:20" hidden="1" x14ac:dyDescent="0.3">
      <c r="A211" s="2" t="s">
        <v>451</v>
      </c>
      <c r="B211" s="5">
        <v>45969</v>
      </c>
      <c r="C211" s="5" t="str">
        <f>TEXT(B211,"mmm")</f>
        <v>Nov</v>
      </c>
      <c r="D211" s="2" t="s">
        <v>226</v>
      </c>
      <c r="E211" s="2" t="s">
        <v>120</v>
      </c>
      <c r="F211" s="2" t="str" cm="1">
        <f t="array" ref="F2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11" s="2" t="str" cm="1">
        <f t="array" ref="G2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11" s="2" t="s">
        <v>121</v>
      </c>
      <c r="I211" s="2" t="s">
        <v>95</v>
      </c>
      <c r="J211" s="2">
        <v>1</v>
      </c>
      <c r="K211" s="8">
        <v>1299</v>
      </c>
      <c r="L211" s="3">
        <v>0</v>
      </c>
      <c r="M211" s="12">
        <f>K211*L211</f>
        <v>0</v>
      </c>
      <c r="N211" s="12">
        <f>K211*J211</f>
        <v>1299</v>
      </c>
      <c r="O211" s="12">
        <f>N211-M211</f>
        <v>1299</v>
      </c>
      <c r="P211" s="2" t="s">
        <v>45</v>
      </c>
      <c r="Q211" s="2" t="s">
        <v>18</v>
      </c>
      <c r="R211" s="2">
        <v>0</v>
      </c>
      <c r="S211" s="20">
        <f>Table1[[#This Row],[Net_revenue]]/Table1[[#This Row],[Gross_revenue]]*100%</f>
        <v>1</v>
      </c>
      <c r="T211" s="18">
        <f>COUNTIFS(Table1[Customer ID], "&gt;1", Table1[Customer ID], 1)</f>
        <v>0</v>
      </c>
    </row>
    <row r="212" spans="1:20" hidden="1" x14ac:dyDescent="0.3">
      <c r="A212" s="2" t="s">
        <v>452</v>
      </c>
      <c r="B212" s="5">
        <v>45796</v>
      </c>
      <c r="C212" s="5" t="str">
        <f>TEXT(B212,"mmm")</f>
        <v>May</v>
      </c>
      <c r="D212" s="2" t="s">
        <v>211</v>
      </c>
      <c r="E212" s="2" t="s">
        <v>40</v>
      </c>
      <c r="F212" s="2" t="str" cm="1">
        <f t="array" ref="F2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12" s="2" t="str" cm="1">
        <f t="array" ref="G2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12" s="2" t="s">
        <v>65</v>
      </c>
      <c r="I212" s="2" t="s">
        <v>23</v>
      </c>
      <c r="J212" s="2">
        <v>2</v>
      </c>
      <c r="K212" s="8">
        <v>1899</v>
      </c>
      <c r="L212" s="3">
        <v>0.2</v>
      </c>
      <c r="M212" s="12">
        <f>K212*L212</f>
        <v>379.8</v>
      </c>
      <c r="N212" s="12">
        <f>K212*J212</f>
        <v>3798</v>
      </c>
      <c r="O212" s="12">
        <f>N212-M212</f>
        <v>3418.2</v>
      </c>
      <c r="P212" s="2" t="s">
        <v>17</v>
      </c>
      <c r="Q212" s="2" t="s">
        <v>18</v>
      </c>
      <c r="R212" s="2">
        <v>0</v>
      </c>
      <c r="S212" s="20">
        <f>Table1[[#This Row],[Net_revenue]]/Table1[[#This Row],[Gross_revenue]]*100%</f>
        <v>0.89999999999999991</v>
      </c>
      <c r="T212" s="18">
        <f>COUNTIFS(Table1[Customer ID], "&gt;1", Table1[Customer ID], 1)</f>
        <v>0</v>
      </c>
    </row>
    <row r="213" spans="1:20" hidden="1" x14ac:dyDescent="0.3">
      <c r="A213" s="2" t="s">
        <v>453</v>
      </c>
      <c r="B213" s="5">
        <v>45786</v>
      </c>
      <c r="C213" s="5" t="str">
        <f>TEXT(B213,"mmm")</f>
        <v>May</v>
      </c>
      <c r="D213" s="2" t="s">
        <v>454</v>
      </c>
      <c r="E213" s="2" t="s">
        <v>14</v>
      </c>
      <c r="F213" s="2" t="str" cm="1">
        <f t="array" ref="F2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13" s="2" t="str" cm="1">
        <f t="array" ref="G2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13" s="2" t="s">
        <v>33</v>
      </c>
      <c r="I213" s="2" t="s">
        <v>16</v>
      </c>
      <c r="J213" s="2">
        <v>1</v>
      </c>
      <c r="K213" s="8">
        <v>899</v>
      </c>
      <c r="L213" s="3">
        <v>0.15</v>
      </c>
      <c r="M213" s="12">
        <f>K213*L213</f>
        <v>134.85</v>
      </c>
      <c r="N213" s="12">
        <f>K213*J213</f>
        <v>899</v>
      </c>
      <c r="O213" s="12">
        <f>N213-M213</f>
        <v>764.15</v>
      </c>
      <c r="P213" s="2" t="s">
        <v>17</v>
      </c>
      <c r="Q213" s="2" t="s">
        <v>72</v>
      </c>
      <c r="R213" s="2">
        <v>0</v>
      </c>
      <c r="S213" s="20">
        <f>Table1[[#This Row],[Net_revenue]]/Table1[[#This Row],[Gross_revenue]]*100%</f>
        <v>0.85</v>
      </c>
      <c r="T213" s="18">
        <f>COUNTIFS(Table1[Customer ID], "&gt;1", Table1[Customer ID], 1)</f>
        <v>0</v>
      </c>
    </row>
    <row r="214" spans="1:20" hidden="1" x14ac:dyDescent="0.3">
      <c r="A214" s="2" t="s">
        <v>455</v>
      </c>
      <c r="B214" s="5">
        <v>45682</v>
      </c>
      <c r="C214" s="5" t="str">
        <f>TEXT(B214,"mmm")</f>
        <v>Jan</v>
      </c>
      <c r="D214" s="2" t="s">
        <v>456</v>
      </c>
      <c r="E214" s="2" t="s">
        <v>27</v>
      </c>
      <c r="F214" s="2" t="str" cm="1">
        <f t="array" ref="F2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14" s="2" t="str" cm="1">
        <f t="array" ref="G2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14" s="2" t="s">
        <v>98</v>
      </c>
      <c r="I214" s="2" t="s">
        <v>37</v>
      </c>
      <c r="J214" s="2">
        <v>2</v>
      </c>
      <c r="K214" s="8">
        <v>299</v>
      </c>
      <c r="L214" s="3">
        <v>0.2</v>
      </c>
      <c r="M214" s="12">
        <f>K214*L214</f>
        <v>59.800000000000004</v>
      </c>
      <c r="N214" s="12">
        <f>K214*J214</f>
        <v>598</v>
      </c>
      <c r="O214" s="12">
        <f>N214-M214</f>
        <v>538.20000000000005</v>
      </c>
      <c r="P214" s="2" t="s">
        <v>45</v>
      </c>
      <c r="Q214" s="2" t="s">
        <v>18</v>
      </c>
      <c r="R214" s="2">
        <v>40</v>
      </c>
      <c r="S214" s="20">
        <f>Table1[[#This Row],[Net_revenue]]/Table1[[#This Row],[Gross_revenue]]*100%</f>
        <v>0.9</v>
      </c>
      <c r="T214" s="18">
        <f>COUNTIFS(Table1[Customer ID], "&gt;1", Table1[Customer ID], 1)</f>
        <v>0</v>
      </c>
    </row>
    <row r="215" spans="1:20" hidden="1" x14ac:dyDescent="0.3">
      <c r="A215" s="2" t="s">
        <v>457</v>
      </c>
      <c r="B215" s="5">
        <v>45903</v>
      </c>
      <c r="C215" s="5" t="str">
        <f>TEXT(B215,"mmm")</f>
        <v>Sep</v>
      </c>
      <c r="D215" s="2" t="s">
        <v>58</v>
      </c>
      <c r="E215" s="2" t="s">
        <v>21</v>
      </c>
      <c r="F215" s="2" t="str" cm="1">
        <f t="array" ref="F2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15" s="2" t="str" cm="1">
        <f t="array" ref="G2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15" s="2" t="s">
        <v>68</v>
      </c>
      <c r="I215" s="2" t="s">
        <v>16</v>
      </c>
      <c r="J215" s="2">
        <v>1</v>
      </c>
      <c r="K215" s="8">
        <v>599</v>
      </c>
      <c r="L215" s="3">
        <v>0.2</v>
      </c>
      <c r="M215" s="12">
        <f>K215*L215</f>
        <v>119.80000000000001</v>
      </c>
      <c r="N215" s="12">
        <f>K215*J215</f>
        <v>599</v>
      </c>
      <c r="O215" s="12">
        <f>N215-M215</f>
        <v>479.2</v>
      </c>
      <c r="P215" s="2" t="s">
        <v>45</v>
      </c>
      <c r="Q215" s="2" t="s">
        <v>18</v>
      </c>
      <c r="R215" s="2">
        <v>40</v>
      </c>
      <c r="S215" s="20">
        <f>Table1[[#This Row],[Net_revenue]]/Table1[[#This Row],[Gross_revenue]]*100%</f>
        <v>0.79999999999999993</v>
      </c>
      <c r="T215" s="18">
        <f>COUNTIFS(Table1[Customer ID], "&gt;1", Table1[Customer ID], 1)</f>
        <v>0</v>
      </c>
    </row>
    <row r="216" spans="1:20" hidden="1" x14ac:dyDescent="0.3">
      <c r="A216" s="2" t="s">
        <v>458</v>
      </c>
      <c r="B216" s="5">
        <v>46004</v>
      </c>
      <c r="C216" s="5" t="str">
        <f>TEXT(B216,"mmm")</f>
        <v>Dec</v>
      </c>
      <c r="D216" s="2" t="s">
        <v>459</v>
      </c>
      <c r="E216" s="2" t="s">
        <v>14</v>
      </c>
      <c r="F216" s="2" t="str" cm="1">
        <f t="array" ref="F2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16" s="2" t="str" cm="1">
        <f t="array" ref="G2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16" s="2" t="s">
        <v>44</v>
      </c>
      <c r="I216" s="2" t="s">
        <v>16</v>
      </c>
      <c r="J216" s="2">
        <v>3</v>
      </c>
      <c r="K216" s="8">
        <v>1599</v>
      </c>
      <c r="L216" s="3">
        <v>0.2</v>
      </c>
      <c r="M216" s="12">
        <f>K216*L216</f>
        <v>319.8</v>
      </c>
      <c r="N216" s="12">
        <f>K216*J216</f>
        <v>4797</v>
      </c>
      <c r="O216" s="12">
        <f>N216-M216</f>
        <v>4477.2</v>
      </c>
      <c r="P216" s="2" t="s">
        <v>24</v>
      </c>
      <c r="Q216" s="2" t="s">
        <v>18</v>
      </c>
      <c r="R216" s="2">
        <v>60</v>
      </c>
      <c r="S216" s="20">
        <f>Table1[[#This Row],[Net_revenue]]/Table1[[#This Row],[Gross_revenue]]*100%</f>
        <v>0.93333333333333335</v>
      </c>
      <c r="T216" s="18">
        <f>COUNTIFS(Table1[Customer ID], "&gt;1", Table1[Customer ID], 1)</f>
        <v>0</v>
      </c>
    </row>
    <row r="217" spans="1:20" hidden="1" x14ac:dyDescent="0.3">
      <c r="A217" s="2" t="s">
        <v>460</v>
      </c>
      <c r="B217" s="5">
        <v>46022</v>
      </c>
      <c r="C217" s="5" t="str">
        <f>TEXT(B217,"mmm")</f>
        <v>Dec</v>
      </c>
      <c r="D217" s="2" t="s">
        <v>461</v>
      </c>
      <c r="E217" s="2" t="s">
        <v>56</v>
      </c>
      <c r="F217" s="2" t="str" cm="1">
        <f t="array" ref="F2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17" s="2" t="str" cm="1">
        <f t="array" ref="G2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17" s="2" t="s">
        <v>28</v>
      </c>
      <c r="I217" s="2" t="s">
        <v>29</v>
      </c>
      <c r="J217" s="2">
        <v>2</v>
      </c>
      <c r="K217" s="8">
        <v>2799</v>
      </c>
      <c r="L217" s="3">
        <v>0</v>
      </c>
      <c r="M217" s="12">
        <f>K217*L217</f>
        <v>0</v>
      </c>
      <c r="N217" s="12">
        <f>K217*J217</f>
        <v>5598</v>
      </c>
      <c r="O217" s="12">
        <f>N217-M217</f>
        <v>5598</v>
      </c>
      <c r="P217" s="2" t="s">
        <v>24</v>
      </c>
      <c r="Q217" s="2" t="s">
        <v>18</v>
      </c>
      <c r="R217" s="2">
        <v>40</v>
      </c>
      <c r="S217" s="20">
        <f>Table1[[#This Row],[Net_revenue]]/Table1[[#This Row],[Gross_revenue]]*100%</f>
        <v>1</v>
      </c>
      <c r="T217" s="18">
        <f>COUNTIFS(Table1[Customer ID], "&gt;1", Table1[Customer ID], 1)</f>
        <v>0</v>
      </c>
    </row>
    <row r="218" spans="1:20" hidden="1" x14ac:dyDescent="0.3">
      <c r="A218" s="2" t="s">
        <v>462</v>
      </c>
      <c r="B218" s="5">
        <v>45935</v>
      </c>
      <c r="C218" s="5" t="str">
        <f>TEXT(B218,"mmm")</f>
        <v>Oct</v>
      </c>
      <c r="D218" s="2" t="s">
        <v>463</v>
      </c>
      <c r="E218" s="2" t="s">
        <v>75</v>
      </c>
      <c r="F218" s="2" t="str" cm="1">
        <f t="array" ref="F2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218" s="2" t="str" cm="1">
        <f t="array" ref="G2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18" s="2" t="s">
        <v>22</v>
      </c>
      <c r="I218" s="2" t="s">
        <v>23</v>
      </c>
      <c r="J218" s="2">
        <v>1</v>
      </c>
      <c r="K218" s="8">
        <v>3999</v>
      </c>
      <c r="L218" s="3">
        <v>0.1</v>
      </c>
      <c r="M218" s="12">
        <f>K218*L218</f>
        <v>399.90000000000003</v>
      </c>
      <c r="N218" s="12">
        <f>K218*J218</f>
        <v>3999</v>
      </c>
      <c r="O218" s="12">
        <f>N218-M218</f>
        <v>3599.1</v>
      </c>
      <c r="P218" s="2" t="s">
        <v>45</v>
      </c>
      <c r="Q218" s="2" t="s">
        <v>50</v>
      </c>
      <c r="R218" s="2">
        <v>80</v>
      </c>
      <c r="S218" s="20">
        <f>Table1[[#This Row],[Net_revenue]]/Table1[[#This Row],[Gross_revenue]]*100%</f>
        <v>0.9</v>
      </c>
      <c r="T218" s="18">
        <f>COUNTIFS(Table1[Customer ID], "&gt;1", Table1[Customer ID], 1)</f>
        <v>0</v>
      </c>
    </row>
    <row r="219" spans="1:20" hidden="1" x14ac:dyDescent="0.3">
      <c r="A219" s="2" t="s">
        <v>464</v>
      </c>
      <c r="B219" s="5">
        <v>45919</v>
      </c>
      <c r="C219" s="5" t="str">
        <f>TEXT(B219,"mmm")</f>
        <v>Sep</v>
      </c>
      <c r="D219" s="2" t="s">
        <v>465</v>
      </c>
      <c r="E219" s="2" t="s">
        <v>14</v>
      </c>
      <c r="F219" s="2" t="str" cm="1">
        <f t="array" ref="F2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19" s="2" t="str" cm="1">
        <f t="array" ref="G2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19" s="2" t="s">
        <v>44</v>
      </c>
      <c r="I219" s="2" t="s">
        <v>16</v>
      </c>
      <c r="J219" s="2">
        <v>1</v>
      </c>
      <c r="K219" s="8">
        <v>1599</v>
      </c>
      <c r="L219" s="3">
        <v>0.25</v>
      </c>
      <c r="M219" s="12">
        <f>K219*L219</f>
        <v>399.75</v>
      </c>
      <c r="N219" s="12">
        <f>K219*J219</f>
        <v>1599</v>
      </c>
      <c r="O219" s="12">
        <f>N219-M219</f>
        <v>1199.25</v>
      </c>
      <c r="P219" s="2" t="s">
        <v>45</v>
      </c>
      <c r="Q219" s="2" t="s">
        <v>18</v>
      </c>
      <c r="R219" s="2">
        <v>0</v>
      </c>
      <c r="S219" s="20">
        <f>Table1[[#This Row],[Net_revenue]]/Table1[[#This Row],[Gross_revenue]]*100%</f>
        <v>0.75</v>
      </c>
      <c r="T219" s="18">
        <f>COUNTIFS(Table1[Customer ID], "&gt;1", Table1[Customer ID], 1)</f>
        <v>0</v>
      </c>
    </row>
    <row r="220" spans="1:20" hidden="1" x14ac:dyDescent="0.3">
      <c r="A220" s="2" t="s">
        <v>466</v>
      </c>
      <c r="B220" s="5">
        <v>45976</v>
      </c>
      <c r="C220" s="5" t="str">
        <f>TEXT(B220,"mmm")</f>
        <v>Nov</v>
      </c>
      <c r="D220" s="2" t="s">
        <v>467</v>
      </c>
      <c r="E220" s="2" t="s">
        <v>120</v>
      </c>
      <c r="F220" s="2" t="str" cm="1">
        <f t="array" ref="F2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20" s="2" t="str" cm="1">
        <f t="array" ref="G2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20" s="2" t="s">
        <v>63</v>
      </c>
      <c r="I220" s="2" t="s">
        <v>23</v>
      </c>
      <c r="J220" s="2">
        <v>1</v>
      </c>
      <c r="K220" s="8">
        <v>2499</v>
      </c>
      <c r="L220" s="3">
        <v>0.25</v>
      </c>
      <c r="M220" s="12">
        <f>K220*L220</f>
        <v>624.75</v>
      </c>
      <c r="N220" s="12">
        <f>K220*J220</f>
        <v>2499</v>
      </c>
      <c r="O220" s="12">
        <f>N220-M220</f>
        <v>1874.25</v>
      </c>
      <c r="P220" s="2" t="s">
        <v>45</v>
      </c>
      <c r="Q220" s="2" t="s">
        <v>18</v>
      </c>
      <c r="R220" s="2">
        <v>0</v>
      </c>
      <c r="S220" s="20">
        <f>Table1[[#This Row],[Net_revenue]]/Table1[[#This Row],[Gross_revenue]]*100%</f>
        <v>0.75</v>
      </c>
      <c r="T220" s="18">
        <f>COUNTIFS(Table1[Customer ID], "&gt;1", Table1[Customer ID], 1)</f>
        <v>0</v>
      </c>
    </row>
    <row r="221" spans="1:20" hidden="1" x14ac:dyDescent="0.3">
      <c r="A221" s="2" t="s">
        <v>468</v>
      </c>
      <c r="B221" s="5">
        <v>45980</v>
      </c>
      <c r="C221" s="5" t="str">
        <f>TEXT(B221,"mmm")</f>
        <v>Nov</v>
      </c>
      <c r="D221" s="2" t="s">
        <v>469</v>
      </c>
      <c r="E221" s="2" t="s">
        <v>48</v>
      </c>
      <c r="F221" s="2" t="str" cm="1">
        <f t="array" ref="F2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21" s="2" t="str" cm="1">
        <f t="array" ref="G2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21" s="2" t="s">
        <v>217</v>
      </c>
      <c r="I221" s="2" t="s">
        <v>29</v>
      </c>
      <c r="J221" s="2">
        <v>1</v>
      </c>
      <c r="K221" s="8">
        <v>3299</v>
      </c>
      <c r="L221" s="3">
        <v>0</v>
      </c>
      <c r="M221" s="12">
        <f>K221*L221</f>
        <v>0</v>
      </c>
      <c r="N221" s="12">
        <f>K221*J221</f>
        <v>3299</v>
      </c>
      <c r="O221" s="12">
        <f>N221-M221</f>
        <v>3299</v>
      </c>
      <c r="P221" s="2" t="s">
        <v>30</v>
      </c>
      <c r="Q221" s="2" t="s">
        <v>72</v>
      </c>
      <c r="R221" s="2">
        <v>80</v>
      </c>
      <c r="S221" s="20">
        <f>Table1[[#This Row],[Net_revenue]]/Table1[[#This Row],[Gross_revenue]]*100%</f>
        <v>1</v>
      </c>
      <c r="T221" s="18">
        <f>COUNTIFS(Table1[Customer ID], "&gt;1", Table1[Customer ID], 1)</f>
        <v>0</v>
      </c>
    </row>
    <row r="222" spans="1:20" hidden="1" x14ac:dyDescent="0.3">
      <c r="A222" s="2" t="s">
        <v>470</v>
      </c>
      <c r="B222" s="5">
        <v>45978</v>
      </c>
      <c r="C222" s="5" t="str">
        <f>TEXT(B222,"mmm")</f>
        <v>Nov</v>
      </c>
      <c r="D222" s="2" t="s">
        <v>471</v>
      </c>
      <c r="E222" s="2" t="s">
        <v>120</v>
      </c>
      <c r="F222" s="2" t="str" cm="1">
        <f t="array" ref="F2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22" s="2" t="str" cm="1">
        <f t="array" ref="G2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22" s="2" t="s">
        <v>188</v>
      </c>
      <c r="I222" s="2" t="s">
        <v>95</v>
      </c>
      <c r="J222" s="2">
        <v>1</v>
      </c>
      <c r="K222" s="8">
        <v>699</v>
      </c>
      <c r="L222" s="3">
        <v>0.25</v>
      </c>
      <c r="M222" s="12">
        <f>K222*L222</f>
        <v>174.75</v>
      </c>
      <c r="N222" s="12">
        <f>K222*J222</f>
        <v>699</v>
      </c>
      <c r="O222" s="12">
        <f>N222-M222</f>
        <v>524.25</v>
      </c>
      <c r="P222" s="2" t="s">
        <v>45</v>
      </c>
      <c r="Q222" s="2" t="s">
        <v>18</v>
      </c>
      <c r="R222" s="2">
        <v>60</v>
      </c>
      <c r="S222" s="20">
        <f>Table1[[#This Row],[Net_revenue]]/Table1[[#This Row],[Gross_revenue]]*100%</f>
        <v>0.75</v>
      </c>
      <c r="T222" s="18">
        <f>COUNTIFS(Table1[Customer ID], "&gt;1", Table1[Customer ID], 1)</f>
        <v>0</v>
      </c>
    </row>
    <row r="223" spans="1:20" hidden="1" x14ac:dyDescent="0.3">
      <c r="A223" s="2" t="s">
        <v>472</v>
      </c>
      <c r="B223" s="5">
        <v>45675</v>
      </c>
      <c r="C223" s="5" t="str">
        <f>TEXT(B223,"mmm")</f>
        <v>Jan</v>
      </c>
      <c r="D223" s="2" t="s">
        <v>473</v>
      </c>
      <c r="E223" s="2" t="s">
        <v>48</v>
      </c>
      <c r="F223" s="2" t="str" cm="1">
        <f t="array" ref="F2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23" s="2" t="str" cm="1">
        <f t="array" ref="G2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23" s="2" t="s">
        <v>33</v>
      </c>
      <c r="I223" s="2" t="s">
        <v>16</v>
      </c>
      <c r="J223" s="2">
        <v>2</v>
      </c>
      <c r="K223" s="8">
        <v>899</v>
      </c>
      <c r="L223" s="3">
        <v>0.15</v>
      </c>
      <c r="M223" s="12">
        <f>K223*L223</f>
        <v>134.85</v>
      </c>
      <c r="N223" s="12">
        <f>K223*J223</f>
        <v>1798</v>
      </c>
      <c r="O223" s="12">
        <f>N223-M223</f>
        <v>1663.15</v>
      </c>
      <c r="P223" s="2" t="s">
        <v>45</v>
      </c>
      <c r="Q223" s="2" t="s">
        <v>18</v>
      </c>
      <c r="R223" s="2">
        <v>60</v>
      </c>
      <c r="S223" s="20">
        <f>Table1[[#This Row],[Net_revenue]]/Table1[[#This Row],[Gross_revenue]]*100%</f>
        <v>0.92500000000000004</v>
      </c>
      <c r="T223" s="18">
        <f>COUNTIFS(Table1[Customer ID], "&gt;1", Table1[Customer ID], 1)</f>
        <v>0</v>
      </c>
    </row>
    <row r="224" spans="1:20" hidden="1" x14ac:dyDescent="0.3">
      <c r="A224" s="2" t="s">
        <v>474</v>
      </c>
      <c r="B224" s="5">
        <v>45784</v>
      </c>
      <c r="C224" s="5" t="str">
        <f>TEXT(B224,"mmm")</f>
        <v>May</v>
      </c>
      <c r="D224" s="2" t="s">
        <v>475</v>
      </c>
      <c r="E224" s="2" t="s">
        <v>120</v>
      </c>
      <c r="F224" s="2" t="str" cm="1">
        <f t="array" ref="F2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24" s="2" t="str" cm="1">
        <f t="array" ref="G2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24" s="2" t="s">
        <v>188</v>
      </c>
      <c r="I224" s="2" t="s">
        <v>95</v>
      </c>
      <c r="J224" s="2">
        <v>1</v>
      </c>
      <c r="K224" s="8">
        <v>699</v>
      </c>
      <c r="L224" s="3">
        <v>0.05</v>
      </c>
      <c r="M224" s="12">
        <f>K224*L224</f>
        <v>34.950000000000003</v>
      </c>
      <c r="N224" s="12">
        <f>K224*J224</f>
        <v>699</v>
      </c>
      <c r="O224" s="12">
        <f>N224-M224</f>
        <v>664.05</v>
      </c>
      <c r="P224" s="2" t="s">
        <v>45</v>
      </c>
      <c r="Q224" s="2" t="s">
        <v>18</v>
      </c>
      <c r="R224" s="2">
        <v>40</v>
      </c>
      <c r="S224" s="20">
        <f>Table1[[#This Row],[Net_revenue]]/Table1[[#This Row],[Gross_revenue]]*100%</f>
        <v>0.95</v>
      </c>
      <c r="T224" s="18">
        <f>COUNTIFS(Table1[Customer ID], "&gt;1", Table1[Customer ID], 1)</f>
        <v>0</v>
      </c>
    </row>
    <row r="225" spans="1:20" hidden="1" x14ac:dyDescent="0.3">
      <c r="A225" s="2" t="s">
        <v>476</v>
      </c>
      <c r="B225" s="5">
        <v>45744</v>
      </c>
      <c r="C225" s="5" t="str">
        <f>TEXT(B225,"mmm")</f>
        <v>Mar</v>
      </c>
      <c r="D225" s="2" t="s">
        <v>477</v>
      </c>
      <c r="E225" s="2" t="s">
        <v>27</v>
      </c>
      <c r="F225" s="2" t="str" cm="1">
        <f t="array" ref="F2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25" s="2" t="str" cm="1">
        <f t="array" ref="G2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25" s="2" t="s">
        <v>28</v>
      </c>
      <c r="I225" s="2" t="s">
        <v>29</v>
      </c>
      <c r="J225" s="2">
        <v>2</v>
      </c>
      <c r="K225" s="8">
        <v>2799</v>
      </c>
      <c r="L225" s="3">
        <v>0.15</v>
      </c>
      <c r="M225" s="12">
        <f>K225*L225</f>
        <v>419.84999999999997</v>
      </c>
      <c r="N225" s="12">
        <f>K225*J225</f>
        <v>5598</v>
      </c>
      <c r="O225" s="12">
        <f>N225-M225</f>
        <v>5178.1499999999996</v>
      </c>
      <c r="P225" s="2" t="s">
        <v>30</v>
      </c>
      <c r="Q225" s="2" t="s">
        <v>18</v>
      </c>
      <c r="R225" s="2">
        <v>60</v>
      </c>
      <c r="S225" s="20">
        <f>Table1[[#This Row],[Net_revenue]]/Table1[[#This Row],[Gross_revenue]]*100%</f>
        <v>0.92499999999999993</v>
      </c>
      <c r="T225" s="18">
        <f>COUNTIFS(Table1[Customer ID], "&gt;1", Table1[Customer ID], 1)</f>
        <v>0</v>
      </c>
    </row>
    <row r="226" spans="1:20" hidden="1" x14ac:dyDescent="0.3">
      <c r="A226" s="2" t="s">
        <v>478</v>
      </c>
      <c r="B226" s="5">
        <v>45668</v>
      </c>
      <c r="C226" s="5" t="str">
        <f>TEXT(B226,"mmm")</f>
        <v>Jan</v>
      </c>
      <c r="D226" s="2" t="s">
        <v>479</v>
      </c>
      <c r="E226" s="2" t="s">
        <v>40</v>
      </c>
      <c r="F226" s="2" t="str" cm="1">
        <f t="array" ref="F2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26" s="2" t="str" cm="1">
        <f t="array" ref="G2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26" s="2" t="s">
        <v>22</v>
      </c>
      <c r="I226" s="2" t="s">
        <v>23</v>
      </c>
      <c r="J226" s="2">
        <v>1</v>
      </c>
      <c r="K226" s="8">
        <v>3999</v>
      </c>
      <c r="L226" s="3">
        <v>0.05</v>
      </c>
      <c r="M226" s="12">
        <f>K226*L226</f>
        <v>199.95000000000002</v>
      </c>
      <c r="N226" s="12">
        <f>K226*J226</f>
        <v>3999</v>
      </c>
      <c r="O226" s="12">
        <f>N226-M226</f>
        <v>3799.05</v>
      </c>
      <c r="P226" s="2" t="s">
        <v>17</v>
      </c>
      <c r="Q226" s="2" t="s">
        <v>18</v>
      </c>
      <c r="R226" s="2">
        <v>60</v>
      </c>
      <c r="S226" s="20">
        <f>Table1[[#This Row],[Net_revenue]]/Table1[[#This Row],[Gross_revenue]]*100%</f>
        <v>0.95000000000000007</v>
      </c>
      <c r="T226" s="18">
        <f>COUNTIFS(Table1[Customer ID], "&gt;1", Table1[Customer ID], 1)</f>
        <v>0</v>
      </c>
    </row>
    <row r="227" spans="1:20" hidden="1" x14ac:dyDescent="0.3">
      <c r="A227" s="2" t="s">
        <v>480</v>
      </c>
      <c r="B227" s="5">
        <v>45672</v>
      </c>
      <c r="C227" s="5" t="str">
        <f>TEXT(B227,"mmm")</f>
        <v>Jan</v>
      </c>
      <c r="D227" s="2" t="s">
        <v>481</v>
      </c>
      <c r="E227" s="2" t="s">
        <v>195</v>
      </c>
      <c r="F227" s="2" t="str" cm="1">
        <f t="array" ref="F2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227" s="2" t="str" cm="1">
        <f t="array" ref="G2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27" s="2" t="s">
        <v>41</v>
      </c>
      <c r="I227" s="2" t="s">
        <v>16</v>
      </c>
      <c r="J227" s="2">
        <v>2</v>
      </c>
      <c r="K227" s="8">
        <v>2299</v>
      </c>
      <c r="L227" s="3">
        <v>0.1</v>
      </c>
      <c r="M227" s="12">
        <f>K227*L227</f>
        <v>229.9</v>
      </c>
      <c r="N227" s="12">
        <f>K227*J227</f>
        <v>4598</v>
      </c>
      <c r="O227" s="12">
        <f>N227-M227</f>
        <v>4368.1000000000004</v>
      </c>
      <c r="P227" s="2" t="s">
        <v>45</v>
      </c>
      <c r="Q227" s="2" t="s">
        <v>18</v>
      </c>
      <c r="R227" s="2">
        <v>40</v>
      </c>
      <c r="S227" s="20">
        <f>Table1[[#This Row],[Net_revenue]]/Table1[[#This Row],[Gross_revenue]]*100%</f>
        <v>0.95000000000000007</v>
      </c>
      <c r="T227" s="18">
        <f>COUNTIFS(Table1[Customer ID], "&gt;1", Table1[Customer ID], 1)</f>
        <v>0</v>
      </c>
    </row>
    <row r="228" spans="1:20" hidden="1" x14ac:dyDescent="0.3">
      <c r="A228" s="2" t="s">
        <v>482</v>
      </c>
      <c r="B228" s="5">
        <v>45741</v>
      </c>
      <c r="C228" s="5" t="str">
        <f>TEXT(B228,"mmm")</f>
        <v>Mar</v>
      </c>
      <c r="D228" s="2" t="s">
        <v>483</v>
      </c>
      <c r="E228" s="2" t="s">
        <v>27</v>
      </c>
      <c r="F228" s="2" t="str" cm="1">
        <f t="array" ref="F2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28" s="2" t="str" cm="1">
        <f t="array" ref="G2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28" s="2" t="s">
        <v>28</v>
      </c>
      <c r="I228" s="2" t="s">
        <v>29</v>
      </c>
      <c r="J228" s="2">
        <v>1</v>
      </c>
      <c r="K228" s="8">
        <v>2799</v>
      </c>
      <c r="L228" s="3">
        <v>0.1</v>
      </c>
      <c r="M228" s="12">
        <f>K228*L228</f>
        <v>279.90000000000003</v>
      </c>
      <c r="N228" s="12">
        <f>K228*J228</f>
        <v>2799</v>
      </c>
      <c r="O228" s="12">
        <f>N228-M228</f>
        <v>2519.1</v>
      </c>
      <c r="P228" s="2" t="s">
        <v>17</v>
      </c>
      <c r="Q228" s="2" t="s">
        <v>18</v>
      </c>
      <c r="R228" s="2">
        <v>80</v>
      </c>
      <c r="S228" s="20">
        <f>Table1[[#This Row],[Net_revenue]]/Table1[[#This Row],[Gross_revenue]]*100%</f>
        <v>0.9</v>
      </c>
      <c r="T228" s="18">
        <f>COUNTIFS(Table1[Customer ID], "&gt;1", Table1[Customer ID], 1)</f>
        <v>0</v>
      </c>
    </row>
    <row r="229" spans="1:20" hidden="1" x14ac:dyDescent="0.3">
      <c r="A229" s="2" t="s">
        <v>484</v>
      </c>
      <c r="B229" s="5">
        <v>45834</v>
      </c>
      <c r="C229" s="5" t="str">
        <f>TEXT(B229,"mmm")</f>
        <v>Jun</v>
      </c>
      <c r="D229" s="2" t="s">
        <v>371</v>
      </c>
      <c r="E229" s="2" t="s">
        <v>120</v>
      </c>
      <c r="F229" s="2" t="str" cm="1">
        <f t="array" ref="F2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29" s="2" t="str" cm="1">
        <f t="array" ref="G2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29" s="2" t="s">
        <v>41</v>
      </c>
      <c r="I229" s="2" t="s">
        <v>16</v>
      </c>
      <c r="J229" s="2">
        <v>4</v>
      </c>
      <c r="K229" s="8">
        <v>2299</v>
      </c>
      <c r="L229" s="3">
        <v>0.1</v>
      </c>
      <c r="M229" s="12">
        <f>K229*L229</f>
        <v>229.9</v>
      </c>
      <c r="N229" s="12">
        <f>K229*J229</f>
        <v>9196</v>
      </c>
      <c r="O229" s="12">
        <f>N229-M229</f>
        <v>8966.1</v>
      </c>
      <c r="P229" s="2" t="s">
        <v>30</v>
      </c>
      <c r="Q229" s="2" t="s">
        <v>18</v>
      </c>
      <c r="R229" s="2">
        <v>0</v>
      </c>
      <c r="S229" s="20">
        <f>Table1[[#This Row],[Net_revenue]]/Table1[[#This Row],[Gross_revenue]]*100%</f>
        <v>0.97500000000000009</v>
      </c>
      <c r="T229" s="18">
        <f>COUNTIFS(Table1[Customer ID], "&gt;1", Table1[Customer ID], 1)</f>
        <v>0</v>
      </c>
    </row>
    <row r="230" spans="1:20" hidden="1" x14ac:dyDescent="0.3">
      <c r="A230" s="2" t="s">
        <v>485</v>
      </c>
      <c r="B230" s="5">
        <v>45952</v>
      </c>
      <c r="C230" s="5" t="str">
        <f>TEXT(B230,"mmm")</f>
        <v>Oct</v>
      </c>
      <c r="D230" s="2" t="s">
        <v>371</v>
      </c>
      <c r="E230" s="2" t="s">
        <v>53</v>
      </c>
      <c r="F230" s="2" t="str" cm="1">
        <f t="array" ref="F2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30" s="2" t="str" cm="1">
        <f t="array" ref="G2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30" s="2" t="s">
        <v>36</v>
      </c>
      <c r="I230" s="2" t="s">
        <v>37</v>
      </c>
      <c r="J230" s="2">
        <v>1</v>
      </c>
      <c r="K230" s="8">
        <v>349</v>
      </c>
      <c r="L230" s="3">
        <v>0</v>
      </c>
      <c r="M230" s="12">
        <f>K230*L230</f>
        <v>0</v>
      </c>
      <c r="N230" s="12">
        <f>K230*J230</f>
        <v>349</v>
      </c>
      <c r="O230" s="12">
        <f>N230-M230</f>
        <v>349</v>
      </c>
      <c r="P230" s="2" t="s">
        <v>45</v>
      </c>
      <c r="Q230" s="2" t="s">
        <v>50</v>
      </c>
      <c r="R230" s="2">
        <v>60</v>
      </c>
      <c r="S230" s="20">
        <f>Table1[[#This Row],[Net_revenue]]/Table1[[#This Row],[Gross_revenue]]*100%</f>
        <v>1</v>
      </c>
      <c r="T230" s="18">
        <f>COUNTIFS(Table1[Customer ID], "&gt;1", Table1[Customer ID], 1)</f>
        <v>0</v>
      </c>
    </row>
    <row r="231" spans="1:20" hidden="1" x14ac:dyDescent="0.3">
      <c r="A231" s="2" t="s">
        <v>486</v>
      </c>
      <c r="B231" s="5">
        <v>45689</v>
      </c>
      <c r="C231" s="5" t="str">
        <f>TEXT(B231,"mmm")</f>
        <v>Feb</v>
      </c>
      <c r="D231" s="2" t="s">
        <v>487</v>
      </c>
      <c r="E231" s="2" t="s">
        <v>53</v>
      </c>
      <c r="F231" s="2" t="str" cm="1">
        <f t="array" ref="F2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31" s="2" t="str" cm="1">
        <f t="array" ref="G2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31" s="2" t="s">
        <v>63</v>
      </c>
      <c r="I231" s="2" t="s">
        <v>23</v>
      </c>
      <c r="J231" s="2">
        <v>1</v>
      </c>
      <c r="K231" s="8">
        <v>2499</v>
      </c>
      <c r="L231" s="3">
        <v>0</v>
      </c>
      <c r="M231" s="12">
        <f>K231*L231</f>
        <v>0</v>
      </c>
      <c r="N231" s="12">
        <f>K231*J231</f>
        <v>2499</v>
      </c>
      <c r="O231" s="12">
        <f>N231-M231</f>
        <v>2499</v>
      </c>
      <c r="P231" s="2" t="s">
        <v>17</v>
      </c>
      <c r="Q231" s="2" t="s">
        <v>18</v>
      </c>
      <c r="R231" s="2">
        <v>0</v>
      </c>
      <c r="S231" s="20">
        <f>Table1[[#This Row],[Net_revenue]]/Table1[[#This Row],[Gross_revenue]]*100%</f>
        <v>1</v>
      </c>
      <c r="T231" s="18">
        <f>COUNTIFS(Table1[Customer ID], "&gt;1", Table1[Customer ID], 1)</f>
        <v>0</v>
      </c>
    </row>
    <row r="232" spans="1:20" hidden="1" x14ac:dyDescent="0.3">
      <c r="A232" s="2" t="s">
        <v>488</v>
      </c>
      <c r="B232" s="5">
        <v>45702</v>
      </c>
      <c r="C232" s="5" t="str">
        <f>TEXT(B232,"mmm")</f>
        <v>Feb</v>
      </c>
      <c r="D232" s="2" t="s">
        <v>489</v>
      </c>
      <c r="E232" s="2" t="s">
        <v>48</v>
      </c>
      <c r="F232" s="2" t="str" cm="1">
        <f t="array" ref="F2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32" s="2" t="str" cm="1">
        <f t="array" ref="G2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32" s="2" t="s">
        <v>33</v>
      </c>
      <c r="I232" s="2" t="s">
        <v>16</v>
      </c>
      <c r="J232" s="2">
        <v>2</v>
      </c>
      <c r="K232" s="8">
        <v>899</v>
      </c>
      <c r="L232" s="3">
        <v>0.15</v>
      </c>
      <c r="M232" s="12">
        <f>K232*L232</f>
        <v>134.85</v>
      </c>
      <c r="N232" s="12">
        <f>K232*J232</f>
        <v>1798</v>
      </c>
      <c r="O232" s="12">
        <f>N232-M232</f>
        <v>1663.15</v>
      </c>
      <c r="P232" s="2" t="s">
        <v>17</v>
      </c>
      <c r="Q232" s="2" t="s">
        <v>18</v>
      </c>
      <c r="R232" s="2">
        <v>0</v>
      </c>
      <c r="S232" s="20">
        <f>Table1[[#This Row],[Net_revenue]]/Table1[[#This Row],[Gross_revenue]]*100%</f>
        <v>0.92500000000000004</v>
      </c>
      <c r="T232" s="18">
        <f>COUNTIFS(Table1[Customer ID], "&gt;1", Table1[Customer ID], 1)</f>
        <v>0</v>
      </c>
    </row>
    <row r="233" spans="1:20" hidden="1" x14ac:dyDescent="0.3">
      <c r="A233" s="2" t="s">
        <v>490</v>
      </c>
      <c r="B233" s="5">
        <v>45943</v>
      </c>
      <c r="C233" s="5" t="str">
        <f>TEXT(B233,"mmm")</f>
        <v>Oct</v>
      </c>
      <c r="D233" s="2" t="s">
        <v>119</v>
      </c>
      <c r="E233" s="2" t="s">
        <v>40</v>
      </c>
      <c r="F233" s="2" t="str" cm="1">
        <f t="array" ref="F2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33" s="2" t="str" cm="1">
        <f t="array" ref="G2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33" s="2" t="s">
        <v>71</v>
      </c>
      <c r="I233" s="2" t="s">
        <v>29</v>
      </c>
      <c r="J233" s="2">
        <v>1</v>
      </c>
      <c r="K233" s="8">
        <v>5499</v>
      </c>
      <c r="L233" s="3">
        <v>0</v>
      </c>
      <c r="M233" s="12">
        <f>K233*L233</f>
        <v>0</v>
      </c>
      <c r="N233" s="12">
        <f>K233*J233</f>
        <v>5499</v>
      </c>
      <c r="O233" s="12">
        <f>N233-M233</f>
        <v>5499</v>
      </c>
      <c r="P233" s="2" t="s">
        <v>45</v>
      </c>
      <c r="Q233" s="2" t="s">
        <v>18</v>
      </c>
      <c r="R233" s="2">
        <v>40</v>
      </c>
      <c r="S233" s="20">
        <f>Table1[[#This Row],[Net_revenue]]/Table1[[#This Row],[Gross_revenue]]*100%</f>
        <v>1</v>
      </c>
      <c r="T233" s="18">
        <f>COUNTIFS(Table1[Customer ID], "&gt;1", Table1[Customer ID], 1)</f>
        <v>0</v>
      </c>
    </row>
    <row r="234" spans="1:20" hidden="1" x14ac:dyDescent="0.3">
      <c r="A234" s="2" t="s">
        <v>491</v>
      </c>
      <c r="B234" s="5">
        <v>45876</v>
      </c>
      <c r="C234" s="5" t="str">
        <f>TEXT(B234,"mmm")</f>
        <v>Aug</v>
      </c>
      <c r="D234" s="2" t="s">
        <v>492</v>
      </c>
      <c r="E234" s="2" t="s">
        <v>27</v>
      </c>
      <c r="F234" s="2" t="str" cm="1">
        <f t="array" ref="F2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34" s="2" t="str" cm="1">
        <f t="array" ref="G2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34" s="2" t="s">
        <v>36</v>
      </c>
      <c r="I234" s="2" t="s">
        <v>37</v>
      </c>
      <c r="J234" s="2">
        <v>2</v>
      </c>
      <c r="K234" s="8">
        <v>349</v>
      </c>
      <c r="L234" s="3">
        <v>0</v>
      </c>
      <c r="M234" s="12">
        <f>K234*L234</f>
        <v>0</v>
      </c>
      <c r="N234" s="12">
        <f>K234*J234</f>
        <v>698</v>
      </c>
      <c r="O234" s="12">
        <f>N234-M234</f>
        <v>698</v>
      </c>
      <c r="P234" s="2" t="s">
        <v>17</v>
      </c>
      <c r="Q234" s="2" t="s">
        <v>18</v>
      </c>
      <c r="R234" s="2">
        <v>40</v>
      </c>
      <c r="S234" s="20">
        <f>Table1[[#This Row],[Net_revenue]]/Table1[[#This Row],[Gross_revenue]]*100%</f>
        <v>1</v>
      </c>
      <c r="T234" s="18">
        <f>COUNTIFS(Table1[Customer ID], "&gt;1", Table1[Customer ID], 1)</f>
        <v>0</v>
      </c>
    </row>
    <row r="235" spans="1:20" hidden="1" x14ac:dyDescent="0.3">
      <c r="A235" s="2" t="s">
        <v>493</v>
      </c>
      <c r="B235" s="5">
        <v>45738</v>
      </c>
      <c r="C235" s="5" t="str">
        <f>TEXT(B235,"mmm")</f>
        <v>Mar</v>
      </c>
      <c r="D235" s="2" t="s">
        <v>494</v>
      </c>
      <c r="E235" s="2" t="s">
        <v>75</v>
      </c>
      <c r="F235" s="2" t="str" cm="1">
        <f t="array" ref="F2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235" s="2" t="str" cm="1">
        <f t="array" ref="G2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35" s="2" t="s">
        <v>65</v>
      </c>
      <c r="I235" s="2" t="s">
        <v>23</v>
      </c>
      <c r="J235" s="2">
        <v>1</v>
      </c>
      <c r="K235" s="8">
        <v>1899</v>
      </c>
      <c r="L235" s="3">
        <v>0</v>
      </c>
      <c r="M235" s="12">
        <f>K235*L235</f>
        <v>0</v>
      </c>
      <c r="N235" s="12">
        <f>K235*J235</f>
        <v>1899</v>
      </c>
      <c r="O235" s="12">
        <f>N235-M235</f>
        <v>1899</v>
      </c>
      <c r="P235" s="2" t="s">
        <v>45</v>
      </c>
      <c r="Q235" s="2" t="s">
        <v>18</v>
      </c>
      <c r="R235" s="2">
        <v>0</v>
      </c>
      <c r="S235" s="20">
        <f>Table1[[#This Row],[Net_revenue]]/Table1[[#This Row],[Gross_revenue]]*100%</f>
        <v>1</v>
      </c>
      <c r="T235" s="18">
        <f>COUNTIFS(Table1[Customer ID], "&gt;1", Table1[Customer ID], 1)</f>
        <v>0</v>
      </c>
    </row>
    <row r="236" spans="1:20" hidden="1" x14ac:dyDescent="0.3">
      <c r="A236" s="2" t="s">
        <v>495</v>
      </c>
      <c r="B236" s="5">
        <v>46010</v>
      </c>
      <c r="C236" s="5" t="str">
        <f>TEXT(B236,"mmm")</f>
        <v>Dec</v>
      </c>
      <c r="D236" s="2" t="s">
        <v>496</v>
      </c>
      <c r="E236" s="2" t="s">
        <v>53</v>
      </c>
      <c r="F236" s="2" t="str" cm="1">
        <f t="array" ref="F2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36" s="2" t="str" cm="1">
        <f t="array" ref="G2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36" s="2" t="s">
        <v>63</v>
      </c>
      <c r="I236" s="2" t="s">
        <v>23</v>
      </c>
      <c r="J236" s="2">
        <v>1</v>
      </c>
      <c r="K236" s="8">
        <v>2499</v>
      </c>
      <c r="L236" s="3">
        <v>0</v>
      </c>
      <c r="M236" s="12">
        <f>K236*L236</f>
        <v>0</v>
      </c>
      <c r="N236" s="12">
        <f>K236*J236</f>
        <v>2499</v>
      </c>
      <c r="O236" s="12">
        <f>N236-M236</f>
        <v>2499</v>
      </c>
      <c r="P236" s="2" t="s">
        <v>30</v>
      </c>
      <c r="Q236" s="2" t="s">
        <v>50</v>
      </c>
      <c r="R236" s="2">
        <v>80</v>
      </c>
      <c r="S236" s="20">
        <f>Table1[[#This Row],[Net_revenue]]/Table1[[#This Row],[Gross_revenue]]*100%</f>
        <v>1</v>
      </c>
      <c r="T236" s="18">
        <f>COUNTIFS(Table1[Customer ID], "&gt;1", Table1[Customer ID], 1)</f>
        <v>0</v>
      </c>
    </row>
    <row r="237" spans="1:20" hidden="1" x14ac:dyDescent="0.3">
      <c r="A237" s="2" t="s">
        <v>497</v>
      </c>
      <c r="B237" s="5">
        <v>45835</v>
      </c>
      <c r="C237" s="5" t="str">
        <f>TEXT(B237,"mmm")</f>
        <v>Jun</v>
      </c>
      <c r="D237" s="2" t="s">
        <v>498</v>
      </c>
      <c r="E237" s="2" t="s">
        <v>21</v>
      </c>
      <c r="F237" s="2" t="str" cm="1">
        <f t="array" ref="F2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37" s="2" t="str" cm="1">
        <f t="array" ref="G2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37" s="2" t="s">
        <v>33</v>
      </c>
      <c r="I237" s="2" t="s">
        <v>16</v>
      </c>
      <c r="J237" s="2">
        <v>1</v>
      </c>
      <c r="K237" s="8">
        <v>899</v>
      </c>
      <c r="L237" s="3">
        <v>0.2</v>
      </c>
      <c r="M237" s="12">
        <f>K237*L237</f>
        <v>179.8</v>
      </c>
      <c r="N237" s="12">
        <f>K237*J237</f>
        <v>899</v>
      </c>
      <c r="O237" s="12">
        <f>N237-M237</f>
        <v>719.2</v>
      </c>
      <c r="P237" s="2" t="s">
        <v>45</v>
      </c>
      <c r="Q237" s="2" t="s">
        <v>18</v>
      </c>
      <c r="R237" s="2">
        <v>60</v>
      </c>
      <c r="S237" s="20">
        <f>Table1[[#This Row],[Net_revenue]]/Table1[[#This Row],[Gross_revenue]]*100%</f>
        <v>0.8</v>
      </c>
      <c r="T237" s="18">
        <f>COUNTIFS(Table1[Customer ID], "&gt;1", Table1[Customer ID], 1)</f>
        <v>0</v>
      </c>
    </row>
    <row r="238" spans="1:20" hidden="1" x14ac:dyDescent="0.3">
      <c r="A238" s="2" t="s">
        <v>499</v>
      </c>
      <c r="B238" s="5">
        <v>45890</v>
      </c>
      <c r="C238" s="5" t="str">
        <f>TEXT(B238,"mmm")</f>
        <v>Aug</v>
      </c>
      <c r="D238" s="2" t="s">
        <v>500</v>
      </c>
      <c r="E238" s="2" t="s">
        <v>21</v>
      </c>
      <c r="F238" s="2" t="str" cm="1">
        <f t="array" ref="F2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38" s="2" t="str" cm="1">
        <f t="array" ref="G2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38" s="2" t="s">
        <v>41</v>
      </c>
      <c r="I238" s="2" t="s">
        <v>16</v>
      </c>
      <c r="J238" s="2">
        <v>4</v>
      </c>
      <c r="K238" s="8">
        <v>2299</v>
      </c>
      <c r="L238" s="3">
        <v>0.1</v>
      </c>
      <c r="M238" s="12">
        <f>K238*L238</f>
        <v>229.9</v>
      </c>
      <c r="N238" s="12">
        <f>K238*J238</f>
        <v>9196</v>
      </c>
      <c r="O238" s="12">
        <f>N238-M238</f>
        <v>8966.1</v>
      </c>
      <c r="P238" s="2" t="s">
        <v>45</v>
      </c>
      <c r="Q238" s="2" t="s">
        <v>18</v>
      </c>
      <c r="R238" s="2">
        <v>80</v>
      </c>
      <c r="S238" s="20">
        <f>Table1[[#This Row],[Net_revenue]]/Table1[[#This Row],[Gross_revenue]]*100%</f>
        <v>0.97500000000000009</v>
      </c>
      <c r="T238" s="18">
        <f>COUNTIFS(Table1[Customer ID], "&gt;1", Table1[Customer ID], 1)</f>
        <v>0</v>
      </c>
    </row>
    <row r="239" spans="1:20" hidden="1" x14ac:dyDescent="0.3">
      <c r="A239" s="2" t="s">
        <v>501</v>
      </c>
      <c r="B239" s="5">
        <v>45752</v>
      </c>
      <c r="C239" s="5" t="str">
        <f>TEXT(B239,"mmm")</f>
        <v>Apr</v>
      </c>
      <c r="D239" s="2" t="s">
        <v>325</v>
      </c>
      <c r="E239" s="2" t="s">
        <v>56</v>
      </c>
      <c r="F239" s="2" t="str" cm="1">
        <f t="array" ref="F2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39" s="2" t="str" cm="1">
        <f t="array" ref="G2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39" s="2" t="s">
        <v>22</v>
      </c>
      <c r="I239" s="2" t="s">
        <v>23</v>
      </c>
      <c r="J239" s="2">
        <v>2</v>
      </c>
      <c r="K239" s="8">
        <v>3999</v>
      </c>
      <c r="L239" s="3">
        <v>0.1</v>
      </c>
      <c r="M239" s="12">
        <f>K239*L239</f>
        <v>399.90000000000003</v>
      </c>
      <c r="N239" s="12">
        <f>K239*J239</f>
        <v>7998</v>
      </c>
      <c r="O239" s="12">
        <f>N239-M239</f>
        <v>7598.1</v>
      </c>
      <c r="P239" s="2" t="s">
        <v>45</v>
      </c>
      <c r="Q239" s="2" t="s">
        <v>18</v>
      </c>
      <c r="R239" s="2">
        <v>0</v>
      </c>
      <c r="S239" s="20">
        <f>Table1[[#This Row],[Net_revenue]]/Table1[[#This Row],[Gross_revenue]]*100%</f>
        <v>0.95000000000000007</v>
      </c>
      <c r="T239" s="18">
        <f>COUNTIFS(Table1[Customer ID], "&gt;1", Table1[Customer ID], 1)</f>
        <v>0</v>
      </c>
    </row>
    <row r="240" spans="1:20" hidden="1" x14ac:dyDescent="0.3">
      <c r="A240" s="2" t="s">
        <v>502</v>
      </c>
      <c r="B240" s="5">
        <v>45691</v>
      </c>
      <c r="C240" s="5" t="str">
        <f>TEXT(B240,"mmm")</f>
        <v>Feb</v>
      </c>
      <c r="D240" s="2" t="s">
        <v>503</v>
      </c>
      <c r="E240" s="2" t="s">
        <v>27</v>
      </c>
      <c r="F240" s="2" t="str" cm="1">
        <f t="array" ref="F2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40" s="2" t="str" cm="1">
        <f t="array" ref="G2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40" s="2" t="s">
        <v>63</v>
      </c>
      <c r="I240" s="2" t="s">
        <v>23</v>
      </c>
      <c r="J240" s="2">
        <v>1</v>
      </c>
      <c r="K240" s="8">
        <v>2499</v>
      </c>
      <c r="L240" s="3">
        <v>0.1</v>
      </c>
      <c r="M240" s="12">
        <f>K240*L240</f>
        <v>249.9</v>
      </c>
      <c r="N240" s="12">
        <f>K240*J240</f>
        <v>2499</v>
      </c>
      <c r="O240" s="12">
        <f>N240-M240</f>
        <v>2249.1</v>
      </c>
      <c r="P240" s="2" t="s">
        <v>30</v>
      </c>
      <c r="Q240" s="2" t="s">
        <v>18</v>
      </c>
      <c r="R240" s="2">
        <v>0</v>
      </c>
      <c r="S240" s="20">
        <f>Table1[[#This Row],[Net_revenue]]/Table1[[#This Row],[Gross_revenue]]*100%</f>
        <v>0.89999999999999991</v>
      </c>
      <c r="T240" s="18">
        <f>COUNTIFS(Table1[Customer ID], "&gt;1", Table1[Customer ID], 1)</f>
        <v>0</v>
      </c>
    </row>
    <row r="241" spans="1:20" hidden="1" x14ac:dyDescent="0.3">
      <c r="A241" s="2" t="s">
        <v>504</v>
      </c>
      <c r="B241" s="5">
        <v>45783</v>
      </c>
      <c r="C241" s="5" t="str">
        <f>TEXT(B241,"mmm")</f>
        <v>May</v>
      </c>
      <c r="D241" s="2" t="s">
        <v>505</v>
      </c>
      <c r="E241" s="2" t="s">
        <v>48</v>
      </c>
      <c r="F241" s="2" t="str" cm="1">
        <f t="array" ref="F2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41" s="2" t="str" cm="1">
        <f t="array" ref="G2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41" s="2" t="s">
        <v>65</v>
      </c>
      <c r="I241" s="2" t="s">
        <v>23</v>
      </c>
      <c r="J241" s="2">
        <v>1</v>
      </c>
      <c r="K241" s="8">
        <v>1899</v>
      </c>
      <c r="L241" s="3">
        <v>0.25</v>
      </c>
      <c r="M241" s="12">
        <f>K241*L241</f>
        <v>474.75</v>
      </c>
      <c r="N241" s="12">
        <f>K241*J241</f>
        <v>1899</v>
      </c>
      <c r="O241" s="12">
        <f>N241-M241</f>
        <v>1424.25</v>
      </c>
      <c r="P241" s="2" t="s">
        <v>45</v>
      </c>
      <c r="Q241" s="2" t="s">
        <v>18</v>
      </c>
      <c r="R241" s="2">
        <v>0</v>
      </c>
      <c r="S241" s="20">
        <f>Table1[[#This Row],[Net_revenue]]/Table1[[#This Row],[Gross_revenue]]*100%</f>
        <v>0.75</v>
      </c>
      <c r="T241" s="18">
        <f>COUNTIFS(Table1[Customer ID], "&gt;1", Table1[Customer ID], 1)</f>
        <v>0</v>
      </c>
    </row>
    <row r="242" spans="1:20" hidden="1" x14ac:dyDescent="0.3">
      <c r="A242" s="2" t="s">
        <v>506</v>
      </c>
      <c r="B242" s="5">
        <v>45727</v>
      </c>
      <c r="C242" s="5" t="str">
        <f>TEXT(B242,"mmm")</f>
        <v>Mar</v>
      </c>
      <c r="D242" s="2" t="s">
        <v>507</v>
      </c>
      <c r="E242" s="2" t="s">
        <v>53</v>
      </c>
      <c r="F242" s="2" t="str" cm="1">
        <f t="array" ref="F2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42" s="2" t="str" cm="1">
        <f t="array" ref="G2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42" s="2" t="s">
        <v>98</v>
      </c>
      <c r="I242" s="2" t="s">
        <v>37</v>
      </c>
      <c r="J242" s="2">
        <v>2</v>
      </c>
      <c r="K242" s="8">
        <v>299</v>
      </c>
      <c r="L242" s="3">
        <v>0.2</v>
      </c>
      <c r="M242" s="12">
        <f>K242*L242</f>
        <v>59.800000000000004</v>
      </c>
      <c r="N242" s="12">
        <f>K242*J242</f>
        <v>598</v>
      </c>
      <c r="O242" s="12">
        <f>N242-M242</f>
        <v>538.20000000000005</v>
      </c>
      <c r="P242" s="2" t="s">
        <v>45</v>
      </c>
      <c r="Q242" s="2" t="s">
        <v>18</v>
      </c>
      <c r="R242" s="2">
        <v>60</v>
      </c>
      <c r="S242" s="20">
        <f>Table1[[#This Row],[Net_revenue]]/Table1[[#This Row],[Gross_revenue]]*100%</f>
        <v>0.9</v>
      </c>
      <c r="T242" s="18">
        <f>COUNTIFS(Table1[Customer ID], "&gt;1", Table1[Customer ID], 1)</f>
        <v>0</v>
      </c>
    </row>
    <row r="243" spans="1:20" hidden="1" x14ac:dyDescent="0.3">
      <c r="A243" s="2" t="s">
        <v>508</v>
      </c>
      <c r="B243" s="5">
        <v>45901</v>
      </c>
      <c r="C243" s="5" t="str">
        <f>TEXT(B243,"mmm")</f>
        <v>Sep</v>
      </c>
      <c r="D243" s="2" t="s">
        <v>509</v>
      </c>
      <c r="E243" s="2" t="s">
        <v>48</v>
      </c>
      <c r="F243" s="2" t="str" cm="1">
        <f t="array" ref="F2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43" s="2" t="str" cm="1">
        <f t="array" ref="G2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43" s="2" t="s">
        <v>68</v>
      </c>
      <c r="I243" s="2" t="s">
        <v>16</v>
      </c>
      <c r="J243" s="2">
        <v>1</v>
      </c>
      <c r="K243" s="8">
        <v>599</v>
      </c>
      <c r="L243" s="3">
        <v>0</v>
      </c>
      <c r="M243" s="12">
        <f>K243*L243</f>
        <v>0</v>
      </c>
      <c r="N243" s="12">
        <f>K243*J243</f>
        <v>599</v>
      </c>
      <c r="O243" s="12">
        <f>N243-M243</f>
        <v>599</v>
      </c>
      <c r="P243" s="2" t="s">
        <v>45</v>
      </c>
      <c r="Q243" s="2" t="s">
        <v>50</v>
      </c>
      <c r="R243" s="2">
        <v>0</v>
      </c>
      <c r="S243" s="20">
        <f>Table1[[#This Row],[Net_revenue]]/Table1[[#This Row],[Gross_revenue]]*100%</f>
        <v>1</v>
      </c>
      <c r="T243" s="18">
        <f>COUNTIFS(Table1[Customer ID], "&gt;1", Table1[Customer ID], 1)</f>
        <v>0</v>
      </c>
    </row>
    <row r="244" spans="1:20" hidden="1" x14ac:dyDescent="0.3">
      <c r="A244" s="2" t="s">
        <v>510</v>
      </c>
      <c r="B244" s="5">
        <v>45773</v>
      </c>
      <c r="C244" s="5" t="str">
        <f>TEXT(B244,"mmm")</f>
        <v>Apr</v>
      </c>
      <c r="D244" s="2" t="s">
        <v>511</v>
      </c>
      <c r="E244" s="2" t="s">
        <v>14</v>
      </c>
      <c r="F244" s="2" t="str" cm="1">
        <f t="array" ref="F2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44" s="2" t="str" cm="1">
        <f t="array" ref="G2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44" s="2" t="s">
        <v>49</v>
      </c>
      <c r="I244" s="2" t="s">
        <v>23</v>
      </c>
      <c r="J244" s="2">
        <v>1</v>
      </c>
      <c r="K244" s="8">
        <v>1299</v>
      </c>
      <c r="L244" s="3">
        <v>0.15</v>
      </c>
      <c r="M244" s="12">
        <f>K244*L244</f>
        <v>194.85</v>
      </c>
      <c r="N244" s="12">
        <f>K244*J244</f>
        <v>1299</v>
      </c>
      <c r="O244" s="12">
        <f>N244-M244</f>
        <v>1104.1500000000001</v>
      </c>
      <c r="P244" s="2" t="s">
        <v>45</v>
      </c>
      <c r="Q244" s="2" t="s">
        <v>18</v>
      </c>
      <c r="R244" s="2">
        <v>0</v>
      </c>
      <c r="S244" s="20">
        <f>Table1[[#This Row],[Net_revenue]]/Table1[[#This Row],[Gross_revenue]]*100%</f>
        <v>0.85000000000000009</v>
      </c>
      <c r="T244" s="18">
        <f>COUNTIFS(Table1[Customer ID], "&gt;1", Table1[Customer ID], 1)</f>
        <v>0</v>
      </c>
    </row>
    <row r="245" spans="1:20" hidden="1" x14ac:dyDescent="0.3">
      <c r="A245" s="2" t="s">
        <v>512</v>
      </c>
      <c r="B245" s="5">
        <v>46017</v>
      </c>
      <c r="C245" s="5" t="str">
        <f>TEXT(B245,"mmm")</f>
        <v>Dec</v>
      </c>
      <c r="D245" s="2" t="s">
        <v>513</v>
      </c>
      <c r="E245" s="2" t="s">
        <v>48</v>
      </c>
      <c r="F245" s="2" t="str" cm="1">
        <f t="array" ref="F2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45" s="2" t="str" cm="1">
        <f t="array" ref="G2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45" s="2" t="s">
        <v>63</v>
      </c>
      <c r="I245" s="2" t="s">
        <v>23</v>
      </c>
      <c r="J245" s="2">
        <v>3</v>
      </c>
      <c r="K245" s="8">
        <v>2499</v>
      </c>
      <c r="L245" s="3">
        <v>0.1</v>
      </c>
      <c r="M245" s="12">
        <f>K245*L245</f>
        <v>249.9</v>
      </c>
      <c r="N245" s="12">
        <f>K245*J245</f>
        <v>7497</v>
      </c>
      <c r="O245" s="12">
        <f>N245-M245</f>
        <v>7247.1</v>
      </c>
      <c r="P245" s="2" t="s">
        <v>45</v>
      </c>
      <c r="Q245" s="2" t="s">
        <v>18</v>
      </c>
      <c r="R245" s="2">
        <v>0</v>
      </c>
      <c r="S245" s="20">
        <f>Table1[[#This Row],[Net_revenue]]/Table1[[#This Row],[Gross_revenue]]*100%</f>
        <v>0.96666666666666667</v>
      </c>
      <c r="T245" s="18">
        <f>COUNTIFS(Table1[Customer ID], "&gt;1", Table1[Customer ID], 1)</f>
        <v>0</v>
      </c>
    </row>
    <row r="246" spans="1:20" hidden="1" x14ac:dyDescent="0.3">
      <c r="A246" s="2" t="s">
        <v>514</v>
      </c>
      <c r="B246" s="5">
        <v>45694</v>
      </c>
      <c r="C246" s="5" t="str">
        <f>TEXT(B246,"mmm")</f>
        <v>Feb</v>
      </c>
      <c r="D246" s="2" t="s">
        <v>515</v>
      </c>
      <c r="E246" s="2" t="s">
        <v>40</v>
      </c>
      <c r="F246" s="2" t="str" cm="1">
        <f t="array" ref="F2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46" s="2" t="str" cm="1">
        <f t="array" ref="G2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46" s="2" t="s">
        <v>36</v>
      </c>
      <c r="I246" s="2" t="s">
        <v>37</v>
      </c>
      <c r="J246" s="2">
        <v>2</v>
      </c>
      <c r="K246" s="8">
        <v>349</v>
      </c>
      <c r="L246" s="3">
        <v>0.05</v>
      </c>
      <c r="M246" s="12">
        <f>K246*L246</f>
        <v>17.45</v>
      </c>
      <c r="N246" s="12">
        <f>K246*J246</f>
        <v>698</v>
      </c>
      <c r="O246" s="12">
        <f>N246-M246</f>
        <v>680.55</v>
      </c>
      <c r="P246" s="2" t="s">
        <v>45</v>
      </c>
      <c r="Q246" s="2" t="s">
        <v>18</v>
      </c>
      <c r="R246" s="2">
        <v>0</v>
      </c>
      <c r="S246" s="20">
        <f>Table1[[#This Row],[Net_revenue]]/Table1[[#This Row],[Gross_revenue]]*100%</f>
        <v>0.97499999999999998</v>
      </c>
      <c r="T246" s="18">
        <f>COUNTIFS(Table1[Customer ID], "&gt;1", Table1[Customer ID], 1)</f>
        <v>0</v>
      </c>
    </row>
    <row r="247" spans="1:20" hidden="1" x14ac:dyDescent="0.3">
      <c r="A247" s="2" t="s">
        <v>516</v>
      </c>
      <c r="B247" s="5">
        <v>45934</v>
      </c>
      <c r="C247" s="5" t="str">
        <f>TEXT(B247,"mmm")</f>
        <v>Oct</v>
      </c>
      <c r="D247" s="2" t="s">
        <v>517</v>
      </c>
      <c r="E247" s="2" t="s">
        <v>21</v>
      </c>
      <c r="F247" s="2" t="str" cm="1">
        <f t="array" ref="F2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47" s="2" t="str" cm="1">
        <f t="array" ref="G2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47" s="2" t="s">
        <v>65</v>
      </c>
      <c r="I247" s="2" t="s">
        <v>23</v>
      </c>
      <c r="J247" s="2">
        <v>2</v>
      </c>
      <c r="K247" s="8">
        <v>1899</v>
      </c>
      <c r="L247" s="3">
        <v>0.25</v>
      </c>
      <c r="M247" s="12">
        <f>K247*L247</f>
        <v>474.75</v>
      </c>
      <c r="N247" s="12">
        <f>K247*J247</f>
        <v>3798</v>
      </c>
      <c r="O247" s="12">
        <f>N247-M247</f>
        <v>3323.25</v>
      </c>
      <c r="P247" s="2" t="s">
        <v>45</v>
      </c>
      <c r="Q247" s="2" t="s">
        <v>18</v>
      </c>
      <c r="R247" s="2">
        <v>0</v>
      </c>
      <c r="S247" s="20">
        <f>Table1[[#This Row],[Net_revenue]]/Table1[[#This Row],[Gross_revenue]]*100%</f>
        <v>0.875</v>
      </c>
      <c r="T247" s="18">
        <f>COUNTIFS(Table1[Customer ID], "&gt;1", Table1[Customer ID], 1)</f>
        <v>0</v>
      </c>
    </row>
    <row r="248" spans="1:20" hidden="1" x14ac:dyDescent="0.3">
      <c r="A248" s="2" t="s">
        <v>518</v>
      </c>
      <c r="B248" s="5">
        <v>45915</v>
      </c>
      <c r="C248" s="5" t="str">
        <f>TEXT(B248,"mmm")</f>
        <v>Sep</v>
      </c>
      <c r="D248" s="2" t="s">
        <v>294</v>
      </c>
      <c r="E248" s="2" t="s">
        <v>21</v>
      </c>
      <c r="F248" s="2" t="str" cm="1">
        <f t="array" ref="F2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48" s="2" t="str" cm="1">
        <f t="array" ref="G2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48" s="2" t="s">
        <v>183</v>
      </c>
      <c r="I248" s="2" t="s">
        <v>37</v>
      </c>
      <c r="J248" s="2">
        <v>1</v>
      </c>
      <c r="K248" s="8">
        <v>499</v>
      </c>
      <c r="L248" s="3">
        <v>0.05</v>
      </c>
      <c r="M248" s="12">
        <f>K248*L248</f>
        <v>24.950000000000003</v>
      </c>
      <c r="N248" s="12">
        <f>K248*J248</f>
        <v>499</v>
      </c>
      <c r="O248" s="12">
        <f>N248-M248</f>
        <v>474.05</v>
      </c>
      <c r="P248" s="2" t="s">
        <v>17</v>
      </c>
      <c r="Q248" s="2" t="s">
        <v>18</v>
      </c>
      <c r="R248" s="2">
        <v>80</v>
      </c>
      <c r="S248" s="20">
        <f>Table1[[#This Row],[Net_revenue]]/Table1[[#This Row],[Gross_revenue]]*100%</f>
        <v>0.95000000000000007</v>
      </c>
      <c r="T248" s="18">
        <f>COUNTIFS(Table1[Customer ID], "&gt;1", Table1[Customer ID], 1)</f>
        <v>0</v>
      </c>
    </row>
    <row r="249" spans="1:20" hidden="1" x14ac:dyDescent="0.3">
      <c r="A249" s="2" t="s">
        <v>519</v>
      </c>
      <c r="B249" s="5">
        <v>45896</v>
      </c>
      <c r="C249" s="5" t="str">
        <f>TEXT(B249,"mmm")</f>
        <v>Aug</v>
      </c>
      <c r="D249" s="2" t="s">
        <v>520</v>
      </c>
      <c r="E249" s="2" t="s">
        <v>21</v>
      </c>
      <c r="F249" s="2" t="str" cm="1">
        <f t="array" ref="F2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49" s="2" t="str" cm="1">
        <f t="array" ref="G2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49" s="2" t="s">
        <v>44</v>
      </c>
      <c r="I249" s="2" t="s">
        <v>16</v>
      </c>
      <c r="J249" s="2">
        <v>1</v>
      </c>
      <c r="K249" s="8">
        <v>1599</v>
      </c>
      <c r="L249" s="3">
        <v>0</v>
      </c>
      <c r="M249" s="12">
        <f>K249*L249</f>
        <v>0</v>
      </c>
      <c r="N249" s="12">
        <f>K249*J249</f>
        <v>1599</v>
      </c>
      <c r="O249" s="12">
        <f>N249-M249</f>
        <v>1599</v>
      </c>
      <c r="P249" s="2" t="s">
        <v>30</v>
      </c>
      <c r="Q249" s="2" t="s">
        <v>18</v>
      </c>
      <c r="R249" s="2">
        <v>80</v>
      </c>
      <c r="S249" s="20">
        <f>Table1[[#This Row],[Net_revenue]]/Table1[[#This Row],[Gross_revenue]]*100%</f>
        <v>1</v>
      </c>
      <c r="T249" s="18">
        <f>COUNTIFS(Table1[Customer ID], "&gt;1", Table1[Customer ID], 1)</f>
        <v>0</v>
      </c>
    </row>
    <row r="250" spans="1:20" hidden="1" x14ac:dyDescent="0.3">
      <c r="A250" s="2" t="s">
        <v>521</v>
      </c>
      <c r="B250" s="5">
        <v>45741</v>
      </c>
      <c r="C250" s="5" t="str">
        <f>TEXT(B250,"mmm")</f>
        <v>Mar</v>
      </c>
      <c r="D250" s="2" t="s">
        <v>522</v>
      </c>
      <c r="E250" s="2" t="s">
        <v>53</v>
      </c>
      <c r="F250" s="2" t="str" cm="1">
        <f t="array" ref="F2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50" s="2" t="str" cm="1">
        <f t="array" ref="G2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50" s="2" t="s">
        <v>41</v>
      </c>
      <c r="I250" s="2" t="s">
        <v>16</v>
      </c>
      <c r="J250" s="2">
        <v>1</v>
      </c>
      <c r="K250" s="8">
        <v>2299</v>
      </c>
      <c r="L250" s="3">
        <v>0</v>
      </c>
      <c r="M250" s="12">
        <f>K250*L250</f>
        <v>0</v>
      </c>
      <c r="N250" s="12">
        <f>K250*J250</f>
        <v>2299</v>
      </c>
      <c r="O250" s="12">
        <f>N250-M250</f>
        <v>2299</v>
      </c>
      <c r="P250" s="2" t="s">
        <v>45</v>
      </c>
      <c r="Q250" s="2" t="s">
        <v>18</v>
      </c>
      <c r="R250" s="2">
        <v>80</v>
      </c>
      <c r="S250" s="20">
        <f>Table1[[#This Row],[Net_revenue]]/Table1[[#This Row],[Gross_revenue]]*100%</f>
        <v>1</v>
      </c>
      <c r="T250" s="18">
        <f>COUNTIFS(Table1[Customer ID], "&gt;1", Table1[Customer ID], 1)</f>
        <v>0</v>
      </c>
    </row>
    <row r="251" spans="1:20" hidden="1" x14ac:dyDescent="0.3">
      <c r="A251" s="2" t="s">
        <v>523</v>
      </c>
      <c r="B251" s="5">
        <v>45971</v>
      </c>
      <c r="C251" s="5" t="str">
        <f>TEXT(B251,"mmm")</f>
        <v>Nov</v>
      </c>
      <c r="D251" s="2" t="s">
        <v>465</v>
      </c>
      <c r="E251" s="2" t="s">
        <v>40</v>
      </c>
      <c r="F251" s="2" t="str" cm="1">
        <f t="array" ref="F2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51" s="2" t="str" cm="1">
        <f t="array" ref="G2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51" s="2" t="s">
        <v>89</v>
      </c>
      <c r="I251" s="2" t="s">
        <v>29</v>
      </c>
      <c r="J251" s="2">
        <v>1</v>
      </c>
      <c r="K251" s="8">
        <v>449</v>
      </c>
      <c r="L251" s="3">
        <v>0.25</v>
      </c>
      <c r="M251" s="12">
        <f>K251*L251</f>
        <v>112.25</v>
      </c>
      <c r="N251" s="12">
        <f>K251*J251</f>
        <v>449</v>
      </c>
      <c r="O251" s="12">
        <f>N251-M251</f>
        <v>336.75</v>
      </c>
      <c r="P251" s="2" t="s">
        <v>45</v>
      </c>
      <c r="Q251" s="2" t="s">
        <v>18</v>
      </c>
      <c r="R251" s="2">
        <v>60</v>
      </c>
      <c r="S251" s="20">
        <f>Table1[[#This Row],[Net_revenue]]/Table1[[#This Row],[Gross_revenue]]*100%</f>
        <v>0.75</v>
      </c>
      <c r="T251" s="18">
        <f>COUNTIFS(Table1[Customer ID], "&gt;1", Table1[Customer ID], 1)</f>
        <v>0</v>
      </c>
    </row>
    <row r="252" spans="1:20" hidden="1" x14ac:dyDescent="0.3">
      <c r="A252" s="2" t="s">
        <v>524</v>
      </c>
      <c r="B252" s="5">
        <v>46010</v>
      </c>
      <c r="C252" s="5" t="str">
        <f>TEXT(B252,"mmm")</f>
        <v>Dec</v>
      </c>
      <c r="D252" s="2" t="s">
        <v>465</v>
      </c>
      <c r="E252" s="2" t="s">
        <v>48</v>
      </c>
      <c r="F252" s="2" t="str" cm="1">
        <f t="array" ref="F2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52" s="2" t="str" cm="1">
        <f t="array" ref="G2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2" s="2" t="s">
        <v>107</v>
      </c>
      <c r="I252" s="2" t="s">
        <v>95</v>
      </c>
      <c r="J252" s="2">
        <v>1</v>
      </c>
      <c r="K252" s="8">
        <v>1599</v>
      </c>
      <c r="L252" s="3">
        <v>0.25</v>
      </c>
      <c r="M252" s="12">
        <f>K252*L252</f>
        <v>399.75</v>
      </c>
      <c r="N252" s="12">
        <f>K252*J252</f>
        <v>1599</v>
      </c>
      <c r="O252" s="12">
        <f>N252-M252</f>
        <v>1199.25</v>
      </c>
      <c r="P252" s="2" t="s">
        <v>30</v>
      </c>
      <c r="Q252" s="2" t="s">
        <v>18</v>
      </c>
      <c r="R252" s="2">
        <v>80</v>
      </c>
      <c r="S252" s="20">
        <f>Table1[[#This Row],[Net_revenue]]/Table1[[#This Row],[Gross_revenue]]*100%</f>
        <v>0.75</v>
      </c>
      <c r="T252" s="18">
        <f>COUNTIFS(Table1[Customer ID], "&gt;1", Table1[Customer ID], 1)</f>
        <v>0</v>
      </c>
    </row>
    <row r="253" spans="1:20" hidden="1" x14ac:dyDescent="0.3">
      <c r="A253" s="2" t="s">
        <v>525</v>
      </c>
      <c r="B253" s="5">
        <v>45893</v>
      </c>
      <c r="C253" s="5" t="str">
        <f>TEXT(B253,"mmm")</f>
        <v>Aug</v>
      </c>
      <c r="D253" s="2" t="s">
        <v>526</v>
      </c>
      <c r="E253" s="2" t="s">
        <v>27</v>
      </c>
      <c r="F253" s="2" t="str" cm="1">
        <f t="array" ref="F2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53" s="2" t="str" cm="1">
        <f t="array" ref="G2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3" s="2" t="s">
        <v>15</v>
      </c>
      <c r="I253" s="2" t="s">
        <v>16</v>
      </c>
      <c r="J253" s="2">
        <v>1</v>
      </c>
      <c r="K253" s="8">
        <v>1799</v>
      </c>
      <c r="L253" s="3">
        <v>0.1</v>
      </c>
      <c r="M253" s="12">
        <f>K253*L253</f>
        <v>179.9</v>
      </c>
      <c r="N253" s="12">
        <f>K253*J253</f>
        <v>1799</v>
      </c>
      <c r="O253" s="12">
        <f>N253-M253</f>
        <v>1619.1</v>
      </c>
      <c r="P253" s="2" t="s">
        <v>17</v>
      </c>
      <c r="Q253" s="2" t="s">
        <v>18</v>
      </c>
      <c r="R253" s="2">
        <v>40</v>
      </c>
      <c r="S253" s="20">
        <f>Table1[[#This Row],[Net_revenue]]/Table1[[#This Row],[Gross_revenue]]*100%</f>
        <v>0.89999999999999991</v>
      </c>
      <c r="T253" s="18">
        <f>COUNTIFS(Table1[Customer ID], "&gt;1", Table1[Customer ID], 1)</f>
        <v>0</v>
      </c>
    </row>
    <row r="254" spans="1:20" hidden="1" x14ac:dyDescent="0.3">
      <c r="A254" s="2" t="s">
        <v>527</v>
      </c>
      <c r="B254" s="5">
        <v>45805</v>
      </c>
      <c r="C254" s="5" t="str">
        <f>TEXT(B254,"mmm")</f>
        <v>May</v>
      </c>
      <c r="D254" s="2" t="s">
        <v>528</v>
      </c>
      <c r="E254" s="2" t="s">
        <v>56</v>
      </c>
      <c r="F254" s="2" t="str" cm="1">
        <f t="array" ref="F2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54" s="2" t="str" cm="1">
        <f t="array" ref="G2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4" s="2" t="s">
        <v>15</v>
      </c>
      <c r="I254" s="2" t="s">
        <v>16</v>
      </c>
      <c r="J254" s="2">
        <v>4</v>
      </c>
      <c r="K254" s="8">
        <v>1799</v>
      </c>
      <c r="L254" s="3">
        <v>0.05</v>
      </c>
      <c r="M254" s="12">
        <f>K254*L254</f>
        <v>89.95</v>
      </c>
      <c r="N254" s="12">
        <f>K254*J254</f>
        <v>7196</v>
      </c>
      <c r="O254" s="12">
        <f>N254-M254</f>
        <v>7106.05</v>
      </c>
      <c r="P254" s="2" t="s">
        <v>45</v>
      </c>
      <c r="Q254" s="2" t="s">
        <v>18</v>
      </c>
      <c r="R254" s="2">
        <v>60</v>
      </c>
      <c r="S254" s="20">
        <f>Table1[[#This Row],[Net_revenue]]/Table1[[#This Row],[Gross_revenue]]*100%</f>
        <v>0.98750000000000004</v>
      </c>
      <c r="T254" s="18">
        <f>COUNTIFS(Table1[Customer ID], "&gt;1", Table1[Customer ID], 1)</f>
        <v>0</v>
      </c>
    </row>
    <row r="255" spans="1:20" hidden="1" x14ac:dyDescent="0.3">
      <c r="A255" s="2" t="s">
        <v>529</v>
      </c>
      <c r="B255" s="5">
        <v>45982</v>
      </c>
      <c r="C255" s="5" t="str">
        <f>TEXT(B255,"mmm")</f>
        <v>Nov</v>
      </c>
      <c r="D255" s="2" t="s">
        <v>530</v>
      </c>
      <c r="E255" s="2" t="s">
        <v>27</v>
      </c>
      <c r="F255" s="2" t="str" cm="1">
        <f t="array" ref="F2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55" s="2" t="str" cm="1">
        <f t="array" ref="G2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5" s="2" t="s">
        <v>80</v>
      </c>
      <c r="I255" s="2" t="s">
        <v>23</v>
      </c>
      <c r="J255" s="2">
        <v>1</v>
      </c>
      <c r="K255" s="8">
        <v>799</v>
      </c>
      <c r="L255" s="3">
        <v>0.15</v>
      </c>
      <c r="M255" s="12">
        <f>K255*L255</f>
        <v>119.85</v>
      </c>
      <c r="N255" s="12">
        <f>K255*J255</f>
        <v>799</v>
      </c>
      <c r="O255" s="12">
        <f>N255-M255</f>
        <v>679.15</v>
      </c>
      <c r="P255" s="2" t="s">
        <v>17</v>
      </c>
      <c r="Q255" s="2" t="s">
        <v>50</v>
      </c>
      <c r="R255" s="2">
        <v>80</v>
      </c>
      <c r="S255" s="20">
        <f>Table1[[#This Row],[Net_revenue]]/Table1[[#This Row],[Gross_revenue]]*100%</f>
        <v>0.85</v>
      </c>
      <c r="T255" s="18">
        <f>COUNTIFS(Table1[Customer ID], "&gt;1", Table1[Customer ID], 1)</f>
        <v>0</v>
      </c>
    </row>
    <row r="256" spans="1:20" hidden="1" x14ac:dyDescent="0.3">
      <c r="A256" s="2" t="s">
        <v>531</v>
      </c>
      <c r="B256" s="5">
        <v>45951</v>
      </c>
      <c r="C256" s="5" t="str">
        <f>TEXT(B256,"mmm")</f>
        <v>Oct</v>
      </c>
      <c r="D256" s="2" t="s">
        <v>532</v>
      </c>
      <c r="E256" s="2" t="s">
        <v>48</v>
      </c>
      <c r="F256" s="2" t="str" cm="1">
        <f t="array" ref="F2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56" s="2" t="str" cm="1">
        <f t="array" ref="G2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6" s="2" t="s">
        <v>44</v>
      </c>
      <c r="I256" s="2" t="s">
        <v>16</v>
      </c>
      <c r="J256" s="2">
        <v>1</v>
      </c>
      <c r="K256" s="8">
        <v>1599</v>
      </c>
      <c r="L256" s="3">
        <v>0.25</v>
      </c>
      <c r="M256" s="12">
        <f>K256*L256</f>
        <v>399.75</v>
      </c>
      <c r="N256" s="12">
        <f>K256*J256</f>
        <v>1599</v>
      </c>
      <c r="O256" s="12">
        <f>N256-M256</f>
        <v>1199.25</v>
      </c>
      <c r="P256" s="2" t="s">
        <v>17</v>
      </c>
      <c r="Q256" s="2" t="s">
        <v>18</v>
      </c>
      <c r="R256" s="2">
        <v>0</v>
      </c>
      <c r="S256" s="20">
        <f>Table1[[#This Row],[Net_revenue]]/Table1[[#This Row],[Gross_revenue]]*100%</f>
        <v>0.75</v>
      </c>
      <c r="T256" s="18">
        <f>COUNTIFS(Table1[Customer ID], "&gt;1", Table1[Customer ID], 1)</f>
        <v>0</v>
      </c>
    </row>
    <row r="257" spans="1:20" hidden="1" x14ac:dyDescent="0.3">
      <c r="A257" s="2" t="s">
        <v>533</v>
      </c>
      <c r="B257" s="5">
        <v>45683</v>
      </c>
      <c r="C257" s="5" t="str">
        <f>TEXT(B257,"mmm")</f>
        <v>Jan</v>
      </c>
      <c r="D257" s="2" t="s">
        <v>534</v>
      </c>
      <c r="E257" s="2" t="s">
        <v>14</v>
      </c>
      <c r="F257" s="2" t="str" cm="1">
        <f t="array" ref="F2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57" s="2" t="str" cm="1">
        <f t="array" ref="G2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57" s="2" t="s">
        <v>49</v>
      </c>
      <c r="I257" s="2" t="s">
        <v>23</v>
      </c>
      <c r="J257" s="2">
        <v>1</v>
      </c>
      <c r="K257" s="8">
        <v>1299</v>
      </c>
      <c r="L257" s="3">
        <v>0</v>
      </c>
      <c r="M257" s="12">
        <f>K257*L257</f>
        <v>0</v>
      </c>
      <c r="N257" s="12">
        <f>K257*J257</f>
        <v>1299</v>
      </c>
      <c r="O257" s="12">
        <f>N257-M257</f>
        <v>1299</v>
      </c>
      <c r="P257" s="2" t="s">
        <v>30</v>
      </c>
      <c r="Q257" s="2" t="s">
        <v>50</v>
      </c>
      <c r="R257" s="2">
        <v>60</v>
      </c>
      <c r="S257" s="20">
        <f>Table1[[#This Row],[Net_revenue]]/Table1[[#This Row],[Gross_revenue]]*100%</f>
        <v>1</v>
      </c>
      <c r="T257" s="18">
        <f>COUNTIFS(Table1[Customer ID], "&gt;1", Table1[Customer ID], 1)</f>
        <v>0</v>
      </c>
    </row>
    <row r="258" spans="1:20" hidden="1" x14ac:dyDescent="0.3">
      <c r="A258" s="2" t="s">
        <v>535</v>
      </c>
      <c r="B258" s="5">
        <v>45916</v>
      </c>
      <c r="C258" s="5" t="str">
        <f>TEXT(B258,"mmm")</f>
        <v>Sep</v>
      </c>
      <c r="D258" s="2" t="s">
        <v>341</v>
      </c>
      <c r="E258" s="2" t="s">
        <v>48</v>
      </c>
      <c r="F258" s="2" t="str" cm="1">
        <f t="array" ref="F2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58" s="2" t="str" cm="1">
        <f t="array" ref="G2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58" s="2" t="s">
        <v>117</v>
      </c>
      <c r="I258" s="2" t="s">
        <v>23</v>
      </c>
      <c r="J258" s="2">
        <v>1</v>
      </c>
      <c r="K258" s="8">
        <v>2199</v>
      </c>
      <c r="L258" s="3">
        <v>0</v>
      </c>
      <c r="M258" s="12">
        <f>K258*L258</f>
        <v>0</v>
      </c>
      <c r="N258" s="12">
        <f>K258*J258</f>
        <v>2199</v>
      </c>
      <c r="O258" s="12">
        <f>N258-M258</f>
        <v>2199</v>
      </c>
      <c r="P258" s="2" t="s">
        <v>17</v>
      </c>
      <c r="Q258" s="2" t="s">
        <v>18</v>
      </c>
      <c r="R258" s="2">
        <v>60</v>
      </c>
      <c r="S258" s="20">
        <f>Table1[[#This Row],[Net_revenue]]/Table1[[#This Row],[Gross_revenue]]*100%</f>
        <v>1</v>
      </c>
      <c r="T258" s="18">
        <f>COUNTIFS(Table1[Customer ID], "&gt;1", Table1[Customer ID], 1)</f>
        <v>0</v>
      </c>
    </row>
    <row r="259" spans="1:20" hidden="1" x14ac:dyDescent="0.3">
      <c r="A259" s="2" t="s">
        <v>536</v>
      </c>
      <c r="B259" s="5">
        <v>45915</v>
      </c>
      <c r="C259" s="5" t="str">
        <f>TEXT(B259,"mmm")</f>
        <v>Sep</v>
      </c>
      <c r="D259" s="2" t="s">
        <v>537</v>
      </c>
      <c r="E259" s="2" t="s">
        <v>14</v>
      </c>
      <c r="F259" s="2" t="str" cm="1">
        <f t="array" ref="F2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59" s="2" t="str" cm="1">
        <f t="array" ref="G2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59" s="2" t="s">
        <v>117</v>
      </c>
      <c r="I259" s="2" t="s">
        <v>23</v>
      </c>
      <c r="J259" s="2">
        <v>4</v>
      </c>
      <c r="K259" s="8">
        <v>2199</v>
      </c>
      <c r="L259" s="3">
        <v>0.15</v>
      </c>
      <c r="M259" s="12">
        <f>K259*L259</f>
        <v>329.84999999999997</v>
      </c>
      <c r="N259" s="12">
        <f>K259*J259</f>
        <v>8796</v>
      </c>
      <c r="O259" s="12">
        <f>N259-M259</f>
        <v>8466.15</v>
      </c>
      <c r="P259" s="2" t="s">
        <v>24</v>
      </c>
      <c r="Q259" s="2" t="s">
        <v>18</v>
      </c>
      <c r="R259" s="2">
        <v>40</v>
      </c>
      <c r="S259" s="20">
        <f>Table1[[#This Row],[Net_revenue]]/Table1[[#This Row],[Gross_revenue]]*100%</f>
        <v>0.96249999999999991</v>
      </c>
      <c r="T259" s="18">
        <f>COUNTIFS(Table1[Customer ID], "&gt;1", Table1[Customer ID], 1)</f>
        <v>0</v>
      </c>
    </row>
    <row r="260" spans="1:20" hidden="1" x14ac:dyDescent="0.3">
      <c r="A260" s="2" t="s">
        <v>538</v>
      </c>
      <c r="B260" s="5">
        <v>45810</v>
      </c>
      <c r="C260" s="5" t="str">
        <f>TEXT(B260,"mmm")</f>
        <v>Jun</v>
      </c>
      <c r="D260" s="2" t="s">
        <v>539</v>
      </c>
      <c r="E260" s="2" t="s">
        <v>21</v>
      </c>
      <c r="F260" s="2" t="str" cm="1">
        <f t="array" ref="F2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60" s="2" t="str" cm="1">
        <f t="array" ref="G2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60" s="2" t="s">
        <v>134</v>
      </c>
      <c r="I260" s="2" t="s">
        <v>29</v>
      </c>
      <c r="J260" s="2">
        <v>1</v>
      </c>
      <c r="K260" s="8">
        <v>1499</v>
      </c>
      <c r="L260" s="3">
        <v>0.05</v>
      </c>
      <c r="M260" s="12">
        <f>K260*L260</f>
        <v>74.95</v>
      </c>
      <c r="N260" s="12">
        <f>K260*J260</f>
        <v>1499</v>
      </c>
      <c r="O260" s="12">
        <f>N260-M260</f>
        <v>1424.05</v>
      </c>
      <c r="P260" s="2" t="s">
        <v>30</v>
      </c>
      <c r="Q260" s="2" t="s">
        <v>18</v>
      </c>
      <c r="R260" s="2">
        <v>60</v>
      </c>
      <c r="S260" s="20">
        <f>Table1[[#This Row],[Net_revenue]]/Table1[[#This Row],[Gross_revenue]]*100%</f>
        <v>0.95</v>
      </c>
      <c r="T260" s="18">
        <f>COUNTIFS(Table1[Customer ID], "&gt;1", Table1[Customer ID], 1)</f>
        <v>0</v>
      </c>
    </row>
    <row r="261" spans="1:20" hidden="1" x14ac:dyDescent="0.3">
      <c r="A261" s="2" t="s">
        <v>540</v>
      </c>
      <c r="B261" s="5">
        <v>46003</v>
      </c>
      <c r="C261" s="5" t="str">
        <f>TEXT(B261,"mmm")</f>
        <v>Dec</v>
      </c>
      <c r="D261" s="2" t="s">
        <v>509</v>
      </c>
      <c r="E261" s="2" t="s">
        <v>53</v>
      </c>
      <c r="F261" s="2" t="str" cm="1">
        <f t="array" ref="F2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61" s="2" t="str" cm="1">
        <f t="array" ref="G2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61" s="2" t="s">
        <v>15</v>
      </c>
      <c r="I261" s="2" t="s">
        <v>16</v>
      </c>
      <c r="J261" s="2">
        <v>4</v>
      </c>
      <c r="K261" s="8">
        <v>1799</v>
      </c>
      <c r="L261" s="3">
        <v>0.2</v>
      </c>
      <c r="M261" s="12">
        <f>K261*L261</f>
        <v>359.8</v>
      </c>
      <c r="N261" s="12">
        <f>K261*J261</f>
        <v>7196</v>
      </c>
      <c r="O261" s="12">
        <f>N261-M261</f>
        <v>6836.2</v>
      </c>
      <c r="P261" s="2" t="s">
        <v>45</v>
      </c>
      <c r="Q261" s="2" t="s">
        <v>18</v>
      </c>
      <c r="R261" s="2">
        <v>60</v>
      </c>
      <c r="S261" s="20">
        <f>Table1[[#This Row],[Net_revenue]]/Table1[[#This Row],[Gross_revenue]]*100%</f>
        <v>0.95</v>
      </c>
      <c r="T261" s="18">
        <f>COUNTIFS(Table1[Customer ID], "&gt;1", Table1[Customer ID], 1)</f>
        <v>0</v>
      </c>
    </row>
    <row r="262" spans="1:20" hidden="1" x14ac:dyDescent="0.3">
      <c r="A262" s="2" t="s">
        <v>541</v>
      </c>
      <c r="B262" s="5">
        <v>45817</v>
      </c>
      <c r="C262" s="5" t="str">
        <f>TEXT(B262,"mmm")</f>
        <v>Jun</v>
      </c>
      <c r="D262" s="2" t="s">
        <v>542</v>
      </c>
      <c r="E262" s="2" t="s">
        <v>53</v>
      </c>
      <c r="F262" s="2" t="str" cm="1">
        <f t="array" ref="F2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62" s="2" t="str" cm="1">
        <f t="array" ref="G2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62" s="2" t="s">
        <v>98</v>
      </c>
      <c r="I262" s="2" t="s">
        <v>37</v>
      </c>
      <c r="J262" s="2">
        <v>1</v>
      </c>
      <c r="K262" s="8">
        <v>299</v>
      </c>
      <c r="L262" s="3">
        <v>0.1</v>
      </c>
      <c r="M262" s="12">
        <f>K262*L262</f>
        <v>29.900000000000002</v>
      </c>
      <c r="N262" s="12">
        <f>K262*J262</f>
        <v>299</v>
      </c>
      <c r="O262" s="12">
        <f>N262-M262</f>
        <v>269.10000000000002</v>
      </c>
      <c r="P262" s="2" t="s">
        <v>17</v>
      </c>
      <c r="Q262" s="2" t="s">
        <v>18</v>
      </c>
      <c r="R262" s="2">
        <v>40</v>
      </c>
      <c r="S262" s="20">
        <f>Table1[[#This Row],[Net_revenue]]/Table1[[#This Row],[Gross_revenue]]*100%</f>
        <v>0.9</v>
      </c>
      <c r="T262" s="18">
        <f>COUNTIFS(Table1[Customer ID], "&gt;1", Table1[Customer ID], 1)</f>
        <v>0</v>
      </c>
    </row>
    <row r="263" spans="1:20" hidden="1" x14ac:dyDescent="0.3">
      <c r="A263" s="2" t="s">
        <v>543</v>
      </c>
      <c r="B263" s="5">
        <v>45881</v>
      </c>
      <c r="C263" s="5" t="str">
        <f>TEXT(B263,"mmm")</f>
        <v>Aug</v>
      </c>
      <c r="D263" s="2" t="s">
        <v>296</v>
      </c>
      <c r="E263" s="2" t="s">
        <v>56</v>
      </c>
      <c r="F263" s="2" t="str" cm="1">
        <f t="array" ref="F2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63" s="2" t="str" cm="1">
        <f t="array" ref="G2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63" s="2" t="s">
        <v>71</v>
      </c>
      <c r="I263" s="2" t="s">
        <v>29</v>
      </c>
      <c r="J263" s="2">
        <v>2</v>
      </c>
      <c r="K263" s="8">
        <v>5499</v>
      </c>
      <c r="L263" s="3">
        <v>0.2</v>
      </c>
      <c r="M263" s="12">
        <f>K263*L263</f>
        <v>1099.8</v>
      </c>
      <c r="N263" s="12">
        <f>K263*J263</f>
        <v>10998</v>
      </c>
      <c r="O263" s="12">
        <f>N263-M263</f>
        <v>9898.2000000000007</v>
      </c>
      <c r="P263" s="2" t="s">
        <v>24</v>
      </c>
      <c r="Q263" s="2" t="s">
        <v>18</v>
      </c>
      <c r="R263" s="2">
        <v>80</v>
      </c>
      <c r="S263" s="20">
        <f>Table1[[#This Row],[Net_revenue]]/Table1[[#This Row],[Gross_revenue]]*100%</f>
        <v>0.9</v>
      </c>
      <c r="T263" s="18">
        <f>COUNTIFS(Table1[Customer ID], "&gt;1", Table1[Customer ID], 1)</f>
        <v>0</v>
      </c>
    </row>
    <row r="264" spans="1:20" hidden="1" x14ac:dyDescent="0.3">
      <c r="A264" s="2" t="s">
        <v>544</v>
      </c>
      <c r="B264" s="5">
        <v>45838</v>
      </c>
      <c r="C264" s="5" t="str">
        <f>TEXT(B264,"mmm")</f>
        <v>Jun</v>
      </c>
      <c r="D264" s="2" t="s">
        <v>545</v>
      </c>
      <c r="E264" s="2" t="s">
        <v>40</v>
      </c>
      <c r="F264" s="2" t="str" cm="1">
        <f t="array" ref="F2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64" s="2" t="str" cm="1">
        <f t="array" ref="G2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64" s="2" t="s">
        <v>117</v>
      </c>
      <c r="I264" s="2" t="s">
        <v>23</v>
      </c>
      <c r="J264" s="2">
        <v>1</v>
      </c>
      <c r="K264" s="8">
        <v>2199</v>
      </c>
      <c r="L264" s="3">
        <v>0</v>
      </c>
      <c r="M264" s="12">
        <f>K264*L264</f>
        <v>0</v>
      </c>
      <c r="N264" s="12">
        <f>K264*J264</f>
        <v>2199</v>
      </c>
      <c r="O264" s="12">
        <f>N264-M264</f>
        <v>2199</v>
      </c>
      <c r="P264" s="2" t="s">
        <v>17</v>
      </c>
      <c r="Q264" s="2" t="s">
        <v>72</v>
      </c>
      <c r="R264" s="2">
        <v>0</v>
      </c>
      <c r="S264" s="20">
        <f>Table1[[#This Row],[Net_revenue]]/Table1[[#This Row],[Gross_revenue]]*100%</f>
        <v>1</v>
      </c>
      <c r="T264" s="18">
        <f>COUNTIFS(Table1[Customer ID], "&gt;1", Table1[Customer ID], 1)</f>
        <v>0</v>
      </c>
    </row>
    <row r="265" spans="1:20" hidden="1" x14ac:dyDescent="0.3">
      <c r="A265" s="2" t="s">
        <v>546</v>
      </c>
      <c r="B265" s="5">
        <v>45878</v>
      </c>
      <c r="C265" s="5" t="str">
        <f>TEXT(B265,"mmm")</f>
        <v>Aug</v>
      </c>
      <c r="D265" s="2" t="s">
        <v>547</v>
      </c>
      <c r="E265" s="2" t="s">
        <v>27</v>
      </c>
      <c r="F265" s="2" t="str" cm="1">
        <f t="array" ref="F2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65" s="2" t="str" cm="1">
        <f t="array" ref="G2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65" s="2" t="s">
        <v>28</v>
      </c>
      <c r="I265" s="2" t="s">
        <v>29</v>
      </c>
      <c r="J265" s="2">
        <v>1</v>
      </c>
      <c r="K265" s="8">
        <v>2799</v>
      </c>
      <c r="L265" s="3">
        <v>0.15</v>
      </c>
      <c r="M265" s="12">
        <f>K265*L265</f>
        <v>419.84999999999997</v>
      </c>
      <c r="N265" s="12">
        <f>K265*J265</f>
        <v>2799</v>
      </c>
      <c r="O265" s="12">
        <f>N265-M265</f>
        <v>2379.15</v>
      </c>
      <c r="P265" s="2" t="s">
        <v>17</v>
      </c>
      <c r="Q265" s="2" t="s">
        <v>18</v>
      </c>
      <c r="R265" s="2">
        <v>0</v>
      </c>
      <c r="S265" s="20">
        <f>Table1[[#This Row],[Net_revenue]]/Table1[[#This Row],[Gross_revenue]]*100%</f>
        <v>0.85</v>
      </c>
      <c r="T265" s="18">
        <f>COUNTIFS(Table1[Customer ID], "&gt;1", Table1[Customer ID], 1)</f>
        <v>0</v>
      </c>
    </row>
    <row r="266" spans="1:20" hidden="1" x14ac:dyDescent="0.3">
      <c r="A266" s="2" t="s">
        <v>548</v>
      </c>
      <c r="B266" s="5">
        <v>45671</v>
      </c>
      <c r="C266" s="5" t="str">
        <f>TEXT(B266,"mmm")</f>
        <v>Jan</v>
      </c>
      <c r="D266" s="2" t="s">
        <v>549</v>
      </c>
      <c r="E266" s="2" t="s">
        <v>53</v>
      </c>
      <c r="F266" s="2" t="str" cm="1">
        <f t="array" ref="F2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66" s="2" t="str" cm="1">
        <f t="array" ref="G2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66" s="2" t="s">
        <v>80</v>
      </c>
      <c r="I266" s="2" t="s">
        <v>23</v>
      </c>
      <c r="J266" s="2">
        <v>1</v>
      </c>
      <c r="K266" s="8">
        <v>799</v>
      </c>
      <c r="L266" s="3">
        <v>0.1</v>
      </c>
      <c r="M266" s="12">
        <f>K266*L266</f>
        <v>79.900000000000006</v>
      </c>
      <c r="N266" s="12">
        <f>K266*J266</f>
        <v>799</v>
      </c>
      <c r="O266" s="12">
        <f>N266-M266</f>
        <v>719.1</v>
      </c>
      <c r="P266" s="2" t="s">
        <v>30</v>
      </c>
      <c r="Q266" s="2" t="s">
        <v>18</v>
      </c>
      <c r="R266" s="2">
        <v>60</v>
      </c>
      <c r="S266" s="20">
        <f>Table1[[#This Row],[Net_revenue]]/Table1[[#This Row],[Gross_revenue]]*100%</f>
        <v>0.9</v>
      </c>
      <c r="T266" s="18">
        <f>COUNTIFS(Table1[Customer ID], "&gt;1", Table1[Customer ID], 1)</f>
        <v>0</v>
      </c>
    </row>
    <row r="267" spans="1:20" hidden="1" x14ac:dyDescent="0.3">
      <c r="A267" s="2" t="s">
        <v>550</v>
      </c>
      <c r="B267" s="5">
        <v>45925</v>
      </c>
      <c r="C267" s="5" t="str">
        <f>TEXT(B267,"mmm")</f>
        <v>Sep</v>
      </c>
      <c r="D267" s="2" t="s">
        <v>551</v>
      </c>
      <c r="E267" s="2" t="s">
        <v>21</v>
      </c>
      <c r="F267" s="2" t="str" cm="1">
        <f t="array" ref="F2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67" s="2" t="str" cm="1">
        <f t="array" ref="G2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67" s="2" t="s">
        <v>63</v>
      </c>
      <c r="I267" s="2" t="s">
        <v>23</v>
      </c>
      <c r="J267" s="2">
        <v>1</v>
      </c>
      <c r="K267" s="8">
        <v>2499</v>
      </c>
      <c r="L267" s="3">
        <v>0.25</v>
      </c>
      <c r="M267" s="12">
        <f>K267*L267</f>
        <v>624.75</v>
      </c>
      <c r="N267" s="12">
        <f>K267*J267</f>
        <v>2499</v>
      </c>
      <c r="O267" s="12">
        <f>N267-M267</f>
        <v>1874.25</v>
      </c>
      <c r="P267" s="2" t="s">
        <v>30</v>
      </c>
      <c r="Q267" s="2" t="s">
        <v>50</v>
      </c>
      <c r="R267" s="2">
        <v>40</v>
      </c>
      <c r="S267" s="20">
        <f>Table1[[#This Row],[Net_revenue]]/Table1[[#This Row],[Gross_revenue]]*100%</f>
        <v>0.75</v>
      </c>
      <c r="T267" s="18">
        <f>COUNTIFS(Table1[Customer ID], "&gt;1", Table1[Customer ID], 1)</f>
        <v>0</v>
      </c>
    </row>
    <row r="268" spans="1:20" hidden="1" x14ac:dyDescent="0.3">
      <c r="A268" s="2" t="s">
        <v>552</v>
      </c>
      <c r="B268" s="5">
        <v>45844</v>
      </c>
      <c r="C268" s="5" t="str">
        <f>TEXT(B268,"mmm")</f>
        <v>Jul</v>
      </c>
      <c r="D268" s="2" t="s">
        <v>553</v>
      </c>
      <c r="E268" s="2" t="s">
        <v>21</v>
      </c>
      <c r="F268" s="2" t="str" cm="1">
        <f t="array" ref="F2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68" s="2" t="str" cm="1">
        <f t="array" ref="G2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68" s="2" t="s">
        <v>65</v>
      </c>
      <c r="I268" s="2" t="s">
        <v>23</v>
      </c>
      <c r="J268" s="2">
        <v>1</v>
      </c>
      <c r="K268" s="8">
        <v>1899</v>
      </c>
      <c r="L268" s="3">
        <v>0.1</v>
      </c>
      <c r="M268" s="12">
        <f>K268*L268</f>
        <v>189.9</v>
      </c>
      <c r="N268" s="12">
        <f>K268*J268</f>
        <v>1899</v>
      </c>
      <c r="O268" s="12">
        <f>N268-M268</f>
        <v>1709.1</v>
      </c>
      <c r="P268" s="2" t="s">
        <v>45</v>
      </c>
      <c r="Q268" s="2" t="s">
        <v>18</v>
      </c>
      <c r="R268" s="2">
        <v>80</v>
      </c>
      <c r="S268" s="20">
        <f>Table1[[#This Row],[Net_revenue]]/Table1[[#This Row],[Gross_revenue]]*100%</f>
        <v>0.89999999999999991</v>
      </c>
      <c r="T268" s="18">
        <f>COUNTIFS(Table1[Customer ID], "&gt;1", Table1[Customer ID], 1)</f>
        <v>0</v>
      </c>
    </row>
    <row r="269" spans="1:20" hidden="1" x14ac:dyDescent="0.3">
      <c r="A269" s="2" t="s">
        <v>554</v>
      </c>
      <c r="B269" s="5">
        <v>45900</v>
      </c>
      <c r="C269" s="5" t="str">
        <f>TEXT(B269,"mmm")</f>
        <v>Aug</v>
      </c>
      <c r="D269" s="2" t="s">
        <v>555</v>
      </c>
      <c r="E269" s="2" t="s">
        <v>120</v>
      </c>
      <c r="F269" s="2" t="str" cm="1">
        <f t="array" ref="F2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69" s="2" t="str" cm="1">
        <f t="array" ref="G2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69" s="2" t="s">
        <v>63</v>
      </c>
      <c r="I269" s="2" t="s">
        <v>23</v>
      </c>
      <c r="J269" s="2">
        <v>1</v>
      </c>
      <c r="K269" s="8">
        <v>2499</v>
      </c>
      <c r="L269" s="3">
        <v>0</v>
      </c>
      <c r="M269" s="12">
        <f>K269*L269</f>
        <v>0</v>
      </c>
      <c r="N269" s="12">
        <f>K269*J269</f>
        <v>2499</v>
      </c>
      <c r="O269" s="12">
        <f>N269-M269</f>
        <v>2499</v>
      </c>
      <c r="P269" s="2" t="s">
        <v>17</v>
      </c>
      <c r="Q269" s="2" t="s">
        <v>18</v>
      </c>
      <c r="R269" s="2">
        <v>60</v>
      </c>
      <c r="S269" s="20">
        <f>Table1[[#This Row],[Net_revenue]]/Table1[[#This Row],[Gross_revenue]]*100%</f>
        <v>1</v>
      </c>
      <c r="T269" s="18">
        <f>COUNTIFS(Table1[Customer ID], "&gt;1", Table1[Customer ID], 1)</f>
        <v>0</v>
      </c>
    </row>
    <row r="270" spans="1:20" hidden="1" x14ac:dyDescent="0.3">
      <c r="A270" s="2" t="s">
        <v>556</v>
      </c>
      <c r="B270" s="5">
        <v>45664</v>
      </c>
      <c r="C270" s="5" t="str">
        <f>TEXT(B270,"mmm")</f>
        <v>Jan</v>
      </c>
      <c r="D270" s="2" t="s">
        <v>557</v>
      </c>
      <c r="E270" s="2" t="s">
        <v>27</v>
      </c>
      <c r="F270" s="2" t="str" cm="1">
        <f t="array" ref="F2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70" s="2" t="str" cm="1">
        <f t="array" ref="G2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70" s="2" t="s">
        <v>44</v>
      </c>
      <c r="I270" s="2" t="s">
        <v>16</v>
      </c>
      <c r="J270" s="2">
        <v>1</v>
      </c>
      <c r="K270" s="8">
        <v>1599</v>
      </c>
      <c r="L270" s="3">
        <v>0</v>
      </c>
      <c r="M270" s="12">
        <f>K270*L270</f>
        <v>0</v>
      </c>
      <c r="N270" s="12">
        <f>K270*J270</f>
        <v>1599</v>
      </c>
      <c r="O270" s="12">
        <f>N270-M270</f>
        <v>1599</v>
      </c>
      <c r="P270" s="2" t="s">
        <v>45</v>
      </c>
      <c r="Q270" s="2" t="s">
        <v>18</v>
      </c>
      <c r="R270" s="2">
        <v>60</v>
      </c>
      <c r="S270" s="20">
        <f>Table1[[#This Row],[Net_revenue]]/Table1[[#This Row],[Gross_revenue]]*100%</f>
        <v>1</v>
      </c>
      <c r="T270" s="18">
        <f>COUNTIFS(Table1[Customer ID], "&gt;1", Table1[Customer ID], 1)</f>
        <v>0</v>
      </c>
    </row>
    <row r="271" spans="1:20" hidden="1" x14ac:dyDescent="0.3">
      <c r="A271" s="2" t="s">
        <v>558</v>
      </c>
      <c r="B271" s="5">
        <v>45821</v>
      </c>
      <c r="C271" s="5" t="str">
        <f>TEXT(B271,"mmm")</f>
        <v>Jun</v>
      </c>
      <c r="D271" s="2" t="s">
        <v>559</v>
      </c>
      <c r="E271" s="2" t="s">
        <v>48</v>
      </c>
      <c r="F271" s="2" t="str" cm="1">
        <f t="array" ref="F2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71" s="2" t="str" cm="1">
        <f t="array" ref="G2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71" s="2" t="s">
        <v>28</v>
      </c>
      <c r="I271" s="2" t="s">
        <v>29</v>
      </c>
      <c r="J271" s="2">
        <v>2</v>
      </c>
      <c r="K271" s="8">
        <v>2799</v>
      </c>
      <c r="L271" s="3">
        <v>0.1</v>
      </c>
      <c r="M271" s="12">
        <f>K271*L271</f>
        <v>279.90000000000003</v>
      </c>
      <c r="N271" s="12">
        <f>K271*J271</f>
        <v>5598</v>
      </c>
      <c r="O271" s="12">
        <f>N271-M271</f>
        <v>5318.1</v>
      </c>
      <c r="P271" s="2" t="s">
        <v>45</v>
      </c>
      <c r="Q271" s="2" t="s">
        <v>18</v>
      </c>
      <c r="R271" s="2">
        <v>0</v>
      </c>
      <c r="S271" s="20">
        <f>Table1[[#This Row],[Net_revenue]]/Table1[[#This Row],[Gross_revenue]]*100%</f>
        <v>0.95000000000000007</v>
      </c>
      <c r="T271" s="18">
        <f>COUNTIFS(Table1[Customer ID], "&gt;1", Table1[Customer ID], 1)</f>
        <v>0</v>
      </c>
    </row>
    <row r="272" spans="1:20" hidden="1" x14ac:dyDescent="0.3">
      <c r="A272" s="2" t="s">
        <v>560</v>
      </c>
      <c r="B272" s="5">
        <v>45787</v>
      </c>
      <c r="C272" s="5" t="str">
        <f>TEXT(B272,"mmm")</f>
        <v>May</v>
      </c>
      <c r="D272" s="2" t="s">
        <v>345</v>
      </c>
      <c r="E272" s="2" t="s">
        <v>120</v>
      </c>
      <c r="F272" s="2" t="str" cm="1">
        <f t="array" ref="F2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72" s="2" t="str" cm="1">
        <f t="array" ref="G2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72" s="2" t="s">
        <v>36</v>
      </c>
      <c r="I272" s="2" t="s">
        <v>37</v>
      </c>
      <c r="J272" s="2">
        <v>2</v>
      </c>
      <c r="K272" s="8">
        <v>349</v>
      </c>
      <c r="L272" s="3">
        <v>0</v>
      </c>
      <c r="M272" s="12">
        <f>K272*L272</f>
        <v>0</v>
      </c>
      <c r="N272" s="12">
        <f>K272*J272</f>
        <v>698</v>
      </c>
      <c r="O272" s="12">
        <f>N272-M272</f>
        <v>698</v>
      </c>
      <c r="P272" s="2" t="s">
        <v>45</v>
      </c>
      <c r="Q272" s="2" t="s">
        <v>50</v>
      </c>
      <c r="R272" s="2">
        <v>40</v>
      </c>
      <c r="S272" s="20">
        <f>Table1[[#This Row],[Net_revenue]]/Table1[[#This Row],[Gross_revenue]]*100%</f>
        <v>1</v>
      </c>
      <c r="T272" s="18">
        <f>COUNTIFS(Table1[Customer ID], "&gt;1", Table1[Customer ID], 1)</f>
        <v>0</v>
      </c>
    </row>
    <row r="273" spans="1:20" hidden="1" x14ac:dyDescent="0.3">
      <c r="A273" s="2" t="s">
        <v>561</v>
      </c>
      <c r="B273" s="5">
        <v>45951</v>
      </c>
      <c r="C273" s="5" t="str">
        <f>TEXT(B273,"mmm")</f>
        <v>Oct</v>
      </c>
      <c r="D273" s="2" t="s">
        <v>562</v>
      </c>
      <c r="E273" s="2" t="s">
        <v>195</v>
      </c>
      <c r="F273" s="2" t="str" cm="1">
        <f t="array" ref="F2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273" s="2" t="str" cm="1">
        <f t="array" ref="G2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73" s="2" t="s">
        <v>98</v>
      </c>
      <c r="I273" s="2" t="s">
        <v>37</v>
      </c>
      <c r="J273" s="2">
        <v>1</v>
      </c>
      <c r="K273" s="8">
        <v>299</v>
      </c>
      <c r="L273" s="3">
        <v>0.1</v>
      </c>
      <c r="M273" s="12">
        <f>K273*L273</f>
        <v>29.900000000000002</v>
      </c>
      <c r="N273" s="12">
        <f>K273*J273</f>
        <v>299</v>
      </c>
      <c r="O273" s="12">
        <f>N273-M273</f>
        <v>269.10000000000002</v>
      </c>
      <c r="P273" s="2" t="s">
        <v>45</v>
      </c>
      <c r="Q273" s="2" t="s">
        <v>18</v>
      </c>
      <c r="R273" s="2">
        <v>0</v>
      </c>
      <c r="S273" s="20">
        <f>Table1[[#This Row],[Net_revenue]]/Table1[[#This Row],[Gross_revenue]]*100%</f>
        <v>0.9</v>
      </c>
      <c r="T273" s="18">
        <f>COUNTIFS(Table1[Customer ID], "&gt;1", Table1[Customer ID], 1)</f>
        <v>0</v>
      </c>
    </row>
    <row r="274" spans="1:20" hidden="1" x14ac:dyDescent="0.3">
      <c r="A274" s="2" t="s">
        <v>563</v>
      </c>
      <c r="B274" s="5">
        <v>45783</v>
      </c>
      <c r="C274" s="5" t="str">
        <f>TEXT(B274,"mmm")</f>
        <v>May</v>
      </c>
      <c r="D274" s="2" t="s">
        <v>564</v>
      </c>
      <c r="E274" s="2" t="s">
        <v>21</v>
      </c>
      <c r="F274" s="2" t="str" cm="1">
        <f t="array" ref="F2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74" s="2" t="str" cm="1">
        <f t="array" ref="G2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74" s="2" t="s">
        <v>217</v>
      </c>
      <c r="I274" s="2" t="s">
        <v>29</v>
      </c>
      <c r="J274" s="2">
        <v>2</v>
      </c>
      <c r="K274" s="8">
        <v>3299</v>
      </c>
      <c r="L274" s="3">
        <v>0</v>
      </c>
      <c r="M274" s="12">
        <f>K274*L274</f>
        <v>0</v>
      </c>
      <c r="N274" s="12">
        <f>K274*J274</f>
        <v>6598</v>
      </c>
      <c r="O274" s="12">
        <f>N274-M274</f>
        <v>6598</v>
      </c>
      <c r="P274" s="2" t="s">
        <v>45</v>
      </c>
      <c r="Q274" s="2" t="s">
        <v>18</v>
      </c>
      <c r="R274" s="2">
        <v>80</v>
      </c>
      <c r="S274" s="20">
        <f>Table1[[#This Row],[Net_revenue]]/Table1[[#This Row],[Gross_revenue]]*100%</f>
        <v>1</v>
      </c>
      <c r="T274" s="18">
        <f>COUNTIFS(Table1[Customer ID], "&gt;1", Table1[Customer ID], 1)</f>
        <v>0</v>
      </c>
    </row>
    <row r="275" spans="1:20" hidden="1" x14ac:dyDescent="0.3">
      <c r="A275" s="2" t="s">
        <v>565</v>
      </c>
      <c r="B275" s="5">
        <v>45783</v>
      </c>
      <c r="C275" s="5" t="str">
        <f>TEXT(B275,"mmm")</f>
        <v>May</v>
      </c>
      <c r="D275" s="2" t="s">
        <v>566</v>
      </c>
      <c r="E275" s="2" t="s">
        <v>21</v>
      </c>
      <c r="F275" s="2" t="str" cm="1">
        <f t="array" ref="F2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75" s="2" t="str" cm="1">
        <f t="array" ref="G2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75" s="2" t="s">
        <v>217</v>
      </c>
      <c r="I275" s="2" t="s">
        <v>29</v>
      </c>
      <c r="J275" s="2">
        <v>5</v>
      </c>
      <c r="K275" s="8">
        <v>3299</v>
      </c>
      <c r="L275" s="3">
        <v>0.25</v>
      </c>
      <c r="M275" s="12">
        <f>K275*L275</f>
        <v>824.75</v>
      </c>
      <c r="N275" s="12">
        <f>K275*J275</f>
        <v>16495</v>
      </c>
      <c r="O275" s="12">
        <f>N275-M275</f>
        <v>15670.25</v>
      </c>
      <c r="P275" s="2" t="s">
        <v>45</v>
      </c>
      <c r="Q275" s="2" t="s">
        <v>18</v>
      </c>
      <c r="R275" s="2">
        <v>40</v>
      </c>
      <c r="S275" s="20">
        <f>Table1[[#This Row],[Net_revenue]]/Table1[[#This Row],[Gross_revenue]]*100%</f>
        <v>0.95</v>
      </c>
      <c r="T275" s="18">
        <f>COUNTIFS(Table1[Customer ID], "&gt;1", Table1[Customer ID], 1)</f>
        <v>0</v>
      </c>
    </row>
    <row r="276" spans="1:20" x14ac:dyDescent="0.3">
      <c r="A276" s="2" t="s">
        <v>567</v>
      </c>
      <c r="B276" s="5">
        <v>45862</v>
      </c>
      <c r="C276" s="5" t="str">
        <f>TEXT(B276,"mmm")</f>
        <v>Jul</v>
      </c>
      <c r="D276" s="2" t="s">
        <v>568</v>
      </c>
      <c r="E276" s="2"/>
      <c r="F276" s="2" t="str" cm="1">
        <f t="array" ref="F2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276" s="2" t="str" cm="1">
        <f t="array" ref="G2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276" s="2" t="s">
        <v>94</v>
      </c>
      <c r="I276" s="2" t="s">
        <v>95</v>
      </c>
      <c r="J276" s="2">
        <v>1</v>
      </c>
      <c r="K276" s="8">
        <v>399</v>
      </c>
      <c r="L276" s="3">
        <v>0.1</v>
      </c>
      <c r="M276" s="12">
        <f>K276*L276</f>
        <v>39.900000000000006</v>
      </c>
      <c r="N276" s="12">
        <f>K276*J276</f>
        <v>399</v>
      </c>
      <c r="O276" s="12">
        <f>N276-M276</f>
        <v>359.1</v>
      </c>
      <c r="P276" s="2" t="s">
        <v>45</v>
      </c>
      <c r="Q276" s="2" t="s">
        <v>18</v>
      </c>
      <c r="R276" s="2">
        <v>80</v>
      </c>
      <c r="S276" s="20">
        <f>Table1[[#This Row],[Net_revenue]]/Table1[[#This Row],[Gross_revenue]]*100%</f>
        <v>0.9</v>
      </c>
      <c r="T276" s="18">
        <f>COUNTIFS(Table1[Customer ID], "&gt;1", Table1[Customer ID], 1)</f>
        <v>0</v>
      </c>
    </row>
    <row r="277" spans="1:20" hidden="1" x14ac:dyDescent="0.3">
      <c r="A277" s="2" t="s">
        <v>569</v>
      </c>
      <c r="B277" s="5">
        <v>45819</v>
      </c>
      <c r="C277" s="5" t="str">
        <f>TEXT(B277,"mmm")</f>
        <v>Jun</v>
      </c>
      <c r="D277" s="2" t="s">
        <v>570</v>
      </c>
      <c r="E277" s="2" t="s">
        <v>27</v>
      </c>
      <c r="F277" s="2" t="str" cm="1">
        <f t="array" ref="F2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77" s="2" t="str" cm="1">
        <f t="array" ref="G2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77" s="2" t="s">
        <v>49</v>
      </c>
      <c r="I277" s="2" t="s">
        <v>23</v>
      </c>
      <c r="J277" s="2">
        <v>2</v>
      </c>
      <c r="K277" s="8">
        <v>1299</v>
      </c>
      <c r="L277" s="3">
        <v>0.1</v>
      </c>
      <c r="M277" s="12">
        <f>K277*L277</f>
        <v>129.9</v>
      </c>
      <c r="N277" s="12">
        <f>K277*J277</f>
        <v>2598</v>
      </c>
      <c r="O277" s="12">
        <f>N277-M277</f>
        <v>2468.1</v>
      </c>
      <c r="P277" s="2" t="s">
        <v>45</v>
      </c>
      <c r="Q277" s="2" t="s">
        <v>18</v>
      </c>
      <c r="R277" s="2">
        <v>80</v>
      </c>
      <c r="S277" s="20">
        <f>Table1[[#This Row],[Net_revenue]]/Table1[[#This Row],[Gross_revenue]]*100%</f>
        <v>0.95</v>
      </c>
      <c r="T277" s="18">
        <f>COUNTIFS(Table1[Customer ID], "&gt;1", Table1[Customer ID], 1)</f>
        <v>0</v>
      </c>
    </row>
    <row r="278" spans="1:20" hidden="1" x14ac:dyDescent="0.3">
      <c r="A278" s="2" t="s">
        <v>571</v>
      </c>
      <c r="B278" s="5">
        <v>45890</v>
      </c>
      <c r="C278" s="5" t="str">
        <f>TEXT(B278,"mmm")</f>
        <v>Aug</v>
      </c>
      <c r="D278" s="2" t="s">
        <v>572</v>
      </c>
      <c r="E278" s="2" t="s">
        <v>195</v>
      </c>
      <c r="F278" s="2" t="str" cm="1">
        <f t="array" ref="F2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278" s="2" t="str" cm="1">
        <f t="array" ref="G2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78" s="2" t="s">
        <v>28</v>
      </c>
      <c r="I278" s="2" t="s">
        <v>29</v>
      </c>
      <c r="J278" s="2">
        <v>2</v>
      </c>
      <c r="K278" s="8">
        <v>2799</v>
      </c>
      <c r="L278" s="3">
        <v>0.2</v>
      </c>
      <c r="M278" s="12">
        <f>K278*L278</f>
        <v>559.80000000000007</v>
      </c>
      <c r="N278" s="12">
        <f>K278*J278</f>
        <v>5598</v>
      </c>
      <c r="O278" s="12">
        <f>N278-M278</f>
        <v>5038.2</v>
      </c>
      <c r="P278" s="2" t="s">
        <v>45</v>
      </c>
      <c r="Q278" s="2" t="s">
        <v>18</v>
      </c>
      <c r="R278" s="2">
        <v>40</v>
      </c>
      <c r="S278" s="20">
        <f>Table1[[#This Row],[Net_revenue]]/Table1[[#This Row],[Gross_revenue]]*100%</f>
        <v>0.9</v>
      </c>
      <c r="T278" s="18">
        <f>COUNTIFS(Table1[Customer ID], "&gt;1", Table1[Customer ID], 1)</f>
        <v>0</v>
      </c>
    </row>
    <row r="279" spans="1:20" hidden="1" x14ac:dyDescent="0.3">
      <c r="A279" s="2" t="s">
        <v>573</v>
      </c>
      <c r="B279" s="5">
        <v>45967</v>
      </c>
      <c r="C279" s="5" t="str">
        <f>TEXT(B279,"mmm")</f>
        <v>Nov</v>
      </c>
      <c r="D279" s="2" t="s">
        <v>574</v>
      </c>
      <c r="E279" s="2" t="s">
        <v>27</v>
      </c>
      <c r="F279" s="2" t="str" cm="1">
        <f t="array" ref="F2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79" s="2" t="str" cm="1">
        <f t="array" ref="G2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79" s="2" t="s">
        <v>117</v>
      </c>
      <c r="I279" s="2" t="s">
        <v>23</v>
      </c>
      <c r="J279" s="2">
        <v>1</v>
      </c>
      <c r="K279" s="8">
        <v>2199</v>
      </c>
      <c r="L279" s="3">
        <v>0.25</v>
      </c>
      <c r="M279" s="12">
        <f>K279*L279</f>
        <v>549.75</v>
      </c>
      <c r="N279" s="12">
        <f>K279*J279</f>
        <v>2199</v>
      </c>
      <c r="O279" s="12">
        <f>N279-M279</f>
        <v>1649.25</v>
      </c>
      <c r="P279" s="2" t="s">
        <v>45</v>
      </c>
      <c r="Q279" s="2" t="s">
        <v>18</v>
      </c>
      <c r="R279" s="2">
        <v>60</v>
      </c>
      <c r="S279" s="20">
        <f>Table1[[#This Row],[Net_revenue]]/Table1[[#This Row],[Gross_revenue]]*100%</f>
        <v>0.75</v>
      </c>
      <c r="T279" s="18">
        <f>COUNTIFS(Table1[Customer ID], "&gt;1", Table1[Customer ID], 1)</f>
        <v>0</v>
      </c>
    </row>
    <row r="280" spans="1:20" hidden="1" x14ac:dyDescent="0.3">
      <c r="A280" s="2" t="s">
        <v>575</v>
      </c>
      <c r="B280" s="5">
        <v>45666</v>
      </c>
      <c r="C280" s="5" t="str">
        <f>TEXT(B280,"mmm")</f>
        <v>Jan</v>
      </c>
      <c r="D280" s="2" t="s">
        <v>292</v>
      </c>
      <c r="E280" s="2" t="s">
        <v>27</v>
      </c>
      <c r="F280" s="2" t="str" cm="1">
        <f t="array" ref="F2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80" s="2" t="str" cm="1">
        <f t="array" ref="G2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80" s="2" t="s">
        <v>44</v>
      </c>
      <c r="I280" s="2" t="s">
        <v>16</v>
      </c>
      <c r="J280" s="2">
        <v>1</v>
      </c>
      <c r="K280" s="8">
        <v>1599</v>
      </c>
      <c r="L280" s="3">
        <v>0.2</v>
      </c>
      <c r="M280" s="12">
        <f>K280*L280</f>
        <v>319.8</v>
      </c>
      <c r="N280" s="12">
        <f>K280*J280</f>
        <v>1599</v>
      </c>
      <c r="O280" s="12">
        <f>N280-M280</f>
        <v>1279.2</v>
      </c>
      <c r="P280" s="2" t="s">
        <v>45</v>
      </c>
      <c r="Q280" s="2" t="s">
        <v>18</v>
      </c>
      <c r="R280" s="2">
        <v>80</v>
      </c>
      <c r="S280" s="20">
        <f>Table1[[#This Row],[Net_revenue]]/Table1[[#This Row],[Gross_revenue]]*100%</f>
        <v>0.8</v>
      </c>
      <c r="T280" s="18">
        <f>COUNTIFS(Table1[Customer ID], "&gt;1", Table1[Customer ID], 1)</f>
        <v>0</v>
      </c>
    </row>
    <row r="281" spans="1:20" hidden="1" x14ac:dyDescent="0.3">
      <c r="A281" s="2" t="s">
        <v>576</v>
      </c>
      <c r="B281" s="5">
        <v>45880</v>
      </c>
      <c r="C281" s="5" t="str">
        <f>TEXT(B281,"mmm")</f>
        <v>Aug</v>
      </c>
      <c r="D281" s="2" t="s">
        <v>577</v>
      </c>
      <c r="E281" s="2" t="s">
        <v>14</v>
      </c>
      <c r="F281" s="2" t="str" cm="1">
        <f t="array" ref="F2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81" s="2" t="str" cm="1">
        <f t="array" ref="G2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81" s="2" t="s">
        <v>63</v>
      </c>
      <c r="I281" s="2" t="s">
        <v>23</v>
      </c>
      <c r="J281" s="2">
        <v>1</v>
      </c>
      <c r="K281" s="8">
        <v>2499</v>
      </c>
      <c r="L281" s="3">
        <v>0</v>
      </c>
      <c r="M281" s="12">
        <f>K281*L281</f>
        <v>0</v>
      </c>
      <c r="N281" s="12">
        <f>K281*J281</f>
        <v>2499</v>
      </c>
      <c r="O281" s="12">
        <f>N281-M281</f>
        <v>2499</v>
      </c>
      <c r="P281" s="2" t="s">
        <v>45</v>
      </c>
      <c r="Q281" s="2" t="s">
        <v>50</v>
      </c>
      <c r="R281" s="2">
        <v>60</v>
      </c>
      <c r="S281" s="20">
        <f>Table1[[#This Row],[Net_revenue]]/Table1[[#This Row],[Gross_revenue]]*100%</f>
        <v>1</v>
      </c>
      <c r="T281" s="18">
        <f>COUNTIFS(Table1[Customer ID], "&gt;1", Table1[Customer ID], 1)</f>
        <v>0</v>
      </c>
    </row>
    <row r="282" spans="1:20" hidden="1" x14ac:dyDescent="0.3">
      <c r="A282" s="2" t="s">
        <v>578</v>
      </c>
      <c r="B282" s="5">
        <v>45902</v>
      </c>
      <c r="C282" s="5" t="str">
        <f>TEXT(B282,"mmm")</f>
        <v>Sep</v>
      </c>
      <c r="D282" s="2" t="s">
        <v>579</v>
      </c>
      <c r="E282" s="2" t="s">
        <v>56</v>
      </c>
      <c r="F282" s="2" t="str" cm="1">
        <f t="array" ref="F2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82" s="2" t="str" cm="1">
        <f t="array" ref="G2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82" s="2" t="s">
        <v>28</v>
      </c>
      <c r="I282" s="2" t="s">
        <v>29</v>
      </c>
      <c r="J282" s="2">
        <v>1</v>
      </c>
      <c r="K282" s="8">
        <v>2799</v>
      </c>
      <c r="L282" s="3">
        <v>0.1</v>
      </c>
      <c r="M282" s="12">
        <f>K282*L282</f>
        <v>279.90000000000003</v>
      </c>
      <c r="N282" s="12">
        <f>K282*J282</f>
        <v>2799</v>
      </c>
      <c r="O282" s="12">
        <f>N282-M282</f>
        <v>2519.1</v>
      </c>
      <c r="P282" s="2" t="s">
        <v>24</v>
      </c>
      <c r="Q282" s="2" t="s">
        <v>18</v>
      </c>
      <c r="R282" s="2">
        <v>40</v>
      </c>
      <c r="S282" s="20">
        <f>Table1[[#This Row],[Net_revenue]]/Table1[[#This Row],[Gross_revenue]]*100%</f>
        <v>0.9</v>
      </c>
      <c r="T282" s="18">
        <f>COUNTIFS(Table1[Customer ID], "&gt;1", Table1[Customer ID], 1)</f>
        <v>0</v>
      </c>
    </row>
    <row r="283" spans="1:20" hidden="1" x14ac:dyDescent="0.3">
      <c r="A283" s="2" t="s">
        <v>580</v>
      </c>
      <c r="B283" s="5">
        <v>45824</v>
      </c>
      <c r="C283" s="5" t="str">
        <f>TEXT(B283,"mmm")</f>
        <v>Jun</v>
      </c>
      <c r="D283" s="2" t="s">
        <v>581</v>
      </c>
      <c r="E283" s="2" t="s">
        <v>75</v>
      </c>
      <c r="F283" s="2" t="str" cm="1">
        <f t="array" ref="F2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283" s="2" t="str" cm="1">
        <f t="array" ref="G2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83" s="2" t="s">
        <v>28</v>
      </c>
      <c r="I283" s="2" t="s">
        <v>29</v>
      </c>
      <c r="J283" s="2">
        <v>1</v>
      </c>
      <c r="K283" s="8">
        <v>2799</v>
      </c>
      <c r="L283" s="3">
        <v>0</v>
      </c>
      <c r="M283" s="12">
        <f>K283*L283</f>
        <v>0</v>
      </c>
      <c r="N283" s="12">
        <f>K283*J283</f>
        <v>2799</v>
      </c>
      <c r="O283" s="12">
        <f>N283-M283</f>
        <v>2799</v>
      </c>
      <c r="P283" s="2" t="s">
        <v>45</v>
      </c>
      <c r="Q283" s="2" t="s">
        <v>18</v>
      </c>
      <c r="R283" s="2">
        <v>80</v>
      </c>
      <c r="S283" s="20">
        <f>Table1[[#This Row],[Net_revenue]]/Table1[[#This Row],[Gross_revenue]]*100%</f>
        <v>1</v>
      </c>
      <c r="T283" s="18">
        <f>COUNTIFS(Table1[Customer ID], "&gt;1", Table1[Customer ID], 1)</f>
        <v>0</v>
      </c>
    </row>
    <row r="284" spans="1:20" hidden="1" x14ac:dyDescent="0.3">
      <c r="A284" s="2" t="s">
        <v>582</v>
      </c>
      <c r="B284" s="5">
        <v>45873</v>
      </c>
      <c r="C284" s="5" t="str">
        <f>TEXT(B284,"mmm")</f>
        <v>Aug</v>
      </c>
      <c r="D284" s="2" t="s">
        <v>194</v>
      </c>
      <c r="E284" s="2" t="s">
        <v>56</v>
      </c>
      <c r="F284" s="2" t="str" cm="1">
        <f t="array" ref="F2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84" s="2" t="str" cm="1">
        <f t="array" ref="G2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84" s="2" t="s">
        <v>134</v>
      </c>
      <c r="I284" s="2" t="s">
        <v>29</v>
      </c>
      <c r="J284" s="2">
        <v>1</v>
      </c>
      <c r="K284" s="8">
        <v>1499</v>
      </c>
      <c r="L284" s="3">
        <v>0.05</v>
      </c>
      <c r="M284" s="12">
        <f>K284*L284</f>
        <v>74.95</v>
      </c>
      <c r="N284" s="12">
        <f>K284*J284</f>
        <v>1499</v>
      </c>
      <c r="O284" s="12">
        <f>N284-M284</f>
        <v>1424.05</v>
      </c>
      <c r="P284" s="2" t="s">
        <v>24</v>
      </c>
      <c r="Q284" s="2" t="s">
        <v>50</v>
      </c>
      <c r="R284" s="2">
        <v>0</v>
      </c>
      <c r="S284" s="20">
        <f>Table1[[#This Row],[Net_revenue]]/Table1[[#This Row],[Gross_revenue]]*100%</f>
        <v>0.95</v>
      </c>
      <c r="T284" s="18">
        <f>COUNTIFS(Table1[Customer ID], "&gt;1", Table1[Customer ID], 1)</f>
        <v>0</v>
      </c>
    </row>
    <row r="285" spans="1:20" hidden="1" x14ac:dyDescent="0.3">
      <c r="A285" s="2" t="s">
        <v>583</v>
      </c>
      <c r="B285" s="5">
        <v>45879</v>
      </c>
      <c r="C285" s="5" t="str">
        <f>TEXT(B285,"mmm")</f>
        <v>Aug</v>
      </c>
      <c r="D285" s="2" t="s">
        <v>379</v>
      </c>
      <c r="E285" s="2" t="s">
        <v>120</v>
      </c>
      <c r="F285" s="2" t="str" cm="1">
        <f t="array" ref="F2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85" s="2" t="str" cm="1">
        <f t="array" ref="G2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85" s="2" t="s">
        <v>98</v>
      </c>
      <c r="I285" s="2" t="s">
        <v>37</v>
      </c>
      <c r="J285" s="2">
        <v>1</v>
      </c>
      <c r="K285" s="8">
        <v>299</v>
      </c>
      <c r="L285" s="3">
        <v>0</v>
      </c>
      <c r="M285" s="12">
        <f>K285*L285</f>
        <v>0</v>
      </c>
      <c r="N285" s="12">
        <f>K285*J285</f>
        <v>299</v>
      </c>
      <c r="O285" s="12">
        <f>N285-M285</f>
        <v>299</v>
      </c>
      <c r="P285" s="2" t="s">
        <v>30</v>
      </c>
      <c r="Q285" s="2" t="s">
        <v>18</v>
      </c>
      <c r="R285" s="2">
        <v>80</v>
      </c>
      <c r="S285" s="20">
        <f>Table1[[#This Row],[Net_revenue]]/Table1[[#This Row],[Gross_revenue]]*100%</f>
        <v>1</v>
      </c>
      <c r="T285" s="18">
        <f>COUNTIFS(Table1[Customer ID], "&gt;1", Table1[Customer ID], 1)</f>
        <v>0</v>
      </c>
    </row>
    <row r="286" spans="1:20" hidden="1" x14ac:dyDescent="0.3">
      <c r="A286" s="2" t="s">
        <v>584</v>
      </c>
      <c r="B286" s="5">
        <v>45841</v>
      </c>
      <c r="C286" s="5" t="str">
        <f>TEXT(B286,"mmm")</f>
        <v>Jul</v>
      </c>
      <c r="D286" s="2" t="s">
        <v>585</v>
      </c>
      <c r="E286" s="2" t="s">
        <v>21</v>
      </c>
      <c r="F286" s="2" t="str" cm="1">
        <f t="array" ref="F2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86" s="2" t="str" cm="1">
        <f t="array" ref="G2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86" s="2" t="s">
        <v>217</v>
      </c>
      <c r="I286" s="2" t="s">
        <v>29</v>
      </c>
      <c r="J286" s="2">
        <v>1</v>
      </c>
      <c r="K286" s="8">
        <v>3299</v>
      </c>
      <c r="L286" s="3">
        <v>0</v>
      </c>
      <c r="M286" s="12">
        <f>K286*L286</f>
        <v>0</v>
      </c>
      <c r="N286" s="12">
        <f>K286*J286</f>
        <v>3299</v>
      </c>
      <c r="O286" s="12">
        <f>N286-M286</f>
        <v>3299</v>
      </c>
      <c r="P286" s="2" t="s">
        <v>45</v>
      </c>
      <c r="Q286" s="2" t="s">
        <v>18</v>
      </c>
      <c r="R286" s="2">
        <v>40</v>
      </c>
      <c r="S286" s="20">
        <f>Table1[[#This Row],[Net_revenue]]/Table1[[#This Row],[Gross_revenue]]*100%</f>
        <v>1</v>
      </c>
      <c r="T286" s="18">
        <f>COUNTIFS(Table1[Customer ID], "&gt;1", Table1[Customer ID], 1)</f>
        <v>0</v>
      </c>
    </row>
    <row r="287" spans="1:20" hidden="1" x14ac:dyDescent="0.3">
      <c r="A287" s="2" t="s">
        <v>586</v>
      </c>
      <c r="B287" s="5">
        <v>45718</v>
      </c>
      <c r="C287" s="5" t="str">
        <f>TEXT(B287,"mmm")</f>
        <v>Mar</v>
      </c>
      <c r="D287" s="2" t="s">
        <v>587</v>
      </c>
      <c r="E287" s="2" t="s">
        <v>40</v>
      </c>
      <c r="F287" s="2" t="str" cm="1">
        <f t="array" ref="F2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87" s="2" t="str" cm="1">
        <f t="array" ref="G2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87" s="2" t="s">
        <v>80</v>
      </c>
      <c r="I287" s="2" t="s">
        <v>23</v>
      </c>
      <c r="J287" s="2">
        <v>2</v>
      </c>
      <c r="K287" s="8">
        <v>799</v>
      </c>
      <c r="L287" s="3">
        <v>0</v>
      </c>
      <c r="M287" s="12">
        <f>K287*L287</f>
        <v>0</v>
      </c>
      <c r="N287" s="12">
        <f>K287*J287</f>
        <v>1598</v>
      </c>
      <c r="O287" s="12">
        <f>N287-M287</f>
        <v>1598</v>
      </c>
      <c r="P287" s="2" t="s">
        <v>17</v>
      </c>
      <c r="Q287" s="2" t="s">
        <v>50</v>
      </c>
      <c r="R287" s="2">
        <v>0</v>
      </c>
      <c r="S287" s="20">
        <f>Table1[[#This Row],[Net_revenue]]/Table1[[#This Row],[Gross_revenue]]*100%</f>
        <v>1</v>
      </c>
      <c r="T287" s="18">
        <f>COUNTIFS(Table1[Customer ID], "&gt;1", Table1[Customer ID], 1)</f>
        <v>0</v>
      </c>
    </row>
    <row r="288" spans="1:20" hidden="1" x14ac:dyDescent="0.3">
      <c r="A288" s="2" t="s">
        <v>588</v>
      </c>
      <c r="B288" s="5">
        <v>45827</v>
      </c>
      <c r="C288" s="5" t="str">
        <f>TEXT(B288,"mmm")</f>
        <v>Jun</v>
      </c>
      <c r="D288" s="2" t="s">
        <v>392</v>
      </c>
      <c r="E288" s="2" t="s">
        <v>40</v>
      </c>
      <c r="F288" s="2" t="str" cm="1">
        <f t="array" ref="F2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288" s="2" t="str" cm="1">
        <f t="array" ref="G2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88" s="2" t="s">
        <v>134</v>
      </c>
      <c r="I288" s="2" t="s">
        <v>29</v>
      </c>
      <c r="J288" s="2">
        <v>2</v>
      </c>
      <c r="K288" s="8">
        <v>1499</v>
      </c>
      <c r="L288" s="3">
        <v>0.1</v>
      </c>
      <c r="M288" s="12">
        <f>K288*L288</f>
        <v>149.9</v>
      </c>
      <c r="N288" s="12">
        <f>K288*J288</f>
        <v>2998</v>
      </c>
      <c r="O288" s="12">
        <f>N288-M288</f>
        <v>2848.1</v>
      </c>
      <c r="P288" s="2" t="s">
        <v>30</v>
      </c>
      <c r="Q288" s="2" t="s">
        <v>18</v>
      </c>
      <c r="R288" s="2">
        <v>40</v>
      </c>
      <c r="S288" s="20">
        <f>Table1[[#This Row],[Net_revenue]]/Table1[[#This Row],[Gross_revenue]]*100%</f>
        <v>0.95</v>
      </c>
      <c r="T288" s="18">
        <f>COUNTIFS(Table1[Customer ID], "&gt;1", Table1[Customer ID], 1)</f>
        <v>0</v>
      </c>
    </row>
    <row r="289" spans="1:20" hidden="1" x14ac:dyDescent="0.3">
      <c r="A289" s="2" t="s">
        <v>589</v>
      </c>
      <c r="B289" s="5">
        <v>45672</v>
      </c>
      <c r="C289" s="5" t="str">
        <f>TEXT(B289,"mmm")</f>
        <v>Jan</v>
      </c>
      <c r="D289" s="2" t="s">
        <v>590</v>
      </c>
      <c r="E289" s="2" t="s">
        <v>27</v>
      </c>
      <c r="F289" s="2" t="str" cm="1">
        <f t="array" ref="F2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89" s="2" t="str" cm="1">
        <f t="array" ref="G2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89" s="2" t="s">
        <v>107</v>
      </c>
      <c r="I289" s="2" t="s">
        <v>95</v>
      </c>
      <c r="J289" s="2">
        <v>3</v>
      </c>
      <c r="K289" s="8">
        <v>1599</v>
      </c>
      <c r="L289" s="3">
        <v>0.25</v>
      </c>
      <c r="M289" s="12">
        <f>K289*L289</f>
        <v>399.75</v>
      </c>
      <c r="N289" s="12">
        <f>K289*J289</f>
        <v>4797</v>
      </c>
      <c r="O289" s="12">
        <f>N289-M289</f>
        <v>4397.25</v>
      </c>
      <c r="P289" s="2" t="s">
        <v>24</v>
      </c>
      <c r="Q289" s="2" t="s">
        <v>18</v>
      </c>
      <c r="R289" s="2">
        <v>40</v>
      </c>
      <c r="S289" s="20">
        <f>Table1[[#This Row],[Net_revenue]]/Table1[[#This Row],[Gross_revenue]]*100%</f>
        <v>0.91666666666666663</v>
      </c>
      <c r="T289" s="18">
        <f>COUNTIFS(Table1[Customer ID], "&gt;1", Table1[Customer ID], 1)</f>
        <v>0</v>
      </c>
    </row>
    <row r="290" spans="1:20" hidden="1" x14ac:dyDescent="0.3">
      <c r="A290" s="2" t="s">
        <v>591</v>
      </c>
      <c r="B290" s="5">
        <v>45987</v>
      </c>
      <c r="C290" s="5" t="str">
        <f>TEXT(B290,"mmm")</f>
        <v>Nov</v>
      </c>
      <c r="D290" s="2" t="s">
        <v>592</v>
      </c>
      <c r="E290" s="2" t="s">
        <v>75</v>
      </c>
      <c r="F290" s="2" t="str" cm="1">
        <f t="array" ref="F2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290" s="2" t="str" cm="1">
        <f t="array" ref="G2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90" s="2" t="s">
        <v>15</v>
      </c>
      <c r="I290" s="2" t="s">
        <v>16</v>
      </c>
      <c r="J290" s="2">
        <v>3</v>
      </c>
      <c r="K290" s="8">
        <v>1799</v>
      </c>
      <c r="L290" s="3">
        <v>0.25</v>
      </c>
      <c r="M290" s="12">
        <f>K290*L290</f>
        <v>449.75</v>
      </c>
      <c r="N290" s="12">
        <f>K290*J290</f>
        <v>5397</v>
      </c>
      <c r="O290" s="12">
        <f>N290-M290</f>
        <v>4947.25</v>
      </c>
      <c r="P290" s="2" t="s">
        <v>17</v>
      </c>
      <c r="Q290" s="2" t="s">
        <v>18</v>
      </c>
      <c r="R290" s="2">
        <v>40</v>
      </c>
      <c r="S290" s="20">
        <f>Table1[[#This Row],[Net_revenue]]/Table1[[#This Row],[Gross_revenue]]*100%</f>
        <v>0.91666666666666663</v>
      </c>
      <c r="T290" s="18">
        <f>COUNTIFS(Table1[Customer ID], "&gt;1", Table1[Customer ID], 1)</f>
        <v>0</v>
      </c>
    </row>
    <row r="291" spans="1:20" hidden="1" x14ac:dyDescent="0.3">
      <c r="A291" s="2" t="s">
        <v>593</v>
      </c>
      <c r="B291" s="5">
        <v>46019</v>
      </c>
      <c r="C291" s="5" t="str">
        <f>TEXT(B291,"mmm")</f>
        <v>Dec</v>
      </c>
      <c r="D291" s="2" t="s">
        <v>574</v>
      </c>
      <c r="E291" s="2" t="s">
        <v>48</v>
      </c>
      <c r="F291" s="2" t="str" cm="1">
        <f t="array" ref="F2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91" s="2" t="str" cm="1">
        <f t="array" ref="G2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91" s="2" t="s">
        <v>15</v>
      </c>
      <c r="I291" s="2" t="s">
        <v>16</v>
      </c>
      <c r="J291" s="2">
        <v>1</v>
      </c>
      <c r="K291" s="8">
        <v>1799</v>
      </c>
      <c r="L291" s="3">
        <v>0.15</v>
      </c>
      <c r="M291" s="12">
        <f>K291*L291</f>
        <v>269.84999999999997</v>
      </c>
      <c r="N291" s="12">
        <f>K291*J291</f>
        <v>1799</v>
      </c>
      <c r="O291" s="12">
        <f>N291-M291</f>
        <v>1529.15</v>
      </c>
      <c r="P291" s="2" t="s">
        <v>45</v>
      </c>
      <c r="Q291" s="2" t="s">
        <v>18</v>
      </c>
      <c r="R291" s="2">
        <v>80</v>
      </c>
      <c r="S291" s="20">
        <f>Table1[[#This Row],[Net_revenue]]/Table1[[#This Row],[Gross_revenue]]*100%</f>
        <v>0.85000000000000009</v>
      </c>
      <c r="T291" s="18">
        <f>COUNTIFS(Table1[Customer ID], "&gt;1", Table1[Customer ID], 1)</f>
        <v>0</v>
      </c>
    </row>
    <row r="292" spans="1:20" hidden="1" x14ac:dyDescent="0.3">
      <c r="A292" s="2" t="s">
        <v>594</v>
      </c>
      <c r="B292" s="5">
        <v>46014</v>
      </c>
      <c r="C292" s="5" t="str">
        <f>TEXT(B292,"mmm")</f>
        <v>Dec</v>
      </c>
      <c r="D292" s="2" t="s">
        <v>534</v>
      </c>
      <c r="E292" s="2" t="s">
        <v>21</v>
      </c>
      <c r="F292" s="2" t="str" cm="1">
        <f t="array" ref="F2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292" s="2" t="str" cm="1">
        <f t="array" ref="G2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92" s="2" t="s">
        <v>71</v>
      </c>
      <c r="I292" s="2" t="s">
        <v>29</v>
      </c>
      <c r="J292" s="2">
        <v>2</v>
      </c>
      <c r="K292" s="8">
        <v>5499</v>
      </c>
      <c r="L292" s="3">
        <v>0</v>
      </c>
      <c r="M292" s="12">
        <f>K292*L292</f>
        <v>0</v>
      </c>
      <c r="N292" s="12">
        <f>K292*J292</f>
        <v>10998</v>
      </c>
      <c r="O292" s="12">
        <f>N292-M292</f>
        <v>10998</v>
      </c>
      <c r="P292" s="2" t="s">
        <v>45</v>
      </c>
      <c r="Q292" s="2" t="s">
        <v>18</v>
      </c>
      <c r="R292" s="2">
        <v>60</v>
      </c>
      <c r="S292" s="20">
        <f>Table1[[#This Row],[Net_revenue]]/Table1[[#This Row],[Gross_revenue]]*100%</f>
        <v>1</v>
      </c>
      <c r="T292" s="18">
        <f>COUNTIFS(Table1[Customer ID], "&gt;1", Table1[Customer ID], 1)</f>
        <v>0</v>
      </c>
    </row>
    <row r="293" spans="1:20" hidden="1" x14ac:dyDescent="0.3">
      <c r="A293" s="2" t="s">
        <v>595</v>
      </c>
      <c r="B293" s="5">
        <v>45965</v>
      </c>
      <c r="C293" s="5" t="str">
        <f>TEXT(B293,"mmm")</f>
        <v>Nov</v>
      </c>
      <c r="D293" s="2" t="s">
        <v>347</v>
      </c>
      <c r="E293" s="2" t="s">
        <v>195</v>
      </c>
      <c r="F293" s="2" t="str" cm="1">
        <f t="array" ref="F2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293" s="2" t="str" cm="1">
        <f t="array" ref="G2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293" s="2" t="s">
        <v>89</v>
      </c>
      <c r="I293" s="2" t="s">
        <v>29</v>
      </c>
      <c r="J293" s="2">
        <v>1</v>
      </c>
      <c r="K293" s="8">
        <v>449</v>
      </c>
      <c r="L293" s="3">
        <v>0.2</v>
      </c>
      <c r="M293" s="12">
        <f>K293*L293</f>
        <v>89.800000000000011</v>
      </c>
      <c r="N293" s="12">
        <f>K293*J293</f>
        <v>449</v>
      </c>
      <c r="O293" s="12">
        <f>N293-M293</f>
        <v>359.2</v>
      </c>
      <c r="P293" s="2" t="s">
        <v>17</v>
      </c>
      <c r="Q293" s="2" t="s">
        <v>72</v>
      </c>
      <c r="R293" s="2">
        <v>60</v>
      </c>
      <c r="S293" s="20">
        <f>Table1[[#This Row],[Net_revenue]]/Table1[[#This Row],[Gross_revenue]]*100%</f>
        <v>0.79999999999999993</v>
      </c>
      <c r="T293" s="18">
        <f>COUNTIFS(Table1[Customer ID], "&gt;1", Table1[Customer ID], 1)</f>
        <v>0</v>
      </c>
    </row>
    <row r="294" spans="1:20" hidden="1" x14ac:dyDescent="0.3">
      <c r="A294" s="2" t="s">
        <v>596</v>
      </c>
      <c r="B294" s="5">
        <v>46014</v>
      </c>
      <c r="C294" s="5" t="str">
        <f>TEXT(B294,"mmm")</f>
        <v>Dec</v>
      </c>
      <c r="D294" s="2" t="s">
        <v>597</v>
      </c>
      <c r="E294" s="2" t="s">
        <v>56</v>
      </c>
      <c r="F294" s="2" t="str" cm="1">
        <f t="array" ref="F2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94" s="2" t="str" cm="1">
        <f t="array" ref="G2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94" s="2" t="s">
        <v>63</v>
      </c>
      <c r="I294" s="2" t="s">
        <v>23</v>
      </c>
      <c r="J294" s="2">
        <v>1</v>
      </c>
      <c r="K294" s="8">
        <v>2499</v>
      </c>
      <c r="L294" s="3">
        <v>0.15</v>
      </c>
      <c r="M294" s="12">
        <f>K294*L294</f>
        <v>374.84999999999997</v>
      </c>
      <c r="N294" s="12">
        <f>K294*J294</f>
        <v>2499</v>
      </c>
      <c r="O294" s="12">
        <f>N294-M294</f>
        <v>2124.15</v>
      </c>
      <c r="P294" s="2" t="s">
        <v>45</v>
      </c>
      <c r="Q294" s="2" t="s">
        <v>18</v>
      </c>
      <c r="R294" s="2">
        <v>60</v>
      </c>
      <c r="S294" s="20">
        <f>Table1[[#This Row],[Net_revenue]]/Table1[[#This Row],[Gross_revenue]]*100%</f>
        <v>0.85000000000000009</v>
      </c>
      <c r="T294" s="18">
        <f>COUNTIFS(Table1[Customer ID], "&gt;1", Table1[Customer ID], 1)</f>
        <v>0</v>
      </c>
    </row>
    <row r="295" spans="1:20" hidden="1" x14ac:dyDescent="0.3">
      <c r="A295" s="2" t="s">
        <v>598</v>
      </c>
      <c r="B295" s="5">
        <v>45811</v>
      </c>
      <c r="C295" s="5" t="str">
        <f>TEXT(B295,"mmm")</f>
        <v>Jun</v>
      </c>
      <c r="D295" s="2" t="s">
        <v>599</v>
      </c>
      <c r="E295" s="2" t="s">
        <v>27</v>
      </c>
      <c r="F295" s="2" t="str" cm="1">
        <f t="array" ref="F2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295" s="2" t="str" cm="1">
        <f t="array" ref="G2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95" s="2" t="s">
        <v>22</v>
      </c>
      <c r="I295" s="2" t="s">
        <v>23</v>
      </c>
      <c r="J295" s="2">
        <v>1</v>
      </c>
      <c r="K295" s="8">
        <v>3999</v>
      </c>
      <c r="L295" s="3">
        <v>0.1</v>
      </c>
      <c r="M295" s="12">
        <f>K295*L295</f>
        <v>399.90000000000003</v>
      </c>
      <c r="N295" s="12">
        <f>K295*J295</f>
        <v>3999</v>
      </c>
      <c r="O295" s="12">
        <f>N295-M295</f>
        <v>3599.1</v>
      </c>
      <c r="P295" s="2" t="s">
        <v>45</v>
      </c>
      <c r="Q295" s="2" t="s">
        <v>18</v>
      </c>
      <c r="R295" s="2">
        <v>0</v>
      </c>
      <c r="S295" s="20">
        <f>Table1[[#This Row],[Net_revenue]]/Table1[[#This Row],[Gross_revenue]]*100%</f>
        <v>0.9</v>
      </c>
      <c r="T295" s="18">
        <f>COUNTIFS(Table1[Customer ID], "&gt;1", Table1[Customer ID], 1)</f>
        <v>0</v>
      </c>
    </row>
    <row r="296" spans="1:20" hidden="1" x14ac:dyDescent="0.3">
      <c r="A296" s="2" t="s">
        <v>600</v>
      </c>
      <c r="B296" s="5">
        <v>45898</v>
      </c>
      <c r="C296" s="5" t="str">
        <f>TEXT(B296,"mmm")</f>
        <v>Aug</v>
      </c>
      <c r="D296" s="2" t="s">
        <v>377</v>
      </c>
      <c r="E296" s="2" t="s">
        <v>14</v>
      </c>
      <c r="F296" s="2" t="str" cm="1">
        <f t="array" ref="F2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96" s="2" t="str" cm="1">
        <f t="array" ref="G2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96" s="2" t="s">
        <v>80</v>
      </c>
      <c r="I296" s="2" t="s">
        <v>23</v>
      </c>
      <c r="J296" s="2">
        <v>1</v>
      </c>
      <c r="K296" s="8">
        <v>799</v>
      </c>
      <c r="L296" s="3">
        <v>0.1</v>
      </c>
      <c r="M296" s="12">
        <f>K296*L296</f>
        <v>79.900000000000006</v>
      </c>
      <c r="N296" s="12">
        <f>K296*J296</f>
        <v>799</v>
      </c>
      <c r="O296" s="12">
        <f>N296-M296</f>
        <v>719.1</v>
      </c>
      <c r="P296" s="2" t="s">
        <v>45</v>
      </c>
      <c r="Q296" s="2" t="s">
        <v>18</v>
      </c>
      <c r="R296" s="2">
        <v>40</v>
      </c>
      <c r="S296" s="20">
        <f>Table1[[#This Row],[Net_revenue]]/Table1[[#This Row],[Gross_revenue]]*100%</f>
        <v>0.9</v>
      </c>
      <c r="T296" s="18">
        <f>COUNTIFS(Table1[Customer ID], "&gt;1", Table1[Customer ID], 1)</f>
        <v>0</v>
      </c>
    </row>
    <row r="297" spans="1:20" hidden="1" x14ac:dyDescent="0.3">
      <c r="A297" s="2" t="s">
        <v>601</v>
      </c>
      <c r="B297" s="5">
        <v>45843</v>
      </c>
      <c r="C297" s="5" t="str">
        <f>TEXT(B297,"mmm")</f>
        <v>Jul</v>
      </c>
      <c r="D297" s="2" t="s">
        <v>602</v>
      </c>
      <c r="E297" s="2" t="s">
        <v>53</v>
      </c>
      <c r="F297" s="2" t="str" cm="1">
        <f t="array" ref="F2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297" s="2" t="str" cm="1">
        <f t="array" ref="G2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297" s="2" t="s">
        <v>44</v>
      </c>
      <c r="I297" s="2" t="s">
        <v>16</v>
      </c>
      <c r="J297" s="2">
        <v>1</v>
      </c>
      <c r="K297" s="8">
        <v>1599</v>
      </c>
      <c r="L297" s="3">
        <v>0.1</v>
      </c>
      <c r="M297" s="12">
        <f>K297*L297</f>
        <v>159.9</v>
      </c>
      <c r="N297" s="12">
        <f>K297*J297</f>
        <v>1599</v>
      </c>
      <c r="O297" s="12">
        <f>N297-M297</f>
        <v>1439.1</v>
      </c>
      <c r="P297" s="2" t="s">
        <v>30</v>
      </c>
      <c r="Q297" s="2" t="s">
        <v>18</v>
      </c>
      <c r="R297" s="2">
        <v>40</v>
      </c>
      <c r="S297" s="20">
        <f>Table1[[#This Row],[Net_revenue]]/Table1[[#This Row],[Gross_revenue]]*100%</f>
        <v>0.89999999999999991</v>
      </c>
      <c r="T297" s="18">
        <f>COUNTIFS(Table1[Customer ID], "&gt;1", Table1[Customer ID], 1)</f>
        <v>0</v>
      </c>
    </row>
    <row r="298" spans="1:20" hidden="1" x14ac:dyDescent="0.3">
      <c r="A298" s="2" t="s">
        <v>603</v>
      </c>
      <c r="B298" s="5">
        <v>45812</v>
      </c>
      <c r="C298" s="5" t="str">
        <f>TEXT(B298,"mmm")</f>
        <v>Jun</v>
      </c>
      <c r="D298" s="2" t="s">
        <v>604</v>
      </c>
      <c r="E298" s="2" t="s">
        <v>48</v>
      </c>
      <c r="F298" s="2" t="str" cm="1">
        <f t="array" ref="F2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98" s="2" t="str" cm="1">
        <f t="array" ref="G2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98" s="2" t="s">
        <v>22</v>
      </c>
      <c r="I298" s="2" t="s">
        <v>23</v>
      </c>
      <c r="J298" s="2">
        <v>1</v>
      </c>
      <c r="K298" s="8">
        <v>3999</v>
      </c>
      <c r="L298" s="3">
        <v>0.2</v>
      </c>
      <c r="M298" s="12">
        <f>K298*L298</f>
        <v>799.80000000000007</v>
      </c>
      <c r="N298" s="12">
        <f>K298*J298</f>
        <v>3999</v>
      </c>
      <c r="O298" s="12">
        <f>N298-M298</f>
        <v>3199.2</v>
      </c>
      <c r="P298" s="2" t="s">
        <v>17</v>
      </c>
      <c r="Q298" s="2" t="s">
        <v>18</v>
      </c>
      <c r="R298" s="2">
        <v>60</v>
      </c>
      <c r="S298" s="20">
        <f>Table1[[#This Row],[Net_revenue]]/Table1[[#This Row],[Gross_revenue]]*100%</f>
        <v>0.79999999999999993</v>
      </c>
      <c r="T298" s="18">
        <f>COUNTIFS(Table1[Customer ID], "&gt;1", Table1[Customer ID], 1)</f>
        <v>0</v>
      </c>
    </row>
    <row r="299" spans="1:20" hidden="1" x14ac:dyDescent="0.3">
      <c r="A299" s="2" t="s">
        <v>605</v>
      </c>
      <c r="B299" s="5">
        <v>46012</v>
      </c>
      <c r="C299" s="5" t="str">
        <f>TEXT(B299,"mmm")</f>
        <v>Dec</v>
      </c>
      <c r="D299" s="2" t="s">
        <v>274</v>
      </c>
      <c r="E299" s="2" t="s">
        <v>56</v>
      </c>
      <c r="F299" s="2" t="str" cm="1">
        <f t="array" ref="F2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299" s="2" t="str" cm="1">
        <f t="array" ref="G2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99" s="2" t="s">
        <v>94</v>
      </c>
      <c r="I299" s="2" t="s">
        <v>95</v>
      </c>
      <c r="J299" s="2">
        <v>2</v>
      </c>
      <c r="K299" s="8">
        <v>399</v>
      </c>
      <c r="L299" s="3">
        <v>0.15</v>
      </c>
      <c r="M299" s="12">
        <f>K299*L299</f>
        <v>59.849999999999994</v>
      </c>
      <c r="N299" s="12">
        <f>K299*J299</f>
        <v>798</v>
      </c>
      <c r="O299" s="12">
        <f>N299-M299</f>
        <v>738.15</v>
      </c>
      <c r="P299" s="2" t="s">
        <v>45</v>
      </c>
      <c r="Q299" s="2" t="s">
        <v>18</v>
      </c>
      <c r="R299" s="2">
        <v>40</v>
      </c>
      <c r="S299" s="20">
        <f>Table1[[#This Row],[Net_revenue]]/Table1[[#This Row],[Gross_revenue]]*100%</f>
        <v>0.92499999999999993</v>
      </c>
      <c r="T299" s="18">
        <f>COUNTIFS(Table1[Customer ID], "&gt;1", Table1[Customer ID], 1)</f>
        <v>0</v>
      </c>
    </row>
    <row r="300" spans="1:20" hidden="1" x14ac:dyDescent="0.3">
      <c r="A300" s="2" t="s">
        <v>606</v>
      </c>
      <c r="B300" s="5">
        <v>45931</v>
      </c>
      <c r="C300" s="5" t="str">
        <f>TEXT(B300,"mmm")</f>
        <v>Oct</v>
      </c>
      <c r="D300" s="2" t="s">
        <v>607</v>
      </c>
      <c r="E300" s="2" t="s">
        <v>56</v>
      </c>
      <c r="F300" s="2" t="str" cm="1">
        <f t="array" ref="F3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00" s="2" t="str" cm="1">
        <f t="array" ref="G3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00" s="2" t="s">
        <v>63</v>
      </c>
      <c r="I300" s="2" t="s">
        <v>23</v>
      </c>
      <c r="J300" s="2">
        <v>1</v>
      </c>
      <c r="K300" s="8">
        <v>2499</v>
      </c>
      <c r="L300" s="3">
        <v>0.2</v>
      </c>
      <c r="M300" s="12">
        <f>K300*L300</f>
        <v>499.8</v>
      </c>
      <c r="N300" s="12">
        <f>K300*J300</f>
        <v>2499</v>
      </c>
      <c r="O300" s="12">
        <f>N300-M300</f>
        <v>1999.2</v>
      </c>
      <c r="P300" s="2" t="s">
        <v>24</v>
      </c>
      <c r="Q300" s="2" t="s">
        <v>18</v>
      </c>
      <c r="R300" s="2">
        <v>0</v>
      </c>
      <c r="S300" s="20">
        <f>Table1[[#This Row],[Net_revenue]]/Table1[[#This Row],[Gross_revenue]]*100%</f>
        <v>0.8</v>
      </c>
      <c r="T300" s="18">
        <f>COUNTIFS(Table1[Customer ID], "&gt;1", Table1[Customer ID], 1)</f>
        <v>0</v>
      </c>
    </row>
    <row r="301" spans="1:20" hidden="1" x14ac:dyDescent="0.3">
      <c r="A301" s="2" t="s">
        <v>608</v>
      </c>
      <c r="B301" s="5">
        <v>45664</v>
      </c>
      <c r="C301" s="5" t="str">
        <f>TEXT(B301,"mmm")</f>
        <v>Jan</v>
      </c>
      <c r="D301" s="2" t="s">
        <v>609</v>
      </c>
      <c r="E301" s="2" t="s">
        <v>48</v>
      </c>
      <c r="F301" s="2" t="str" cm="1">
        <f t="array" ref="F3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01" s="2" t="str" cm="1">
        <f t="array" ref="G3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01" s="2" t="s">
        <v>68</v>
      </c>
      <c r="I301" s="2" t="s">
        <v>16</v>
      </c>
      <c r="J301" s="2">
        <v>2</v>
      </c>
      <c r="K301" s="8">
        <v>599</v>
      </c>
      <c r="L301" s="3">
        <v>0.05</v>
      </c>
      <c r="M301" s="12">
        <f>K301*L301</f>
        <v>29.950000000000003</v>
      </c>
      <c r="N301" s="12">
        <f>K301*J301</f>
        <v>1198</v>
      </c>
      <c r="O301" s="12">
        <f>N301-M301</f>
        <v>1168.05</v>
      </c>
      <c r="P301" s="2" t="s">
        <v>24</v>
      </c>
      <c r="Q301" s="2" t="s">
        <v>18</v>
      </c>
      <c r="R301" s="2">
        <v>80</v>
      </c>
      <c r="S301" s="20">
        <f>Table1[[#This Row],[Net_revenue]]/Table1[[#This Row],[Gross_revenue]]*100%</f>
        <v>0.97499999999999998</v>
      </c>
      <c r="T301" s="18">
        <f>COUNTIFS(Table1[Customer ID], "&gt;1", Table1[Customer ID], 1)</f>
        <v>0</v>
      </c>
    </row>
    <row r="302" spans="1:20" hidden="1" x14ac:dyDescent="0.3">
      <c r="A302" s="2" t="s">
        <v>610</v>
      </c>
      <c r="B302" s="5">
        <v>45933</v>
      </c>
      <c r="C302" s="5" t="str">
        <f>TEXT(B302,"mmm")</f>
        <v>Oct</v>
      </c>
      <c r="D302" s="2" t="s">
        <v>82</v>
      </c>
      <c r="E302" s="2" t="s">
        <v>40</v>
      </c>
      <c r="F302" s="2" t="str" cm="1">
        <f t="array" ref="F3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02" s="2" t="str" cm="1">
        <f t="array" ref="G3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02" s="2" t="s">
        <v>15</v>
      </c>
      <c r="I302" s="2" t="s">
        <v>16</v>
      </c>
      <c r="J302" s="2">
        <v>2</v>
      </c>
      <c r="K302" s="8">
        <v>1799</v>
      </c>
      <c r="L302" s="3">
        <v>0.25</v>
      </c>
      <c r="M302" s="12">
        <f>K302*L302</f>
        <v>449.75</v>
      </c>
      <c r="N302" s="12">
        <f>K302*J302</f>
        <v>3598</v>
      </c>
      <c r="O302" s="12">
        <f>N302-M302</f>
        <v>3148.25</v>
      </c>
      <c r="P302" s="2" t="s">
        <v>45</v>
      </c>
      <c r="Q302" s="2" t="s">
        <v>18</v>
      </c>
      <c r="R302" s="2">
        <v>60</v>
      </c>
      <c r="S302" s="20">
        <f>Table1[[#This Row],[Net_revenue]]/Table1[[#This Row],[Gross_revenue]]*100%</f>
        <v>0.875</v>
      </c>
      <c r="T302" s="18">
        <f>COUNTIFS(Table1[Customer ID], "&gt;1", Table1[Customer ID], 1)</f>
        <v>0</v>
      </c>
    </row>
    <row r="303" spans="1:20" hidden="1" x14ac:dyDescent="0.3">
      <c r="A303" s="2" t="s">
        <v>611</v>
      </c>
      <c r="B303" s="5">
        <v>45954</v>
      </c>
      <c r="C303" s="5" t="str">
        <f>TEXT(B303,"mmm")</f>
        <v>Oct</v>
      </c>
      <c r="D303" s="2" t="s">
        <v>447</v>
      </c>
      <c r="E303" s="2" t="s">
        <v>40</v>
      </c>
      <c r="F303" s="2" t="str" cm="1">
        <f t="array" ref="F3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03" s="2" t="str" cm="1">
        <f t="array" ref="G3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03" s="2" t="s">
        <v>183</v>
      </c>
      <c r="I303" s="2" t="s">
        <v>37</v>
      </c>
      <c r="J303" s="2">
        <v>2</v>
      </c>
      <c r="K303" s="8">
        <v>499</v>
      </c>
      <c r="L303" s="3">
        <v>0.1</v>
      </c>
      <c r="M303" s="12">
        <f>K303*L303</f>
        <v>49.900000000000006</v>
      </c>
      <c r="N303" s="12">
        <f>K303*J303</f>
        <v>998</v>
      </c>
      <c r="O303" s="12">
        <f>N303-M303</f>
        <v>948.1</v>
      </c>
      <c r="P303" s="2" t="s">
        <v>24</v>
      </c>
      <c r="Q303" s="2" t="s">
        <v>18</v>
      </c>
      <c r="R303" s="2">
        <v>0</v>
      </c>
      <c r="S303" s="20">
        <f>Table1[[#This Row],[Net_revenue]]/Table1[[#This Row],[Gross_revenue]]*100%</f>
        <v>0.95000000000000007</v>
      </c>
      <c r="T303" s="18">
        <f>COUNTIFS(Table1[Customer ID], "&gt;1", Table1[Customer ID], 1)</f>
        <v>0</v>
      </c>
    </row>
    <row r="304" spans="1:20" hidden="1" x14ac:dyDescent="0.3">
      <c r="A304" s="2" t="s">
        <v>612</v>
      </c>
      <c r="B304" s="5">
        <v>45792</v>
      </c>
      <c r="C304" s="5" t="str">
        <f>TEXT(B304,"mmm")</f>
        <v>May</v>
      </c>
      <c r="D304" s="2" t="s">
        <v>613</v>
      </c>
      <c r="E304" s="2" t="s">
        <v>21</v>
      </c>
      <c r="F304" s="2" t="str" cm="1">
        <f t="array" ref="F3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04" s="2" t="str" cm="1">
        <f t="array" ref="G3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04" s="2" t="s">
        <v>36</v>
      </c>
      <c r="I304" s="2" t="s">
        <v>37</v>
      </c>
      <c r="J304" s="2">
        <v>3</v>
      </c>
      <c r="K304" s="8">
        <v>349</v>
      </c>
      <c r="L304" s="3">
        <v>0.1</v>
      </c>
      <c r="M304" s="12">
        <f>K304*L304</f>
        <v>34.9</v>
      </c>
      <c r="N304" s="12">
        <f>K304*J304</f>
        <v>1047</v>
      </c>
      <c r="O304" s="12">
        <f>N304-M304</f>
        <v>1012.1</v>
      </c>
      <c r="P304" s="2" t="s">
        <v>45</v>
      </c>
      <c r="Q304" s="2" t="s">
        <v>18</v>
      </c>
      <c r="R304" s="2">
        <v>40</v>
      </c>
      <c r="S304" s="20">
        <f>Table1[[#This Row],[Net_revenue]]/Table1[[#This Row],[Gross_revenue]]*100%</f>
        <v>0.96666666666666667</v>
      </c>
      <c r="T304" s="18">
        <f>COUNTIFS(Table1[Customer ID], "&gt;1", Table1[Customer ID], 1)</f>
        <v>0</v>
      </c>
    </row>
    <row r="305" spans="1:20" hidden="1" x14ac:dyDescent="0.3">
      <c r="A305" s="2" t="s">
        <v>614</v>
      </c>
      <c r="B305" s="5">
        <v>45741</v>
      </c>
      <c r="C305" s="5" t="str">
        <f>TEXT(B305,"mmm")</f>
        <v>Mar</v>
      </c>
      <c r="D305" s="2" t="s">
        <v>615</v>
      </c>
      <c r="E305" s="2" t="s">
        <v>195</v>
      </c>
      <c r="F305" s="2" t="str" cm="1">
        <f t="array" ref="F3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305" s="2" t="str" cm="1">
        <f t="array" ref="G3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05" s="2" t="s">
        <v>71</v>
      </c>
      <c r="I305" s="2" t="s">
        <v>29</v>
      </c>
      <c r="J305" s="2">
        <v>2</v>
      </c>
      <c r="K305" s="8">
        <v>5499</v>
      </c>
      <c r="L305" s="3">
        <v>0.25</v>
      </c>
      <c r="M305" s="12">
        <f>K305*L305</f>
        <v>1374.75</v>
      </c>
      <c r="N305" s="12">
        <f>K305*J305</f>
        <v>10998</v>
      </c>
      <c r="O305" s="12">
        <f>N305-M305</f>
        <v>9623.25</v>
      </c>
      <c r="P305" s="2" t="s">
        <v>30</v>
      </c>
      <c r="Q305" s="2" t="s">
        <v>18</v>
      </c>
      <c r="R305" s="2">
        <v>60</v>
      </c>
      <c r="S305" s="20">
        <f>Table1[[#This Row],[Net_revenue]]/Table1[[#This Row],[Gross_revenue]]*100%</f>
        <v>0.875</v>
      </c>
      <c r="T305" s="18">
        <f>COUNTIFS(Table1[Customer ID], "&gt;1", Table1[Customer ID], 1)</f>
        <v>0</v>
      </c>
    </row>
    <row r="306" spans="1:20" hidden="1" x14ac:dyDescent="0.3">
      <c r="A306" s="2" t="s">
        <v>616</v>
      </c>
      <c r="B306" s="5">
        <v>45661</v>
      </c>
      <c r="C306" s="5" t="str">
        <f>TEXT(B306,"mmm")</f>
        <v>Jan</v>
      </c>
      <c r="D306" s="2" t="s">
        <v>617</v>
      </c>
      <c r="E306" s="2" t="s">
        <v>40</v>
      </c>
      <c r="F306" s="2" t="str" cm="1">
        <f t="array" ref="F3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06" s="2" t="str" cm="1">
        <f t="array" ref="G3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06" s="2" t="s">
        <v>28</v>
      </c>
      <c r="I306" s="2" t="s">
        <v>29</v>
      </c>
      <c r="J306" s="2">
        <v>3</v>
      </c>
      <c r="K306" s="8">
        <v>2799</v>
      </c>
      <c r="L306" s="3">
        <v>0</v>
      </c>
      <c r="M306" s="12">
        <f>K306*L306</f>
        <v>0</v>
      </c>
      <c r="N306" s="12">
        <f>K306*J306</f>
        <v>8397</v>
      </c>
      <c r="O306" s="12">
        <f>N306-M306</f>
        <v>8397</v>
      </c>
      <c r="P306" s="2" t="s">
        <v>30</v>
      </c>
      <c r="Q306" s="2" t="s">
        <v>18</v>
      </c>
      <c r="R306" s="2">
        <v>40</v>
      </c>
      <c r="S306" s="20">
        <f>Table1[[#This Row],[Net_revenue]]/Table1[[#This Row],[Gross_revenue]]*100%</f>
        <v>1</v>
      </c>
      <c r="T306" s="18">
        <f>COUNTIFS(Table1[Customer ID], "&gt;1", Table1[Customer ID], 1)</f>
        <v>0</v>
      </c>
    </row>
    <row r="307" spans="1:20" hidden="1" x14ac:dyDescent="0.3">
      <c r="A307" s="2" t="s">
        <v>618</v>
      </c>
      <c r="B307" s="5">
        <v>45780</v>
      </c>
      <c r="C307" s="5" t="str">
        <f>TEXT(B307,"mmm")</f>
        <v>May</v>
      </c>
      <c r="D307" s="2" t="s">
        <v>619</v>
      </c>
      <c r="E307" s="2" t="s">
        <v>21</v>
      </c>
      <c r="F307" s="2" t="str" cm="1">
        <f t="array" ref="F3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07" s="2" t="str" cm="1">
        <f t="array" ref="G3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07" s="2" t="s">
        <v>68</v>
      </c>
      <c r="I307" s="2" t="s">
        <v>16</v>
      </c>
      <c r="J307" s="2">
        <v>1</v>
      </c>
      <c r="K307" s="8">
        <v>599</v>
      </c>
      <c r="L307" s="3">
        <v>0.1</v>
      </c>
      <c r="M307" s="12">
        <f>K307*L307</f>
        <v>59.900000000000006</v>
      </c>
      <c r="N307" s="12">
        <f>K307*J307</f>
        <v>599</v>
      </c>
      <c r="O307" s="12">
        <f>N307-M307</f>
        <v>539.1</v>
      </c>
      <c r="P307" s="2" t="s">
        <v>45</v>
      </c>
      <c r="Q307" s="2" t="s">
        <v>18</v>
      </c>
      <c r="R307" s="2">
        <v>40</v>
      </c>
      <c r="S307" s="20">
        <f>Table1[[#This Row],[Net_revenue]]/Table1[[#This Row],[Gross_revenue]]*100%</f>
        <v>0.9</v>
      </c>
      <c r="T307" s="18">
        <f>COUNTIFS(Table1[Customer ID], "&gt;1", Table1[Customer ID], 1)</f>
        <v>0</v>
      </c>
    </row>
    <row r="308" spans="1:20" hidden="1" x14ac:dyDescent="0.3">
      <c r="A308" s="2" t="s">
        <v>620</v>
      </c>
      <c r="B308" s="5">
        <v>45982</v>
      </c>
      <c r="C308" s="5" t="str">
        <f>TEXT(B308,"mmm")</f>
        <v>Nov</v>
      </c>
      <c r="D308" s="2" t="s">
        <v>621</v>
      </c>
      <c r="E308" s="2" t="s">
        <v>21</v>
      </c>
      <c r="F308" s="2" t="str" cm="1">
        <f t="array" ref="F3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08" s="2" t="str" cm="1">
        <f t="array" ref="G3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08" s="2" t="s">
        <v>68</v>
      </c>
      <c r="I308" s="2" t="s">
        <v>16</v>
      </c>
      <c r="J308" s="2">
        <v>4</v>
      </c>
      <c r="K308" s="8">
        <v>599</v>
      </c>
      <c r="L308" s="3">
        <v>0.2</v>
      </c>
      <c r="M308" s="12">
        <f>K308*L308</f>
        <v>119.80000000000001</v>
      </c>
      <c r="N308" s="12">
        <f>K308*J308</f>
        <v>2396</v>
      </c>
      <c r="O308" s="12">
        <f>N308-M308</f>
        <v>2276.1999999999998</v>
      </c>
      <c r="P308" s="2" t="s">
        <v>17</v>
      </c>
      <c r="Q308" s="2" t="s">
        <v>18</v>
      </c>
      <c r="R308" s="2">
        <v>80</v>
      </c>
      <c r="S308" s="20">
        <f>Table1[[#This Row],[Net_revenue]]/Table1[[#This Row],[Gross_revenue]]*100%</f>
        <v>0.95</v>
      </c>
      <c r="T308" s="18">
        <f>COUNTIFS(Table1[Customer ID], "&gt;1", Table1[Customer ID], 1)</f>
        <v>0</v>
      </c>
    </row>
    <row r="309" spans="1:20" hidden="1" x14ac:dyDescent="0.3">
      <c r="A309" s="2" t="s">
        <v>622</v>
      </c>
      <c r="B309" s="5">
        <v>45682</v>
      </c>
      <c r="C309" s="5" t="str">
        <f>TEXT(B309,"mmm")</f>
        <v>Jan</v>
      </c>
      <c r="D309" s="2" t="s">
        <v>224</v>
      </c>
      <c r="E309" s="2" t="s">
        <v>56</v>
      </c>
      <c r="F309" s="2" t="str" cm="1">
        <f t="array" ref="F3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09" s="2" t="str" cm="1">
        <f t="array" ref="G3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09" s="2" t="s">
        <v>22</v>
      </c>
      <c r="I309" s="2" t="s">
        <v>23</v>
      </c>
      <c r="J309" s="2">
        <v>1</v>
      </c>
      <c r="K309" s="8">
        <v>3999</v>
      </c>
      <c r="L309" s="3">
        <v>0</v>
      </c>
      <c r="M309" s="12">
        <f>K309*L309</f>
        <v>0</v>
      </c>
      <c r="N309" s="12">
        <f>K309*J309</f>
        <v>3999</v>
      </c>
      <c r="O309" s="12">
        <f>N309-M309</f>
        <v>3999</v>
      </c>
      <c r="P309" s="2" t="s">
        <v>45</v>
      </c>
      <c r="Q309" s="2" t="s">
        <v>18</v>
      </c>
      <c r="R309" s="2">
        <v>40</v>
      </c>
      <c r="S309" s="20">
        <f>Table1[[#This Row],[Net_revenue]]/Table1[[#This Row],[Gross_revenue]]*100%</f>
        <v>1</v>
      </c>
      <c r="T309" s="18">
        <f>COUNTIFS(Table1[Customer ID], "&gt;1", Table1[Customer ID], 1)</f>
        <v>0</v>
      </c>
    </row>
    <row r="310" spans="1:20" hidden="1" x14ac:dyDescent="0.3">
      <c r="A310" s="2" t="s">
        <v>623</v>
      </c>
      <c r="B310" s="5">
        <v>45913</v>
      </c>
      <c r="C310" s="5" t="str">
        <f>TEXT(B310,"mmm")</f>
        <v>Sep</v>
      </c>
      <c r="D310" s="2" t="s">
        <v>624</v>
      </c>
      <c r="E310" s="2" t="s">
        <v>21</v>
      </c>
      <c r="F310" s="2" t="str" cm="1">
        <f t="array" ref="F3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0" s="2" t="str" cm="1">
        <f t="array" ref="G3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0" s="2" t="s">
        <v>80</v>
      </c>
      <c r="I310" s="2" t="s">
        <v>23</v>
      </c>
      <c r="J310" s="2">
        <v>1</v>
      </c>
      <c r="K310" s="8">
        <v>799</v>
      </c>
      <c r="L310" s="3">
        <v>0.1</v>
      </c>
      <c r="M310" s="12">
        <f>K310*L310</f>
        <v>79.900000000000006</v>
      </c>
      <c r="N310" s="12">
        <f>K310*J310</f>
        <v>799</v>
      </c>
      <c r="O310" s="12">
        <f>N310-M310</f>
        <v>719.1</v>
      </c>
      <c r="P310" s="2" t="s">
        <v>30</v>
      </c>
      <c r="Q310" s="2" t="s">
        <v>18</v>
      </c>
      <c r="R310" s="2">
        <v>0</v>
      </c>
      <c r="S310" s="20">
        <f>Table1[[#This Row],[Net_revenue]]/Table1[[#This Row],[Gross_revenue]]*100%</f>
        <v>0.9</v>
      </c>
      <c r="T310" s="18">
        <f>COUNTIFS(Table1[Customer ID], "&gt;1", Table1[Customer ID], 1)</f>
        <v>0</v>
      </c>
    </row>
    <row r="311" spans="1:20" hidden="1" x14ac:dyDescent="0.3">
      <c r="A311" s="2" t="s">
        <v>625</v>
      </c>
      <c r="B311" s="5">
        <v>45897</v>
      </c>
      <c r="C311" s="5" t="str">
        <f>TEXT(B311,"mmm")</f>
        <v>Aug</v>
      </c>
      <c r="D311" s="2" t="s">
        <v>626</v>
      </c>
      <c r="E311" s="2" t="s">
        <v>120</v>
      </c>
      <c r="F311" s="2" t="str" cm="1">
        <f t="array" ref="F3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1" s="2" t="str" cm="1">
        <f t="array" ref="G3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1" s="2" t="s">
        <v>49</v>
      </c>
      <c r="I311" s="2" t="s">
        <v>23</v>
      </c>
      <c r="J311" s="2">
        <v>3</v>
      </c>
      <c r="K311" s="8">
        <v>1299</v>
      </c>
      <c r="L311" s="3">
        <v>0.1</v>
      </c>
      <c r="M311" s="12">
        <f>K311*L311</f>
        <v>129.9</v>
      </c>
      <c r="N311" s="12">
        <f>K311*J311</f>
        <v>3897</v>
      </c>
      <c r="O311" s="12">
        <f>N311-M311</f>
        <v>3767.1</v>
      </c>
      <c r="P311" s="2" t="s">
        <v>30</v>
      </c>
      <c r="Q311" s="2" t="s">
        <v>18</v>
      </c>
      <c r="R311" s="2">
        <v>0</v>
      </c>
      <c r="S311" s="20">
        <f>Table1[[#This Row],[Net_revenue]]/Table1[[#This Row],[Gross_revenue]]*100%</f>
        <v>0.96666666666666667</v>
      </c>
      <c r="T311" s="18">
        <f>COUNTIFS(Table1[Customer ID], "&gt;1", Table1[Customer ID], 1)</f>
        <v>0</v>
      </c>
    </row>
    <row r="312" spans="1:20" hidden="1" x14ac:dyDescent="0.3">
      <c r="A312" s="2" t="s">
        <v>627</v>
      </c>
      <c r="B312" s="5">
        <v>45733</v>
      </c>
      <c r="C312" s="5" t="str">
        <f>TEXT(B312,"mmm")</f>
        <v>Mar</v>
      </c>
      <c r="D312" s="2" t="s">
        <v>628</v>
      </c>
      <c r="E312" s="2" t="s">
        <v>40</v>
      </c>
      <c r="F312" s="2" t="str" cm="1">
        <f t="array" ref="F3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12" s="2" t="str" cm="1">
        <f t="array" ref="G3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12" s="2" t="s">
        <v>68</v>
      </c>
      <c r="I312" s="2" t="s">
        <v>16</v>
      </c>
      <c r="J312" s="2">
        <v>1</v>
      </c>
      <c r="K312" s="8">
        <v>599</v>
      </c>
      <c r="L312" s="3">
        <v>0.1</v>
      </c>
      <c r="M312" s="12">
        <f>K312*L312</f>
        <v>59.900000000000006</v>
      </c>
      <c r="N312" s="12">
        <f>K312*J312</f>
        <v>599</v>
      </c>
      <c r="O312" s="12">
        <f>N312-M312</f>
        <v>539.1</v>
      </c>
      <c r="P312" s="2" t="s">
        <v>17</v>
      </c>
      <c r="Q312" s="2" t="s">
        <v>50</v>
      </c>
      <c r="R312" s="2">
        <v>40</v>
      </c>
      <c r="S312" s="20">
        <f>Table1[[#This Row],[Net_revenue]]/Table1[[#This Row],[Gross_revenue]]*100%</f>
        <v>0.9</v>
      </c>
      <c r="T312" s="18">
        <f>COUNTIFS(Table1[Customer ID], "&gt;1", Table1[Customer ID], 1)</f>
        <v>0</v>
      </c>
    </row>
    <row r="313" spans="1:20" hidden="1" x14ac:dyDescent="0.3">
      <c r="A313" s="2" t="s">
        <v>629</v>
      </c>
      <c r="B313" s="5">
        <v>45729</v>
      </c>
      <c r="C313" s="5" t="str">
        <f>TEXT(B313,"mmm")</f>
        <v>Mar</v>
      </c>
      <c r="D313" s="2" t="s">
        <v>232</v>
      </c>
      <c r="E313" s="2" t="s">
        <v>27</v>
      </c>
      <c r="F313" s="2" t="str" cm="1">
        <f t="array" ref="F3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13" s="2" t="str" cm="1">
        <f t="array" ref="G3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13" s="2" t="s">
        <v>80</v>
      </c>
      <c r="I313" s="2" t="s">
        <v>23</v>
      </c>
      <c r="J313" s="2">
        <v>2</v>
      </c>
      <c r="K313" s="8">
        <v>799</v>
      </c>
      <c r="L313" s="3">
        <v>0.15</v>
      </c>
      <c r="M313" s="12">
        <f>K313*L313</f>
        <v>119.85</v>
      </c>
      <c r="N313" s="12">
        <f>K313*J313</f>
        <v>1598</v>
      </c>
      <c r="O313" s="12">
        <f>N313-M313</f>
        <v>1478.15</v>
      </c>
      <c r="P313" s="2" t="s">
        <v>45</v>
      </c>
      <c r="Q313" s="2" t="s">
        <v>18</v>
      </c>
      <c r="R313" s="2">
        <v>40</v>
      </c>
      <c r="S313" s="20">
        <f>Table1[[#This Row],[Net_revenue]]/Table1[[#This Row],[Gross_revenue]]*100%</f>
        <v>0.92500000000000004</v>
      </c>
      <c r="T313" s="18">
        <f>COUNTIFS(Table1[Customer ID], "&gt;1", Table1[Customer ID], 1)</f>
        <v>0</v>
      </c>
    </row>
    <row r="314" spans="1:20" hidden="1" x14ac:dyDescent="0.3">
      <c r="A314" s="2" t="s">
        <v>630</v>
      </c>
      <c r="B314" s="5">
        <v>45881</v>
      </c>
      <c r="C314" s="5" t="str">
        <f>TEXT(B314,"mmm")</f>
        <v>Aug</v>
      </c>
      <c r="D314" s="2" t="s">
        <v>158</v>
      </c>
      <c r="E314" s="2" t="s">
        <v>21</v>
      </c>
      <c r="F314" s="2" t="str" cm="1">
        <f t="array" ref="F3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4" s="2" t="str" cm="1">
        <f t="array" ref="G3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4" s="2" t="s">
        <v>80</v>
      </c>
      <c r="I314" s="2" t="s">
        <v>23</v>
      </c>
      <c r="J314" s="2">
        <v>1</v>
      </c>
      <c r="K314" s="8">
        <v>799</v>
      </c>
      <c r="L314" s="3">
        <v>0.1</v>
      </c>
      <c r="M314" s="12">
        <f>K314*L314</f>
        <v>79.900000000000006</v>
      </c>
      <c r="N314" s="12">
        <f>K314*J314</f>
        <v>799</v>
      </c>
      <c r="O314" s="12">
        <f>N314-M314</f>
        <v>719.1</v>
      </c>
      <c r="P314" s="2" t="s">
        <v>17</v>
      </c>
      <c r="Q314" s="2" t="s">
        <v>18</v>
      </c>
      <c r="R314" s="2">
        <v>80</v>
      </c>
      <c r="S314" s="20">
        <f>Table1[[#This Row],[Net_revenue]]/Table1[[#This Row],[Gross_revenue]]*100%</f>
        <v>0.9</v>
      </c>
      <c r="T314" s="18">
        <f>COUNTIFS(Table1[Customer ID], "&gt;1", Table1[Customer ID], 1)</f>
        <v>0</v>
      </c>
    </row>
    <row r="315" spans="1:20" hidden="1" x14ac:dyDescent="0.3">
      <c r="A315" s="2" t="s">
        <v>631</v>
      </c>
      <c r="B315" s="5">
        <v>46003</v>
      </c>
      <c r="C315" s="5" t="str">
        <f>TEXT(B315,"mmm")</f>
        <v>Dec</v>
      </c>
      <c r="D315" s="2" t="s">
        <v>632</v>
      </c>
      <c r="E315" s="2" t="s">
        <v>120</v>
      </c>
      <c r="F315" s="2" t="str" cm="1">
        <f t="array" ref="F3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5" s="2" t="str" cm="1">
        <f t="array" ref="G3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5" s="2" t="s">
        <v>22</v>
      </c>
      <c r="I315" s="2" t="s">
        <v>23</v>
      </c>
      <c r="J315" s="2">
        <v>3</v>
      </c>
      <c r="K315" s="8">
        <v>3999</v>
      </c>
      <c r="L315" s="3">
        <v>0.1</v>
      </c>
      <c r="M315" s="12">
        <f>K315*L315</f>
        <v>399.90000000000003</v>
      </c>
      <c r="N315" s="12">
        <f>K315*J315</f>
        <v>11997</v>
      </c>
      <c r="O315" s="12">
        <f>N315-M315</f>
        <v>11597.1</v>
      </c>
      <c r="P315" s="2" t="s">
        <v>17</v>
      </c>
      <c r="Q315" s="2" t="s">
        <v>18</v>
      </c>
      <c r="R315" s="2">
        <v>80</v>
      </c>
      <c r="S315" s="20">
        <f>Table1[[#This Row],[Net_revenue]]/Table1[[#This Row],[Gross_revenue]]*100%</f>
        <v>0.96666666666666667</v>
      </c>
      <c r="T315" s="18">
        <f>COUNTIFS(Table1[Customer ID], "&gt;1", Table1[Customer ID], 1)</f>
        <v>0</v>
      </c>
    </row>
    <row r="316" spans="1:20" hidden="1" x14ac:dyDescent="0.3">
      <c r="A316" s="2" t="s">
        <v>633</v>
      </c>
      <c r="B316" s="5">
        <v>45948</v>
      </c>
      <c r="C316" s="5" t="str">
        <f>TEXT(B316,"mmm")</f>
        <v>Oct</v>
      </c>
      <c r="D316" s="2" t="s">
        <v>634</v>
      </c>
      <c r="E316" s="2" t="s">
        <v>53</v>
      </c>
      <c r="F316" s="2" t="str" cm="1">
        <f t="array" ref="F3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316" s="2" t="str" cm="1">
        <f t="array" ref="G3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16" s="2" t="s">
        <v>44</v>
      </c>
      <c r="I316" s="2" t="s">
        <v>16</v>
      </c>
      <c r="J316" s="2">
        <v>1</v>
      </c>
      <c r="K316" s="8">
        <v>1599</v>
      </c>
      <c r="L316" s="3">
        <v>0</v>
      </c>
      <c r="M316" s="12">
        <f>K316*L316</f>
        <v>0</v>
      </c>
      <c r="N316" s="12">
        <f>K316*J316</f>
        <v>1599</v>
      </c>
      <c r="O316" s="12">
        <f>N316-M316</f>
        <v>1599</v>
      </c>
      <c r="P316" s="2" t="s">
        <v>45</v>
      </c>
      <c r="Q316" s="2" t="s">
        <v>18</v>
      </c>
      <c r="R316" s="2">
        <v>60</v>
      </c>
      <c r="S316" s="20">
        <f>Table1[[#This Row],[Net_revenue]]/Table1[[#This Row],[Gross_revenue]]*100%</f>
        <v>1</v>
      </c>
      <c r="T316" s="18">
        <f>COUNTIFS(Table1[Customer ID], "&gt;1", Table1[Customer ID], 1)</f>
        <v>0</v>
      </c>
    </row>
    <row r="317" spans="1:20" hidden="1" x14ac:dyDescent="0.3">
      <c r="A317" s="2" t="s">
        <v>635</v>
      </c>
      <c r="B317" s="5">
        <v>45958</v>
      </c>
      <c r="C317" s="5" t="str">
        <f>TEXT(B317,"mmm")</f>
        <v>Oct</v>
      </c>
      <c r="D317" s="2" t="s">
        <v>636</v>
      </c>
      <c r="E317" s="2" t="s">
        <v>21</v>
      </c>
      <c r="F317" s="2" t="str" cm="1">
        <f t="array" ref="F3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7" s="2" t="str" cm="1">
        <f t="array" ref="G3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7" s="2" t="s">
        <v>98</v>
      </c>
      <c r="I317" s="2" t="s">
        <v>37</v>
      </c>
      <c r="J317" s="2">
        <v>1</v>
      </c>
      <c r="K317" s="8">
        <v>299</v>
      </c>
      <c r="L317" s="3">
        <v>0.1</v>
      </c>
      <c r="M317" s="12">
        <f>K317*L317</f>
        <v>29.900000000000002</v>
      </c>
      <c r="N317" s="12">
        <f>K317*J317</f>
        <v>299</v>
      </c>
      <c r="O317" s="12">
        <f>N317-M317</f>
        <v>269.10000000000002</v>
      </c>
      <c r="P317" s="2" t="s">
        <v>30</v>
      </c>
      <c r="Q317" s="2" t="s">
        <v>18</v>
      </c>
      <c r="R317" s="2">
        <v>60</v>
      </c>
      <c r="S317" s="20">
        <f>Table1[[#This Row],[Net_revenue]]/Table1[[#This Row],[Gross_revenue]]*100%</f>
        <v>0.9</v>
      </c>
      <c r="T317" s="18">
        <f>COUNTIFS(Table1[Customer ID], "&gt;1", Table1[Customer ID], 1)</f>
        <v>0</v>
      </c>
    </row>
    <row r="318" spans="1:20" hidden="1" x14ac:dyDescent="0.3">
      <c r="A318" s="2" t="s">
        <v>637</v>
      </c>
      <c r="B318" s="5">
        <v>45992</v>
      </c>
      <c r="C318" s="5" t="str">
        <f>TEXT(B318,"mmm")</f>
        <v>Dec</v>
      </c>
      <c r="D318" s="2" t="s">
        <v>638</v>
      </c>
      <c r="E318" s="2" t="s">
        <v>120</v>
      </c>
      <c r="F318" s="2" t="str" cm="1">
        <f t="array" ref="F3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18" s="2" t="str" cm="1">
        <f t="array" ref="G3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8" s="2" t="s">
        <v>36</v>
      </c>
      <c r="I318" s="2" t="s">
        <v>37</v>
      </c>
      <c r="J318" s="2">
        <v>1</v>
      </c>
      <c r="K318" s="8">
        <v>349</v>
      </c>
      <c r="L318" s="3">
        <v>0</v>
      </c>
      <c r="M318" s="12">
        <f>K318*L318</f>
        <v>0</v>
      </c>
      <c r="N318" s="12">
        <f>K318*J318</f>
        <v>349</v>
      </c>
      <c r="O318" s="12">
        <f>N318-M318</f>
        <v>349</v>
      </c>
      <c r="P318" s="2" t="s">
        <v>30</v>
      </c>
      <c r="Q318" s="2" t="s">
        <v>18</v>
      </c>
      <c r="R318" s="2">
        <v>40</v>
      </c>
      <c r="S318" s="20">
        <f>Table1[[#This Row],[Net_revenue]]/Table1[[#This Row],[Gross_revenue]]*100%</f>
        <v>1</v>
      </c>
      <c r="T318" s="18">
        <f>COUNTIFS(Table1[Customer ID], "&gt;1", Table1[Customer ID], 1)</f>
        <v>0</v>
      </c>
    </row>
    <row r="319" spans="1:20" hidden="1" x14ac:dyDescent="0.3">
      <c r="A319" s="2" t="s">
        <v>639</v>
      </c>
      <c r="B319" s="5">
        <v>45786</v>
      </c>
      <c r="C319" s="5" t="str">
        <f>TEXT(B319,"mmm")</f>
        <v>May</v>
      </c>
      <c r="D319" s="2" t="s">
        <v>555</v>
      </c>
      <c r="E319" s="2" t="s">
        <v>195</v>
      </c>
      <c r="F319" s="2" t="str" cm="1">
        <f t="array" ref="F3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319" s="2" t="str" cm="1">
        <f t="array" ref="G3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19" s="2" t="s">
        <v>134</v>
      </c>
      <c r="I319" s="2" t="s">
        <v>29</v>
      </c>
      <c r="J319" s="2">
        <v>2</v>
      </c>
      <c r="K319" s="8">
        <v>1499</v>
      </c>
      <c r="L319" s="3">
        <v>0</v>
      </c>
      <c r="M319" s="12">
        <f>K319*L319</f>
        <v>0</v>
      </c>
      <c r="N319" s="12">
        <f>K319*J319</f>
        <v>2998</v>
      </c>
      <c r="O319" s="12">
        <f>N319-M319</f>
        <v>2998</v>
      </c>
      <c r="P319" s="2" t="s">
        <v>45</v>
      </c>
      <c r="Q319" s="2" t="s">
        <v>18</v>
      </c>
      <c r="R319" s="2">
        <v>60</v>
      </c>
      <c r="S319" s="20">
        <f>Table1[[#This Row],[Net_revenue]]/Table1[[#This Row],[Gross_revenue]]*100%</f>
        <v>1</v>
      </c>
      <c r="T319" s="18">
        <f>COUNTIFS(Table1[Customer ID], "&gt;1", Table1[Customer ID], 1)</f>
        <v>0</v>
      </c>
    </row>
    <row r="320" spans="1:20" hidden="1" x14ac:dyDescent="0.3">
      <c r="A320" s="2" t="s">
        <v>640</v>
      </c>
      <c r="B320" s="5">
        <v>45993</v>
      </c>
      <c r="C320" s="5" t="str">
        <f>TEXT(B320,"mmm")</f>
        <v>Dec</v>
      </c>
      <c r="D320" s="2" t="s">
        <v>641</v>
      </c>
      <c r="E320" s="2" t="s">
        <v>56</v>
      </c>
      <c r="F320" s="2" t="str" cm="1">
        <f t="array" ref="F3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20" s="2" t="str" cm="1">
        <f t="array" ref="G3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20" s="2" t="s">
        <v>98</v>
      </c>
      <c r="I320" s="2" t="s">
        <v>37</v>
      </c>
      <c r="J320" s="2">
        <v>4</v>
      </c>
      <c r="K320" s="8">
        <v>299</v>
      </c>
      <c r="L320" s="3">
        <v>0.1</v>
      </c>
      <c r="M320" s="12">
        <f>K320*L320</f>
        <v>29.900000000000002</v>
      </c>
      <c r="N320" s="12">
        <f>K320*J320</f>
        <v>1196</v>
      </c>
      <c r="O320" s="12">
        <f>N320-M320</f>
        <v>1166.0999999999999</v>
      </c>
      <c r="P320" s="2" t="s">
        <v>45</v>
      </c>
      <c r="Q320" s="2" t="s">
        <v>18</v>
      </c>
      <c r="R320" s="2">
        <v>0</v>
      </c>
      <c r="S320" s="20">
        <f>Table1[[#This Row],[Net_revenue]]/Table1[[#This Row],[Gross_revenue]]*100%</f>
        <v>0.97499999999999998</v>
      </c>
      <c r="T320" s="18">
        <f>COUNTIFS(Table1[Customer ID], "&gt;1", Table1[Customer ID], 1)</f>
        <v>0</v>
      </c>
    </row>
    <row r="321" spans="1:20" hidden="1" x14ac:dyDescent="0.3">
      <c r="A321" s="2" t="s">
        <v>642</v>
      </c>
      <c r="B321" s="5">
        <v>45801</v>
      </c>
      <c r="C321" s="5" t="str">
        <f>TEXT(B321,"mmm")</f>
        <v>May</v>
      </c>
      <c r="D321" s="2" t="s">
        <v>643</v>
      </c>
      <c r="E321" s="2" t="s">
        <v>40</v>
      </c>
      <c r="F321" s="2" t="str" cm="1">
        <f t="array" ref="F3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21" s="2" t="str" cm="1">
        <f t="array" ref="G3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21" s="2" t="s">
        <v>15</v>
      </c>
      <c r="I321" s="2" t="s">
        <v>16</v>
      </c>
      <c r="J321" s="2">
        <v>1</v>
      </c>
      <c r="K321" s="8">
        <v>1799</v>
      </c>
      <c r="L321" s="3">
        <v>0.1</v>
      </c>
      <c r="M321" s="12">
        <f>K321*L321</f>
        <v>179.9</v>
      </c>
      <c r="N321" s="12">
        <f>K321*J321</f>
        <v>1799</v>
      </c>
      <c r="O321" s="12">
        <f>N321-M321</f>
        <v>1619.1</v>
      </c>
      <c r="P321" s="2" t="s">
        <v>17</v>
      </c>
      <c r="Q321" s="2" t="s">
        <v>18</v>
      </c>
      <c r="R321" s="2">
        <v>0</v>
      </c>
      <c r="S321" s="20">
        <f>Table1[[#This Row],[Net_revenue]]/Table1[[#This Row],[Gross_revenue]]*100%</f>
        <v>0.89999999999999991</v>
      </c>
      <c r="T321" s="18">
        <f>COUNTIFS(Table1[Customer ID], "&gt;1", Table1[Customer ID], 1)</f>
        <v>0</v>
      </c>
    </row>
    <row r="322" spans="1:20" hidden="1" x14ac:dyDescent="0.3">
      <c r="A322" s="2" t="s">
        <v>644</v>
      </c>
      <c r="B322" s="5">
        <v>45917</v>
      </c>
      <c r="C322" s="5" t="str">
        <f>TEXT(B322,"mmm")</f>
        <v>Sep</v>
      </c>
      <c r="D322" s="2" t="s">
        <v>645</v>
      </c>
      <c r="E322" s="2" t="s">
        <v>56</v>
      </c>
      <c r="F322" s="2" t="str" cm="1">
        <f t="array" ref="F3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22" s="2" t="str" cm="1">
        <f t="array" ref="G3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22" s="2" t="s">
        <v>22</v>
      </c>
      <c r="I322" s="2" t="s">
        <v>23</v>
      </c>
      <c r="J322" s="2">
        <v>1</v>
      </c>
      <c r="K322" s="8">
        <v>3999</v>
      </c>
      <c r="L322" s="3">
        <v>0.1</v>
      </c>
      <c r="M322" s="12">
        <f>K322*L322</f>
        <v>399.90000000000003</v>
      </c>
      <c r="N322" s="12">
        <f>K322*J322</f>
        <v>3999</v>
      </c>
      <c r="O322" s="12">
        <f>N322-M322</f>
        <v>3599.1</v>
      </c>
      <c r="P322" s="2" t="s">
        <v>45</v>
      </c>
      <c r="Q322" s="2" t="s">
        <v>18</v>
      </c>
      <c r="R322" s="2">
        <v>0</v>
      </c>
      <c r="S322" s="20">
        <f>Table1[[#This Row],[Net_revenue]]/Table1[[#This Row],[Gross_revenue]]*100%</f>
        <v>0.9</v>
      </c>
      <c r="T322" s="18">
        <f>COUNTIFS(Table1[Customer ID], "&gt;1", Table1[Customer ID], 1)</f>
        <v>0</v>
      </c>
    </row>
    <row r="323" spans="1:20" hidden="1" x14ac:dyDescent="0.3">
      <c r="A323" s="2" t="s">
        <v>646</v>
      </c>
      <c r="B323" s="5">
        <v>45659</v>
      </c>
      <c r="C323" s="5" t="str">
        <f>TEXT(B323,"mmm")</f>
        <v>Jan</v>
      </c>
      <c r="D323" s="2" t="s">
        <v>647</v>
      </c>
      <c r="E323" s="2" t="s">
        <v>27</v>
      </c>
      <c r="F323" s="2" t="str" cm="1">
        <f t="array" ref="F3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23" s="2" t="str" cm="1">
        <f t="array" ref="G3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23" s="2" t="s">
        <v>117</v>
      </c>
      <c r="I323" s="2" t="s">
        <v>23</v>
      </c>
      <c r="J323" s="2">
        <v>2</v>
      </c>
      <c r="K323" s="8">
        <v>2199</v>
      </c>
      <c r="L323" s="3">
        <v>0.15</v>
      </c>
      <c r="M323" s="12">
        <f>K323*L323</f>
        <v>329.84999999999997</v>
      </c>
      <c r="N323" s="12">
        <f>K323*J323</f>
        <v>4398</v>
      </c>
      <c r="O323" s="12">
        <f>N323-M323</f>
        <v>4068.15</v>
      </c>
      <c r="P323" s="2" t="s">
        <v>45</v>
      </c>
      <c r="Q323" s="2" t="s">
        <v>18</v>
      </c>
      <c r="R323" s="2">
        <v>40</v>
      </c>
      <c r="S323" s="20">
        <f>Table1[[#This Row],[Net_revenue]]/Table1[[#This Row],[Gross_revenue]]*100%</f>
        <v>0.92500000000000004</v>
      </c>
      <c r="T323" s="18">
        <f>COUNTIFS(Table1[Customer ID], "&gt;1", Table1[Customer ID], 1)</f>
        <v>0</v>
      </c>
    </row>
    <row r="324" spans="1:20" hidden="1" x14ac:dyDescent="0.3">
      <c r="A324" s="2" t="s">
        <v>648</v>
      </c>
      <c r="B324" s="5">
        <v>45895</v>
      </c>
      <c r="C324" s="5" t="str">
        <f>TEXT(B324,"mmm")</f>
        <v>Aug</v>
      </c>
      <c r="D324" s="2" t="s">
        <v>649</v>
      </c>
      <c r="E324" s="2" t="s">
        <v>56</v>
      </c>
      <c r="F324" s="2" t="str" cm="1">
        <f t="array" ref="F3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24" s="2" t="str" cm="1">
        <f t="array" ref="G3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24" s="2" t="s">
        <v>121</v>
      </c>
      <c r="I324" s="2" t="s">
        <v>95</v>
      </c>
      <c r="J324" s="2">
        <v>4</v>
      </c>
      <c r="K324" s="8">
        <v>1299</v>
      </c>
      <c r="L324" s="3">
        <v>0.25</v>
      </c>
      <c r="M324" s="12">
        <f>K324*L324</f>
        <v>324.75</v>
      </c>
      <c r="N324" s="12">
        <f>K324*J324</f>
        <v>5196</v>
      </c>
      <c r="O324" s="12">
        <f>N324-M324</f>
        <v>4871.25</v>
      </c>
      <c r="P324" s="2" t="s">
        <v>45</v>
      </c>
      <c r="Q324" s="2" t="s">
        <v>18</v>
      </c>
      <c r="R324" s="2">
        <v>80</v>
      </c>
      <c r="S324" s="20">
        <f>Table1[[#This Row],[Net_revenue]]/Table1[[#This Row],[Gross_revenue]]*100%</f>
        <v>0.9375</v>
      </c>
      <c r="T324" s="18">
        <f>COUNTIFS(Table1[Customer ID], "&gt;1", Table1[Customer ID], 1)</f>
        <v>0</v>
      </c>
    </row>
    <row r="325" spans="1:20" hidden="1" x14ac:dyDescent="0.3">
      <c r="A325" s="2" t="s">
        <v>650</v>
      </c>
      <c r="B325" s="5">
        <v>45735</v>
      </c>
      <c r="C325" s="5" t="str">
        <f>TEXT(B325,"mmm")</f>
        <v>Mar</v>
      </c>
      <c r="D325" s="2" t="s">
        <v>651</v>
      </c>
      <c r="E325" s="2" t="s">
        <v>48</v>
      </c>
      <c r="F325" s="2" t="str" cm="1">
        <f t="array" ref="F3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25" s="2" t="str" cm="1">
        <f t="array" ref="G3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25" s="2" t="s">
        <v>15</v>
      </c>
      <c r="I325" s="2" t="s">
        <v>16</v>
      </c>
      <c r="J325" s="2">
        <v>1</v>
      </c>
      <c r="K325" s="8">
        <v>1799</v>
      </c>
      <c r="L325" s="3">
        <v>0.1</v>
      </c>
      <c r="M325" s="12">
        <f>K325*L325</f>
        <v>179.9</v>
      </c>
      <c r="N325" s="12">
        <f>K325*J325</f>
        <v>1799</v>
      </c>
      <c r="O325" s="12">
        <f>N325-M325</f>
        <v>1619.1</v>
      </c>
      <c r="P325" s="2" t="s">
        <v>30</v>
      </c>
      <c r="Q325" s="2" t="s">
        <v>18</v>
      </c>
      <c r="R325" s="2">
        <v>40</v>
      </c>
      <c r="S325" s="20">
        <f>Table1[[#This Row],[Net_revenue]]/Table1[[#This Row],[Gross_revenue]]*100%</f>
        <v>0.89999999999999991</v>
      </c>
      <c r="T325" s="18">
        <f>COUNTIFS(Table1[Customer ID], "&gt;1", Table1[Customer ID], 1)</f>
        <v>0</v>
      </c>
    </row>
    <row r="326" spans="1:20" hidden="1" x14ac:dyDescent="0.3">
      <c r="A326" s="2" t="s">
        <v>652</v>
      </c>
      <c r="B326" s="5">
        <v>45932</v>
      </c>
      <c r="C326" s="5" t="str">
        <f>TEXT(B326,"mmm")</f>
        <v>Oct</v>
      </c>
      <c r="D326" s="2" t="s">
        <v>653</v>
      </c>
      <c r="E326" s="2" t="s">
        <v>56</v>
      </c>
      <c r="F326" s="2" t="str" cm="1">
        <f t="array" ref="F3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26" s="2" t="str" cm="1">
        <f t="array" ref="G3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26" s="2" t="s">
        <v>41</v>
      </c>
      <c r="I326" s="2" t="s">
        <v>16</v>
      </c>
      <c r="J326" s="2">
        <v>1</v>
      </c>
      <c r="K326" s="8">
        <v>2299</v>
      </c>
      <c r="L326" s="3">
        <v>0.05</v>
      </c>
      <c r="M326" s="12">
        <f>K326*L326</f>
        <v>114.95</v>
      </c>
      <c r="N326" s="12">
        <f>K326*J326</f>
        <v>2299</v>
      </c>
      <c r="O326" s="12">
        <f>N326-M326</f>
        <v>2184.0500000000002</v>
      </c>
      <c r="P326" s="2" t="s">
        <v>30</v>
      </c>
      <c r="Q326" s="2" t="s">
        <v>18</v>
      </c>
      <c r="R326" s="2">
        <v>60</v>
      </c>
      <c r="S326" s="20">
        <f>Table1[[#This Row],[Net_revenue]]/Table1[[#This Row],[Gross_revenue]]*100%</f>
        <v>0.95000000000000007</v>
      </c>
      <c r="T326" s="18">
        <f>COUNTIFS(Table1[Customer ID], "&gt;1", Table1[Customer ID], 1)</f>
        <v>0</v>
      </c>
    </row>
    <row r="327" spans="1:20" hidden="1" x14ac:dyDescent="0.3">
      <c r="A327" s="2" t="s">
        <v>654</v>
      </c>
      <c r="B327" s="5">
        <v>45986</v>
      </c>
      <c r="C327" s="5" t="str">
        <f>TEXT(B327,"mmm")</f>
        <v>Nov</v>
      </c>
      <c r="D327" s="2" t="s">
        <v>655</v>
      </c>
      <c r="E327" s="2" t="s">
        <v>195</v>
      </c>
      <c r="F327" s="2" t="str" cm="1">
        <f t="array" ref="F3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327" s="2" t="str" cm="1">
        <f t="array" ref="G3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27" s="2" t="s">
        <v>36</v>
      </c>
      <c r="I327" s="2" t="s">
        <v>37</v>
      </c>
      <c r="J327" s="2">
        <v>1</v>
      </c>
      <c r="K327" s="8">
        <v>349</v>
      </c>
      <c r="L327" s="3">
        <v>0.25</v>
      </c>
      <c r="M327" s="12">
        <f>K327*L327</f>
        <v>87.25</v>
      </c>
      <c r="N327" s="12">
        <f>K327*J327</f>
        <v>349</v>
      </c>
      <c r="O327" s="12">
        <f>N327-M327</f>
        <v>261.75</v>
      </c>
      <c r="P327" s="2" t="s">
        <v>45</v>
      </c>
      <c r="Q327" s="2" t="s">
        <v>72</v>
      </c>
      <c r="R327" s="2">
        <v>60</v>
      </c>
      <c r="S327" s="20">
        <f>Table1[[#This Row],[Net_revenue]]/Table1[[#This Row],[Gross_revenue]]*100%</f>
        <v>0.75</v>
      </c>
      <c r="T327" s="18">
        <f>COUNTIFS(Table1[Customer ID], "&gt;1", Table1[Customer ID], 1)</f>
        <v>0</v>
      </c>
    </row>
    <row r="328" spans="1:20" hidden="1" x14ac:dyDescent="0.3">
      <c r="A328" s="2" t="s">
        <v>656</v>
      </c>
      <c r="B328" s="5">
        <v>46016</v>
      </c>
      <c r="C328" s="5" t="str">
        <f>TEXT(B328,"mmm")</f>
        <v>Dec</v>
      </c>
      <c r="D328" s="2" t="s">
        <v>367</v>
      </c>
      <c r="E328" s="2" t="s">
        <v>120</v>
      </c>
      <c r="F328" s="2" t="str" cm="1">
        <f t="array" ref="F3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28" s="2" t="str" cm="1">
        <f t="array" ref="G3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28" s="2" t="s">
        <v>65</v>
      </c>
      <c r="I328" s="2" t="s">
        <v>23</v>
      </c>
      <c r="J328" s="2">
        <v>3</v>
      </c>
      <c r="K328" s="8">
        <v>1899</v>
      </c>
      <c r="L328" s="3">
        <v>0.15</v>
      </c>
      <c r="M328" s="12">
        <f>K328*L328</f>
        <v>284.84999999999997</v>
      </c>
      <c r="N328" s="12">
        <f>K328*J328</f>
        <v>5697</v>
      </c>
      <c r="O328" s="12">
        <f>N328-M328</f>
        <v>5412.15</v>
      </c>
      <c r="P328" s="2" t="s">
        <v>30</v>
      </c>
      <c r="Q328" s="2" t="s">
        <v>18</v>
      </c>
      <c r="R328" s="2">
        <v>40</v>
      </c>
      <c r="S328" s="20">
        <f>Table1[[#This Row],[Net_revenue]]/Table1[[#This Row],[Gross_revenue]]*100%</f>
        <v>0.95</v>
      </c>
      <c r="T328" s="18">
        <f>COUNTIFS(Table1[Customer ID], "&gt;1", Table1[Customer ID], 1)</f>
        <v>0</v>
      </c>
    </row>
    <row r="329" spans="1:20" hidden="1" x14ac:dyDescent="0.3">
      <c r="A329" s="2" t="s">
        <v>657</v>
      </c>
      <c r="B329" s="5">
        <v>45804</v>
      </c>
      <c r="C329" s="5" t="str">
        <f>TEXT(B329,"mmm")</f>
        <v>May</v>
      </c>
      <c r="D329" s="2" t="s">
        <v>176</v>
      </c>
      <c r="E329" s="2" t="s">
        <v>40</v>
      </c>
      <c r="F329" s="2" t="str" cm="1">
        <f t="array" ref="F3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29" s="2" t="str" cm="1">
        <f t="array" ref="G3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29" s="2" t="s">
        <v>107</v>
      </c>
      <c r="I329" s="2" t="s">
        <v>95</v>
      </c>
      <c r="J329" s="2">
        <v>2</v>
      </c>
      <c r="K329" s="8">
        <v>1599</v>
      </c>
      <c r="L329" s="3">
        <v>0.25</v>
      </c>
      <c r="M329" s="12">
        <f>K329*L329</f>
        <v>399.75</v>
      </c>
      <c r="N329" s="12">
        <f>K329*J329</f>
        <v>3198</v>
      </c>
      <c r="O329" s="12">
        <f>N329-M329</f>
        <v>2798.25</v>
      </c>
      <c r="P329" s="2" t="s">
        <v>45</v>
      </c>
      <c r="Q329" s="2" t="s">
        <v>18</v>
      </c>
      <c r="R329" s="2">
        <v>60</v>
      </c>
      <c r="S329" s="20">
        <f>Table1[[#This Row],[Net_revenue]]/Table1[[#This Row],[Gross_revenue]]*100%</f>
        <v>0.875</v>
      </c>
      <c r="T329" s="18">
        <f>COUNTIFS(Table1[Customer ID], "&gt;1", Table1[Customer ID], 1)</f>
        <v>0</v>
      </c>
    </row>
    <row r="330" spans="1:20" hidden="1" x14ac:dyDescent="0.3">
      <c r="A330" s="2" t="s">
        <v>658</v>
      </c>
      <c r="B330" s="5">
        <v>45738</v>
      </c>
      <c r="C330" s="5" t="str">
        <f>TEXT(B330,"mmm")</f>
        <v>Mar</v>
      </c>
      <c r="D330" s="2" t="s">
        <v>659</v>
      </c>
      <c r="E330" s="2" t="s">
        <v>48</v>
      </c>
      <c r="F330" s="2" t="str" cm="1">
        <f t="array" ref="F3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30" s="2" t="str" cm="1">
        <f t="array" ref="G3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30" s="2" t="s">
        <v>15</v>
      </c>
      <c r="I330" s="2" t="s">
        <v>16</v>
      </c>
      <c r="J330" s="2">
        <v>1</v>
      </c>
      <c r="K330" s="8">
        <v>1799</v>
      </c>
      <c r="L330" s="3">
        <v>0.1</v>
      </c>
      <c r="M330" s="12">
        <f>K330*L330</f>
        <v>179.9</v>
      </c>
      <c r="N330" s="12">
        <f>K330*J330</f>
        <v>1799</v>
      </c>
      <c r="O330" s="12">
        <f>N330-M330</f>
        <v>1619.1</v>
      </c>
      <c r="P330" s="2" t="s">
        <v>45</v>
      </c>
      <c r="Q330" s="2" t="s">
        <v>72</v>
      </c>
      <c r="R330" s="2">
        <v>60</v>
      </c>
      <c r="S330" s="20">
        <f>Table1[[#This Row],[Net_revenue]]/Table1[[#This Row],[Gross_revenue]]*100%</f>
        <v>0.89999999999999991</v>
      </c>
      <c r="T330" s="18">
        <f>COUNTIFS(Table1[Customer ID], "&gt;1", Table1[Customer ID], 1)</f>
        <v>0</v>
      </c>
    </row>
    <row r="331" spans="1:20" hidden="1" x14ac:dyDescent="0.3">
      <c r="A331" s="2" t="s">
        <v>660</v>
      </c>
      <c r="B331" s="5">
        <v>45916</v>
      </c>
      <c r="C331" s="5" t="str">
        <f>TEXT(B331,"mmm")</f>
        <v>Sep</v>
      </c>
      <c r="D331" s="2" t="s">
        <v>661</v>
      </c>
      <c r="E331" s="2" t="s">
        <v>75</v>
      </c>
      <c r="F331" s="2" t="str" cm="1">
        <f t="array" ref="F3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331" s="2" t="str" cm="1">
        <f t="array" ref="G3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31" s="2" t="s">
        <v>65</v>
      </c>
      <c r="I331" s="2" t="s">
        <v>23</v>
      </c>
      <c r="J331" s="2">
        <v>3</v>
      </c>
      <c r="K331" s="8">
        <v>1899</v>
      </c>
      <c r="L331" s="3">
        <v>0.2</v>
      </c>
      <c r="M331" s="12">
        <f>K331*L331</f>
        <v>379.8</v>
      </c>
      <c r="N331" s="12">
        <f>K331*J331</f>
        <v>5697</v>
      </c>
      <c r="O331" s="12">
        <f>N331-M331</f>
        <v>5317.2</v>
      </c>
      <c r="P331" s="2" t="s">
        <v>17</v>
      </c>
      <c r="Q331" s="2" t="s">
        <v>18</v>
      </c>
      <c r="R331" s="2">
        <v>60</v>
      </c>
      <c r="S331" s="20">
        <f>Table1[[#This Row],[Net_revenue]]/Table1[[#This Row],[Gross_revenue]]*100%</f>
        <v>0.93333333333333335</v>
      </c>
      <c r="T331" s="18">
        <f>COUNTIFS(Table1[Customer ID], "&gt;1", Table1[Customer ID], 1)</f>
        <v>0</v>
      </c>
    </row>
    <row r="332" spans="1:20" hidden="1" x14ac:dyDescent="0.3">
      <c r="A332" s="2" t="s">
        <v>662</v>
      </c>
      <c r="B332" s="5">
        <v>45681</v>
      </c>
      <c r="C332" s="5" t="str">
        <f>TEXT(B332,"mmm")</f>
        <v>Jan</v>
      </c>
      <c r="D332" s="2" t="s">
        <v>663</v>
      </c>
      <c r="E332" s="2" t="s">
        <v>48</v>
      </c>
      <c r="F332" s="2" t="str" cm="1">
        <f t="array" ref="F3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32" s="2" t="str" cm="1">
        <f t="array" ref="G3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32" s="2" t="s">
        <v>80</v>
      </c>
      <c r="I332" s="2" t="s">
        <v>23</v>
      </c>
      <c r="J332" s="2">
        <v>1</v>
      </c>
      <c r="K332" s="8">
        <v>799</v>
      </c>
      <c r="L332" s="3">
        <v>0.2</v>
      </c>
      <c r="M332" s="12">
        <f>K332*L332</f>
        <v>159.80000000000001</v>
      </c>
      <c r="N332" s="12">
        <f>K332*J332</f>
        <v>799</v>
      </c>
      <c r="O332" s="12">
        <f>N332-M332</f>
        <v>639.20000000000005</v>
      </c>
      <c r="P332" s="2" t="s">
        <v>17</v>
      </c>
      <c r="Q332" s="2" t="s">
        <v>18</v>
      </c>
      <c r="R332" s="2">
        <v>0</v>
      </c>
      <c r="S332" s="20">
        <f>Table1[[#This Row],[Net_revenue]]/Table1[[#This Row],[Gross_revenue]]*100%</f>
        <v>0.8</v>
      </c>
      <c r="T332" s="18">
        <f>COUNTIFS(Table1[Customer ID], "&gt;1", Table1[Customer ID], 1)</f>
        <v>0</v>
      </c>
    </row>
    <row r="333" spans="1:20" hidden="1" x14ac:dyDescent="0.3">
      <c r="A333" s="2" t="s">
        <v>664</v>
      </c>
      <c r="B333" s="5">
        <v>45885</v>
      </c>
      <c r="C333" s="5" t="str">
        <f>TEXT(B333,"mmm")</f>
        <v>Aug</v>
      </c>
      <c r="D333" s="2" t="s">
        <v>162</v>
      </c>
      <c r="E333" s="2" t="s">
        <v>120</v>
      </c>
      <c r="F333" s="2" t="str" cm="1">
        <f t="array" ref="F3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33" s="2" t="str" cm="1">
        <f t="array" ref="G3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33" s="2" t="s">
        <v>217</v>
      </c>
      <c r="I333" s="2" t="s">
        <v>29</v>
      </c>
      <c r="J333" s="2">
        <v>1</v>
      </c>
      <c r="K333" s="8">
        <v>3299</v>
      </c>
      <c r="L333" s="3">
        <v>0.1</v>
      </c>
      <c r="M333" s="12">
        <f>K333*L333</f>
        <v>329.90000000000003</v>
      </c>
      <c r="N333" s="12">
        <f>K333*J333</f>
        <v>3299</v>
      </c>
      <c r="O333" s="12">
        <f>N333-M333</f>
        <v>2969.1</v>
      </c>
      <c r="P333" s="2" t="s">
        <v>45</v>
      </c>
      <c r="Q333" s="2" t="s">
        <v>18</v>
      </c>
      <c r="R333" s="2">
        <v>40</v>
      </c>
      <c r="S333" s="20">
        <f>Table1[[#This Row],[Net_revenue]]/Table1[[#This Row],[Gross_revenue]]*100%</f>
        <v>0.9</v>
      </c>
      <c r="T333" s="18">
        <f>COUNTIFS(Table1[Customer ID], "&gt;1", Table1[Customer ID], 1)</f>
        <v>0</v>
      </c>
    </row>
    <row r="334" spans="1:20" hidden="1" x14ac:dyDescent="0.3">
      <c r="A334" s="2" t="s">
        <v>665</v>
      </c>
      <c r="B334" s="5">
        <v>45741</v>
      </c>
      <c r="C334" s="5" t="str">
        <f>TEXT(B334,"mmm")</f>
        <v>Mar</v>
      </c>
      <c r="D334" s="2" t="s">
        <v>666</v>
      </c>
      <c r="E334" s="2" t="s">
        <v>56</v>
      </c>
      <c r="F334" s="2" t="str" cm="1">
        <f t="array" ref="F3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34" s="2" t="str" cm="1">
        <f t="array" ref="G3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34" s="2" t="s">
        <v>33</v>
      </c>
      <c r="I334" s="2" t="s">
        <v>16</v>
      </c>
      <c r="J334" s="2">
        <v>1</v>
      </c>
      <c r="K334" s="8">
        <v>899</v>
      </c>
      <c r="L334" s="3">
        <v>0.05</v>
      </c>
      <c r="M334" s="12">
        <f>K334*L334</f>
        <v>44.95</v>
      </c>
      <c r="N334" s="12">
        <f>K334*J334</f>
        <v>899</v>
      </c>
      <c r="O334" s="12">
        <f>N334-M334</f>
        <v>854.05</v>
      </c>
      <c r="P334" s="2" t="s">
        <v>45</v>
      </c>
      <c r="Q334" s="2" t="s">
        <v>18</v>
      </c>
      <c r="R334" s="2">
        <v>60</v>
      </c>
      <c r="S334" s="20">
        <f>Table1[[#This Row],[Net_revenue]]/Table1[[#This Row],[Gross_revenue]]*100%</f>
        <v>0.95</v>
      </c>
      <c r="T334" s="18">
        <f>COUNTIFS(Table1[Customer ID], "&gt;1", Table1[Customer ID], 1)</f>
        <v>0</v>
      </c>
    </row>
    <row r="335" spans="1:20" hidden="1" x14ac:dyDescent="0.3">
      <c r="A335" s="2" t="s">
        <v>667</v>
      </c>
      <c r="B335" s="5">
        <v>45684</v>
      </c>
      <c r="C335" s="5" t="str">
        <f>TEXT(B335,"mmm")</f>
        <v>Jan</v>
      </c>
      <c r="D335" s="2" t="s">
        <v>668</v>
      </c>
      <c r="E335" s="2" t="s">
        <v>48</v>
      </c>
      <c r="F335" s="2" t="str" cm="1">
        <f t="array" ref="F3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35" s="2" t="str" cm="1">
        <f t="array" ref="G3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35" s="2" t="s">
        <v>15</v>
      </c>
      <c r="I335" s="2" t="s">
        <v>16</v>
      </c>
      <c r="J335" s="2">
        <v>4</v>
      </c>
      <c r="K335" s="8">
        <v>1799</v>
      </c>
      <c r="L335" s="3">
        <v>0.1</v>
      </c>
      <c r="M335" s="12">
        <f>K335*L335</f>
        <v>179.9</v>
      </c>
      <c r="N335" s="12">
        <f>K335*J335</f>
        <v>7196</v>
      </c>
      <c r="O335" s="12">
        <f>N335-M335</f>
        <v>7016.1</v>
      </c>
      <c r="P335" s="2" t="s">
        <v>45</v>
      </c>
      <c r="Q335" s="2" t="s">
        <v>18</v>
      </c>
      <c r="R335" s="2">
        <v>0</v>
      </c>
      <c r="S335" s="20">
        <f>Table1[[#This Row],[Net_revenue]]/Table1[[#This Row],[Gross_revenue]]*100%</f>
        <v>0.97500000000000009</v>
      </c>
      <c r="T335" s="18">
        <f>COUNTIFS(Table1[Customer ID], "&gt;1", Table1[Customer ID], 1)</f>
        <v>0</v>
      </c>
    </row>
    <row r="336" spans="1:20" hidden="1" x14ac:dyDescent="0.3">
      <c r="A336" s="2" t="s">
        <v>669</v>
      </c>
      <c r="B336" s="5">
        <v>45898</v>
      </c>
      <c r="C336" s="5" t="str">
        <f>TEXT(B336,"mmm")</f>
        <v>Aug</v>
      </c>
      <c r="D336" s="2" t="s">
        <v>670</v>
      </c>
      <c r="E336" s="2" t="s">
        <v>14</v>
      </c>
      <c r="F336" s="2" t="str" cm="1">
        <f t="array" ref="F3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336" s="2" t="str" cm="1">
        <f t="array" ref="G3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336" s="2" t="s">
        <v>98</v>
      </c>
      <c r="I336" s="2" t="s">
        <v>37</v>
      </c>
      <c r="J336" s="2">
        <v>3</v>
      </c>
      <c r="K336" s="8">
        <v>299</v>
      </c>
      <c r="L336" s="3">
        <v>0.2</v>
      </c>
      <c r="M336" s="12">
        <f>K336*L336</f>
        <v>59.800000000000004</v>
      </c>
      <c r="N336" s="12">
        <f>K336*J336</f>
        <v>897</v>
      </c>
      <c r="O336" s="12">
        <f>N336-M336</f>
        <v>837.2</v>
      </c>
      <c r="P336" s="2" t="s">
        <v>30</v>
      </c>
      <c r="Q336" s="2" t="s">
        <v>18</v>
      </c>
      <c r="R336" s="2">
        <v>40</v>
      </c>
      <c r="S336" s="20">
        <f>Table1[[#This Row],[Net_revenue]]/Table1[[#This Row],[Gross_revenue]]*100%</f>
        <v>0.93333333333333335</v>
      </c>
      <c r="T336" s="18">
        <f>COUNTIFS(Table1[Customer ID], "&gt;1", Table1[Customer ID], 1)</f>
        <v>0</v>
      </c>
    </row>
    <row r="337" spans="1:20" hidden="1" x14ac:dyDescent="0.3">
      <c r="A337" s="2" t="s">
        <v>671</v>
      </c>
      <c r="B337" s="5">
        <v>45815</v>
      </c>
      <c r="C337" s="5" t="str">
        <f>TEXT(B337,"mmm")</f>
        <v>Jun</v>
      </c>
      <c r="D337" s="2" t="s">
        <v>672</v>
      </c>
      <c r="E337" s="2" t="s">
        <v>48</v>
      </c>
      <c r="F337" s="2" t="str" cm="1">
        <f t="array" ref="F3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37" s="2" t="str" cm="1">
        <f t="array" ref="G3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37" s="2" t="s">
        <v>41</v>
      </c>
      <c r="I337" s="2" t="s">
        <v>16</v>
      </c>
      <c r="J337" s="2">
        <v>1</v>
      </c>
      <c r="K337" s="8">
        <v>2299</v>
      </c>
      <c r="L337" s="3">
        <v>0.2</v>
      </c>
      <c r="M337" s="12">
        <f>K337*L337</f>
        <v>459.8</v>
      </c>
      <c r="N337" s="12">
        <f>K337*J337</f>
        <v>2299</v>
      </c>
      <c r="O337" s="12">
        <f>N337-M337</f>
        <v>1839.2</v>
      </c>
      <c r="P337" s="2" t="s">
        <v>45</v>
      </c>
      <c r="Q337" s="2" t="s">
        <v>18</v>
      </c>
      <c r="R337" s="2">
        <v>80</v>
      </c>
      <c r="S337" s="20">
        <f>Table1[[#This Row],[Net_revenue]]/Table1[[#This Row],[Gross_revenue]]*100%</f>
        <v>0.8</v>
      </c>
      <c r="T337" s="18">
        <f>COUNTIFS(Table1[Customer ID], "&gt;1", Table1[Customer ID], 1)</f>
        <v>0</v>
      </c>
    </row>
    <row r="338" spans="1:20" hidden="1" x14ac:dyDescent="0.3">
      <c r="A338" s="2" t="s">
        <v>673</v>
      </c>
      <c r="B338" s="5">
        <v>45688</v>
      </c>
      <c r="C338" s="5" t="str">
        <f>TEXT(B338,"mmm")</f>
        <v>Jan</v>
      </c>
      <c r="D338" s="2" t="s">
        <v>674</v>
      </c>
      <c r="E338" s="2" t="s">
        <v>14</v>
      </c>
      <c r="F338" s="2" t="str" cm="1">
        <f t="array" ref="F3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338" s="2" t="str" cm="1">
        <f t="array" ref="G3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338" s="2" t="s">
        <v>134</v>
      </c>
      <c r="I338" s="2" t="s">
        <v>29</v>
      </c>
      <c r="J338" s="2">
        <v>3</v>
      </c>
      <c r="K338" s="8">
        <v>1499</v>
      </c>
      <c r="L338" s="3">
        <v>0.2</v>
      </c>
      <c r="M338" s="12">
        <f>K338*L338</f>
        <v>299.8</v>
      </c>
      <c r="N338" s="12">
        <f>K338*J338</f>
        <v>4497</v>
      </c>
      <c r="O338" s="12">
        <f>N338-M338</f>
        <v>4197.2</v>
      </c>
      <c r="P338" s="2" t="s">
        <v>45</v>
      </c>
      <c r="Q338" s="2" t="s">
        <v>18</v>
      </c>
      <c r="R338" s="2">
        <v>60</v>
      </c>
      <c r="S338" s="20">
        <f>Table1[[#This Row],[Net_revenue]]/Table1[[#This Row],[Gross_revenue]]*100%</f>
        <v>0.93333333333333335</v>
      </c>
      <c r="T338" s="18">
        <f>COUNTIFS(Table1[Customer ID], "&gt;1", Table1[Customer ID], 1)</f>
        <v>0</v>
      </c>
    </row>
    <row r="339" spans="1:20" hidden="1" x14ac:dyDescent="0.3">
      <c r="A339" s="2" t="s">
        <v>675</v>
      </c>
      <c r="B339" s="5">
        <v>45922</v>
      </c>
      <c r="C339" s="5" t="str">
        <f>TEXT(B339,"mmm")</f>
        <v>Sep</v>
      </c>
      <c r="D339" s="2" t="s">
        <v>498</v>
      </c>
      <c r="E339" s="2" t="s">
        <v>120</v>
      </c>
      <c r="F339" s="2" t="str" cm="1">
        <f t="array" ref="F3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39" s="2" t="str" cm="1">
        <f t="array" ref="G3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39" s="2" t="s">
        <v>65</v>
      </c>
      <c r="I339" s="2" t="s">
        <v>23</v>
      </c>
      <c r="J339" s="2">
        <v>3</v>
      </c>
      <c r="K339" s="8">
        <v>1899</v>
      </c>
      <c r="L339" s="3">
        <v>0.15</v>
      </c>
      <c r="M339" s="12">
        <f>K339*L339</f>
        <v>284.84999999999997</v>
      </c>
      <c r="N339" s="12">
        <f>K339*J339</f>
        <v>5697</v>
      </c>
      <c r="O339" s="12">
        <f>N339-M339</f>
        <v>5412.15</v>
      </c>
      <c r="P339" s="2" t="s">
        <v>45</v>
      </c>
      <c r="Q339" s="2" t="s">
        <v>18</v>
      </c>
      <c r="R339" s="2">
        <v>80</v>
      </c>
      <c r="S339" s="20">
        <f>Table1[[#This Row],[Net_revenue]]/Table1[[#This Row],[Gross_revenue]]*100%</f>
        <v>0.95</v>
      </c>
      <c r="T339" s="18">
        <f>COUNTIFS(Table1[Customer ID], "&gt;1", Table1[Customer ID], 1)</f>
        <v>0</v>
      </c>
    </row>
    <row r="340" spans="1:20" hidden="1" x14ac:dyDescent="0.3">
      <c r="A340" s="2" t="s">
        <v>676</v>
      </c>
      <c r="B340" s="5">
        <v>45895</v>
      </c>
      <c r="C340" s="5" t="str">
        <f>TEXT(B340,"mmm")</f>
        <v>Aug</v>
      </c>
      <c r="D340" s="2" t="s">
        <v>677</v>
      </c>
      <c r="E340" s="2" t="s">
        <v>40</v>
      </c>
      <c r="F340" s="2" t="str" cm="1">
        <f t="array" ref="F3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40" s="2" t="str" cm="1">
        <f t="array" ref="G3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40" s="2" t="s">
        <v>121</v>
      </c>
      <c r="I340" s="2" t="s">
        <v>95</v>
      </c>
      <c r="J340" s="2">
        <v>1</v>
      </c>
      <c r="K340" s="8">
        <v>1299</v>
      </c>
      <c r="L340" s="3">
        <v>0</v>
      </c>
      <c r="M340" s="12">
        <f>K340*L340</f>
        <v>0</v>
      </c>
      <c r="N340" s="12">
        <f>K340*J340</f>
        <v>1299</v>
      </c>
      <c r="O340" s="12">
        <f>N340-M340</f>
        <v>1299</v>
      </c>
      <c r="P340" s="2" t="s">
        <v>45</v>
      </c>
      <c r="Q340" s="2" t="s">
        <v>72</v>
      </c>
      <c r="R340" s="2">
        <v>80</v>
      </c>
      <c r="S340" s="20">
        <f>Table1[[#This Row],[Net_revenue]]/Table1[[#This Row],[Gross_revenue]]*100%</f>
        <v>1</v>
      </c>
      <c r="T340" s="18">
        <f>COUNTIFS(Table1[Customer ID], "&gt;1", Table1[Customer ID], 1)</f>
        <v>0</v>
      </c>
    </row>
    <row r="341" spans="1:20" hidden="1" x14ac:dyDescent="0.3">
      <c r="A341" s="2" t="s">
        <v>678</v>
      </c>
      <c r="B341" s="5">
        <v>45697</v>
      </c>
      <c r="C341" s="5" t="str">
        <f>TEXT(B341,"mmm")</f>
        <v>Feb</v>
      </c>
      <c r="D341" s="2" t="s">
        <v>679</v>
      </c>
      <c r="E341" s="2" t="s">
        <v>21</v>
      </c>
      <c r="F341" s="2" t="str" cm="1">
        <f t="array" ref="F3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41" s="2" t="str" cm="1">
        <f t="array" ref="G3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41" s="2" t="s">
        <v>41</v>
      </c>
      <c r="I341" s="2" t="s">
        <v>16</v>
      </c>
      <c r="J341" s="2">
        <v>1</v>
      </c>
      <c r="K341" s="8">
        <v>2299</v>
      </c>
      <c r="L341" s="3">
        <v>0.05</v>
      </c>
      <c r="M341" s="12">
        <f>K341*L341</f>
        <v>114.95</v>
      </c>
      <c r="N341" s="12">
        <f>K341*J341</f>
        <v>2299</v>
      </c>
      <c r="O341" s="12">
        <f>N341-M341</f>
        <v>2184.0500000000002</v>
      </c>
      <c r="P341" s="2" t="s">
        <v>30</v>
      </c>
      <c r="Q341" s="2" t="s">
        <v>18</v>
      </c>
      <c r="R341" s="2">
        <v>80</v>
      </c>
      <c r="S341" s="20">
        <f>Table1[[#This Row],[Net_revenue]]/Table1[[#This Row],[Gross_revenue]]*100%</f>
        <v>0.95000000000000007</v>
      </c>
      <c r="T341" s="18">
        <f>COUNTIFS(Table1[Customer ID], "&gt;1", Table1[Customer ID], 1)</f>
        <v>0</v>
      </c>
    </row>
    <row r="342" spans="1:20" hidden="1" x14ac:dyDescent="0.3">
      <c r="A342" s="2" t="s">
        <v>680</v>
      </c>
      <c r="B342" s="5">
        <v>45868</v>
      </c>
      <c r="C342" s="5" t="str">
        <f>TEXT(B342,"mmm")</f>
        <v>Jul</v>
      </c>
      <c r="D342" s="2" t="s">
        <v>681</v>
      </c>
      <c r="E342" s="2" t="s">
        <v>48</v>
      </c>
      <c r="F342" s="2" t="str" cm="1">
        <f t="array" ref="F3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42" s="2" t="str" cm="1">
        <f t="array" ref="G3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42" s="2" t="s">
        <v>41</v>
      </c>
      <c r="I342" s="2" t="s">
        <v>16</v>
      </c>
      <c r="J342" s="2">
        <v>1</v>
      </c>
      <c r="K342" s="8">
        <v>2299</v>
      </c>
      <c r="L342" s="3">
        <v>0.15</v>
      </c>
      <c r="M342" s="12">
        <f>K342*L342</f>
        <v>344.84999999999997</v>
      </c>
      <c r="N342" s="12">
        <f>K342*J342</f>
        <v>2299</v>
      </c>
      <c r="O342" s="12">
        <f>N342-M342</f>
        <v>1954.15</v>
      </c>
      <c r="P342" s="2" t="s">
        <v>30</v>
      </c>
      <c r="Q342" s="2" t="s">
        <v>18</v>
      </c>
      <c r="R342" s="2">
        <v>40</v>
      </c>
      <c r="S342" s="20">
        <f>Table1[[#This Row],[Net_revenue]]/Table1[[#This Row],[Gross_revenue]]*100%</f>
        <v>0.85000000000000009</v>
      </c>
      <c r="T342" s="18">
        <f>COUNTIFS(Table1[Customer ID], "&gt;1", Table1[Customer ID], 1)</f>
        <v>0</v>
      </c>
    </row>
    <row r="343" spans="1:20" hidden="1" x14ac:dyDescent="0.3">
      <c r="A343" s="2" t="s">
        <v>682</v>
      </c>
      <c r="B343" s="5">
        <v>46006</v>
      </c>
      <c r="C343" s="5" t="str">
        <f>TEXT(B343,"mmm")</f>
        <v>Dec</v>
      </c>
      <c r="D343" s="2" t="s">
        <v>383</v>
      </c>
      <c r="E343" s="2" t="s">
        <v>53</v>
      </c>
      <c r="F343" s="2" t="str" cm="1">
        <f t="array" ref="F3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343" s="2" t="str" cm="1">
        <f t="array" ref="G3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43" s="2" t="s">
        <v>94</v>
      </c>
      <c r="I343" s="2" t="s">
        <v>95</v>
      </c>
      <c r="J343" s="2">
        <v>1</v>
      </c>
      <c r="K343" s="8">
        <v>399</v>
      </c>
      <c r="L343" s="3">
        <v>0</v>
      </c>
      <c r="M343" s="12">
        <f>K343*L343</f>
        <v>0</v>
      </c>
      <c r="N343" s="12">
        <f>K343*J343</f>
        <v>399</v>
      </c>
      <c r="O343" s="12">
        <f>N343-M343</f>
        <v>399</v>
      </c>
      <c r="P343" s="2" t="s">
        <v>45</v>
      </c>
      <c r="Q343" s="2" t="s">
        <v>18</v>
      </c>
      <c r="R343" s="2">
        <v>60</v>
      </c>
      <c r="S343" s="20">
        <f>Table1[[#This Row],[Net_revenue]]/Table1[[#This Row],[Gross_revenue]]*100%</f>
        <v>1</v>
      </c>
      <c r="T343" s="18">
        <f>COUNTIFS(Table1[Customer ID], "&gt;1", Table1[Customer ID], 1)</f>
        <v>0</v>
      </c>
    </row>
    <row r="344" spans="1:20" hidden="1" x14ac:dyDescent="0.3">
      <c r="A344" s="2" t="s">
        <v>683</v>
      </c>
      <c r="B344" s="5">
        <v>46016</v>
      </c>
      <c r="C344" s="5" t="str">
        <f>TEXT(B344,"mmm")</f>
        <v>Dec</v>
      </c>
      <c r="D344" s="2" t="s">
        <v>154</v>
      </c>
      <c r="E344" s="2" t="s">
        <v>21</v>
      </c>
      <c r="F344" s="2" t="str" cm="1">
        <f t="array" ref="F3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44" s="2" t="str" cm="1">
        <f t="array" ref="G3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44" s="2" t="s">
        <v>68</v>
      </c>
      <c r="I344" s="2" t="s">
        <v>16</v>
      </c>
      <c r="J344" s="2">
        <v>5</v>
      </c>
      <c r="K344" s="8">
        <v>599</v>
      </c>
      <c r="L344" s="3">
        <v>0.05</v>
      </c>
      <c r="M344" s="12">
        <f>K344*L344</f>
        <v>29.950000000000003</v>
      </c>
      <c r="N344" s="12">
        <f>K344*J344</f>
        <v>2995</v>
      </c>
      <c r="O344" s="12">
        <f>N344-M344</f>
        <v>2965.05</v>
      </c>
      <c r="P344" s="2" t="s">
        <v>45</v>
      </c>
      <c r="Q344" s="2" t="s">
        <v>18</v>
      </c>
      <c r="R344" s="2">
        <v>80</v>
      </c>
      <c r="S344" s="20">
        <f>Table1[[#This Row],[Net_revenue]]/Table1[[#This Row],[Gross_revenue]]*100%</f>
        <v>0.9900000000000001</v>
      </c>
      <c r="T344" s="18">
        <f>COUNTIFS(Table1[Customer ID], "&gt;1", Table1[Customer ID], 1)</f>
        <v>0</v>
      </c>
    </row>
    <row r="345" spans="1:20" hidden="1" x14ac:dyDescent="0.3">
      <c r="A345" s="2" t="s">
        <v>684</v>
      </c>
      <c r="B345" s="5">
        <v>45838</v>
      </c>
      <c r="C345" s="5" t="str">
        <f>TEXT(B345,"mmm")</f>
        <v>Jun</v>
      </c>
      <c r="D345" s="2" t="s">
        <v>685</v>
      </c>
      <c r="E345" s="2" t="s">
        <v>14</v>
      </c>
      <c r="F345" s="2" t="str" cm="1">
        <f t="array" ref="F3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345" s="2" t="str" cm="1">
        <f t="array" ref="G3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345" s="2" t="s">
        <v>80</v>
      </c>
      <c r="I345" s="2" t="s">
        <v>23</v>
      </c>
      <c r="J345" s="2">
        <v>4</v>
      </c>
      <c r="K345" s="8">
        <v>799</v>
      </c>
      <c r="L345" s="3">
        <v>0.25</v>
      </c>
      <c r="M345" s="12">
        <f>K345*L345</f>
        <v>199.75</v>
      </c>
      <c r="N345" s="12">
        <f>K345*J345</f>
        <v>3196</v>
      </c>
      <c r="O345" s="12">
        <f>N345-M345</f>
        <v>2996.25</v>
      </c>
      <c r="P345" s="2" t="s">
        <v>45</v>
      </c>
      <c r="Q345" s="2" t="s">
        <v>18</v>
      </c>
      <c r="R345" s="2">
        <v>80</v>
      </c>
      <c r="S345" s="20">
        <f>Table1[[#This Row],[Net_revenue]]/Table1[[#This Row],[Gross_revenue]]*100%</f>
        <v>0.9375</v>
      </c>
      <c r="T345" s="18">
        <f>COUNTIFS(Table1[Customer ID], "&gt;1", Table1[Customer ID], 1)</f>
        <v>0</v>
      </c>
    </row>
    <row r="346" spans="1:20" hidden="1" x14ac:dyDescent="0.3">
      <c r="A346" s="2" t="s">
        <v>686</v>
      </c>
      <c r="B346" s="5">
        <v>45949</v>
      </c>
      <c r="C346" s="5" t="str">
        <f>TEXT(B346,"mmm")</f>
        <v>Oct</v>
      </c>
      <c r="D346" s="2" t="s">
        <v>687</v>
      </c>
      <c r="E346" s="2" t="s">
        <v>21</v>
      </c>
      <c r="F346" s="2" t="str" cm="1">
        <f t="array" ref="F3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46" s="2" t="str" cm="1">
        <f t="array" ref="G3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46" s="2" t="s">
        <v>117</v>
      </c>
      <c r="I346" s="2" t="s">
        <v>23</v>
      </c>
      <c r="J346" s="2">
        <v>1</v>
      </c>
      <c r="K346" s="8">
        <v>2199</v>
      </c>
      <c r="L346" s="3">
        <v>0.15</v>
      </c>
      <c r="M346" s="12">
        <f>K346*L346</f>
        <v>329.84999999999997</v>
      </c>
      <c r="N346" s="12">
        <f>K346*J346</f>
        <v>2199</v>
      </c>
      <c r="O346" s="12">
        <f>N346-M346</f>
        <v>1869.15</v>
      </c>
      <c r="P346" s="2" t="s">
        <v>30</v>
      </c>
      <c r="Q346" s="2" t="s">
        <v>50</v>
      </c>
      <c r="R346" s="2">
        <v>0</v>
      </c>
      <c r="S346" s="20">
        <f>Table1[[#This Row],[Net_revenue]]/Table1[[#This Row],[Gross_revenue]]*100%</f>
        <v>0.85000000000000009</v>
      </c>
      <c r="T346" s="18">
        <f>COUNTIFS(Table1[Customer ID], "&gt;1", Table1[Customer ID], 1)</f>
        <v>0</v>
      </c>
    </row>
    <row r="347" spans="1:20" hidden="1" x14ac:dyDescent="0.3">
      <c r="A347" s="2" t="s">
        <v>688</v>
      </c>
      <c r="B347" s="5">
        <v>45963</v>
      </c>
      <c r="C347" s="5" t="str">
        <f>TEXT(B347,"mmm")</f>
        <v>Nov</v>
      </c>
      <c r="D347" s="2" t="s">
        <v>689</v>
      </c>
      <c r="E347" s="2" t="s">
        <v>48</v>
      </c>
      <c r="F347" s="2" t="str" cm="1">
        <f t="array" ref="F3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47" s="2" t="str" cm="1">
        <f t="array" ref="G3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47" s="2" t="s">
        <v>49</v>
      </c>
      <c r="I347" s="2" t="s">
        <v>23</v>
      </c>
      <c r="J347" s="2">
        <v>1</v>
      </c>
      <c r="K347" s="8">
        <v>1299</v>
      </c>
      <c r="L347" s="3">
        <v>0.2</v>
      </c>
      <c r="M347" s="12">
        <f>K347*L347</f>
        <v>259.8</v>
      </c>
      <c r="N347" s="12">
        <f>K347*J347</f>
        <v>1299</v>
      </c>
      <c r="O347" s="12">
        <f>N347-M347</f>
        <v>1039.2</v>
      </c>
      <c r="P347" s="2" t="s">
        <v>24</v>
      </c>
      <c r="Q347" s="2" t="s">
        <v>18</v>
      </c>
      <c r="R347" s="2">
        <v>0</v>
      </c>
      <c r="S347" s="20">
        <f>Table1[[#This Row],[Net_revenue]]/Table1[[#This Row],[Gross_revenue]]*100%</f>
        <v>0.8</v>
      </c>
      <c r="T347" s="18">
        <f>COUNTIFS(Table1[Customer ID], "&gt;1", Table1[Customer ID], 1)</f>
        <v>0</v>
      </c>
    </row>
    <row r="348" spans="1:20" hidden="1" x14ac:dyDescent="0.3">
      <c r="A348" s="2" t="s">
        <v>690</v>
      </c>
      <c r="B348" s="5">
        <v>45704</v>
      </c>
      <c r="C348" s="5" t="str">
        <f>TEXT(B348,"mmm")</f>
        <v>Feb</v>
      </c>
      <c r="D348" s="2" t="s">
        <v>517</v>
      </c>
      <c r="E348" s="2" t="s">
        <v>21</v>
      </c>
      <c r="F348" s="2" t="str" cm="1">
        <f t="array" ref="F3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48" s="2" t="str" cm="1">
        <f t="array" ref="G3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48" s="2" t="s">
        <v>117</v>
      </c>
      <c r="I348" s="2" t="s">
        <v>23</v>
      </c>
      <c r="J348" s="2">
        <v>2</v>
      </c>
      <c r="K348" s="8">
        <v>2199</v>
      </c>
      <c r="L348" s="3">
        <v>0.05</v>
      </c>
      <c r="M348" s="12">
        <f>K348*L348</f>
        <v>109.95</v>
      </c>
      <c r="N348" s="12">
        <f>K348*J348</f>
        <v>4398</v>
      </c>
      <c r="O348" s="12">
        <f>N348-M348</f>
        <v>4288.05</v>
      </c>
      <c r="P348" s="2" t="s">
        <v>17</v>
      </c>
      <c r="Q348" s="2" t="s">
        <v>50</v>
      </c>
      <c r="R348" s="2">
        <v>60</v>
      </c>
      <c r="S348" s="20">
        <f>Table1[[#This Row],[Net_revenue]]/Table1[[#This Row],[Gross_revenue]]*100%</f>
        <v>0.97500000000000009</v>
      </c>
      <c r="T348" s="18">
        <f>COUNTIFS(Table1[Customer ID], "&gt;1", Table1[Customer ID], 1)</f>
        <v>0</v>
      </c>
    </row>
    <row r="349" spans="1:20" hidden="1" x14ac:dyDescent="0.3">
      <c r="A349" s="2" t="s">
        <v>691</v>
      </c>
      <c r="B349" s="5">
        <v>45809</v>
      </c>
      <c r="C349" s="5" t="str">
        <f>TEXT(B349,"mmm")</f>
        <v>Jun</v>
      </c>
      <c r="D349" s="2" t="s">
        <v>692</v>
      </c>
      <c r="E349" s="2" t="s">
        <v>21</v>
      </c>
      <c r="F349" s="2" t="str" cm="1">
        <f t="array" ref="F3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49" s="2" t="str" cm="1">
        <f t="array" ref="G3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49" s="2" t="s">
        <v>183</v>
      </c>
      <c r="I349" s="2" t="s">
        <v>37</v>
      </c>
      <c r="J349" s="2">
        <v>4</v>
      </c>
      <c r="K349" s="8">
        <v>499</v>
      </c>
      <c r="L349" s="3">
        <v>0.1</v>
      </c>
      <c r="M349" s="12">
        <f>K349*L349</f>
        <v>49.900000000000006</v>
      </c>
      <c r="N349" s="12">
        <f>K349*J349</f>
        <v>1996</v>
      </c>
      <c r="O349" s="12">
        <f>N349-M349</f>
        <v>1946.1</v>
      </c>
      <c r="P349" s="2" t="s">
        <v>45</v>
      </c>
      <c r="Q349" s="2" t="s">
        <v>18</v>
      </c>
      <c r="R349" s="2">
        <v>60</v>
      </c>
      <c r="S349" s="20">
        <f>Table1[[#This Row],[Net_revenue]]/Table1[[#This Row],[Gross_revenue]]*100%</f>
        <v>0.97499999999999998</v>
      </c>
      <c r="T349" s="18">
        <f>COUNTIFS(Table1[Customer ID], "&gt;1", Table1[Customer ID], 1)</f>
        <v>0</v>
      </c>
    </row>
    <row r="350" spans="1:20" hidden="1" x14ac:dyDescent="0.3">
      <c r="A350" s="2" t="s">
        <v>693</v>
      </c>
      <c r="B350" s="5">
        <v>45923</v>
      </c>
      <c r="C350" s="5" t="str">
        <f>TEXT(B350,"mmm")</f>
        <v>Sep</v>
      </c>
      <c r="D350" s="2" t="s">
        <v>100</v>
      </c>
      <c r="E350" s="2" t="s">
        <v>56</v>
      </c>
      <c r="F350" s="2" t="str" cm="1">
        <f t="array" ref="F3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50" s="2" t="str" cm="1">
        <f t="array" ref="G3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50" s="2" t="s">
        <v>217</v>
      </c>
      <c r="I350" s="2" t="s">
        <v>29</v>
      </c>
      <c r="J350" s="2">
        <v>3</v>
      </c>
      <c r="K350" s="8">
        <v>3299</v>
      </c>
      <c r="L350" s="3">
        <v>0.2</v>
      </c>
      <c r="M350" s="12">
        <f>K350*L350</f>
        <v>659.80000000000007</v>
      </c>
      <c r="N350" s="12">
        <f>K350*J350</f>
        <v>9897</v>
      </c>
      <c r="O350" s="12">
        <f>N350-M350</f>
        <v>9237.2000000000007</v>
      </c>
      <c r="P350" s="2" t="s">
        <v>30</v>
      </c>
      <c r="Q350" s="2" t="s">
        <v>18</v>
      </c>
      <c r="R350" s="2">
        <v>80</v>
      </c>
      <c r="S350" s="20">
        <f>Table1[[#This Row],[Net_revenue]]/Table1[[#This Row],[Gross_revenue]]*100%</f>
        <v>0.93333333333333346</v>
      </c>
      <c r="T350" s="18">
        <f>COUNTIFS(Table1[Customer ID], "&gt;1", Table1[Customer ID], 1)</f>
        <v>0</v>
      </c>
    </row>
    <row r="351" spans="1:20" hidden="1" x14ac:dyDescent="0.3">
      <c r="A351" s="2" t="s">
        <v>694</v>
      </c>
      <c r="B351" s="5">
        <v>45682</v>
      </c>
      <c r="C351" s="5" t="str">
        <f>TEXT(B351,"mmm")</f>
        <v>Jan</v>
      </c>
      <c r="D351" s="2" t="s">
        <v>695</v>
      </c>
      <c r="E351" s="2" t="s">
        <v>48</v>
      </c>
      <c r="F351" s="2" t="str" cm="1">
        <f t="array" ref="F3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51" s="2" t="str" cm="1">
        <f t="array" ref="G3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51" s="2" t="s">
        <v>63</v>
      </c>
      <c r="I351" s="2" t="s">
        <v>23</v>
      </c>
      <c r="J351" s="2">
        <v>4</v>
      </c>
      <c r="K351" s="8">
        <v>2499</v>
      </c>
      <c r="L351" s="3">
        <v>0.05</v>
      </c>
      <c r="M351" s="12">
        <f>K351*L351</f>
        <v>124.95</v>
      </c>
      <c r="N351" s="12">
        <f>K351*J351</f>
        <v>9996</v>
      </c>
      <c r="O351" s="12">
        <f>N351-M351</f>
        <v>9871.0499999999993</v>
      </c>
      <c r="P351" s="2" t="s">
        <v>17</v>
      </c>
      <c r="Q351" s="2" t="s">
        <v>18</v>
      </c>
      <c r="R351" s="2">
        <v>60</v>
      </c>
      <c r="S351" s="20">
        <f>Table1[[#This Row],[Net_revenue]]/Table1[[#This Row],[Gross_revenue]]*100%</f>
        <v>0.98749999999999993</v>
      </c>
      <c r="T351" s="18">
        <f>COUNTIFS(Table1[Customer ID], "&gt;1", Table1[Customer ID], 1)</f>
        <v>0</v>
      </c>
    </row>
    <row r="352" spans="1:20" hidden="1" x14ac:dyDescent="0.3">
      <c r="A352" s="2" t="s">
        <v>696</v>
      </c>
      <c r="B352" s="5">
        <v>45827</v>
      </c>
      <c r="C352" s="5" t="str">
        <f>TEXT(B352,"mmm")</f>
        <v>Jun</v>
      </c>
      <c r="D352" s="2" t="s">
        <v>697</v>
      </c>
      <c r="E352" s="2" t="s">
        <v>56</v>
      </c>
      <c r="F352" s="2" t="str" cm="1">
        <f t="array" ref="F3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52" s="2" t="str" cm="1">
        <f t="array" ref="G3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52" s="2" t="s">
        <v>28</v>
      </c>
      <c r="I352" s="2" t="s">
        <v>29</v>
      </c>
      <c r="J352" s="2">
        <v>3</v>
      </c>
      <c r="K352" s="8">
        <v>2799</v>
      </c>
      <c r="L352" s="3">
        <v>0</v>
      </c>
      <c r="M352" s="12">
        <f>K352*L352</f>
        <v>0</v>
      </c>
      <c r="N352" s="12">
        <f>K352*J352</f>
        <v>8397</v>
      </c>
      <c r="O352" s="12">
        <f>N352-M352</f>
        <v>8397</v>
      </c>
      <c r="P352" s="2" t="s">
        <v>45</v>
      </c>
      <c r="Q352" s="2" t="s">
        <v>18</v>
      </c>
      <c r="R352" s="2">
        <v>40</v>
      </c>
      <c r="S352" s="20">
        <f>Table1[[#This Row],[Net_revenue]]/Table1[[#This Row],[Gross_revenue]]*100%</f>
        <v>1</v>
      </c>
      <c r="T352" s="18">
        <f>COUNTIFS(Table1[Customer ID], "&gt;1", Table1[Customer ID], 1)</f>
        <v>0</v>
      </c>
    </row>
    <row r="353" spans="1:20" hidden="1" x14ac:dyDescent="0.3">
      <c r="A353" s="2" t="s">
        <v>698</v>
      </c>
      <c r="B353" s="5">
        <v>45989</v>
      </c>
      <c r="C353" s="5" t="str">
        <f>TEXT(B353,"mmm")</f>
        <v>Nov</v>
      </c>
      <c r="D353" s="2" t="s">
        <v>699</v>
      </c>
      <c r="E353" s="2" t="s">
        <v>48</v>
      </c>
      <c r="F353" s="2" t="str" cm="1">
        <f t="array" ref="F3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53" s="2" t="str" cm="1">
        <f t="array" ref="G3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53" s="2" t="s">
        <v>22</v>
      </c>
      <c r="I353" s="2" t="s">
        <v>23</v>
      </c>
      <c r="J353" s="2">
        <v>1</v>
      </c>
      <c r="K353" s="8">
        <v>3999</v>
      </c>
      <c r="L353" s="3">
        <v>0.05</v>
      </c>
      <c r="M353" s="12">
        <f>K353*L353</f>
        <v>199.95000000000002</v>
      </c>
      <c r="N353" s="12">
        <f>K353*J353</f>
        <v>3999</v>
      </c>
      <c r="O353" s="12">
        <f>N353-M353</f>
        <v>3799.05</v>
      </c>
      <c r="P353" s="2" t="s">
        <v>45</v>
      </c>
      <c r="Q353" s="2" t="s">
        <v>18</v>
      </c>
      <c r="R353" s="2">
        <v>0</v>
      </c>
      <c r="S353" s="20">
        <f>Table1[[#This Row],[Net_revenue]]/Table1[[#This Row],[Gross_revenue]]*100%</f>
        <v>0.95000000000000007</v>
      </c>
      <c r="T353" s="18">
        <f>COUNTIFS(Table1[Customer ID], "&gt;1", Table1[Customer ID], 1)</f>
        <v>0</v>
      </c>
    </row>
    <row r="354" spans="1:20" hidden="1" x14ac:dyDescent="0.3">
      <c r="A354" s="2" t="s">
        <v>700</v>
      </c>
      <c r="B354" s="5">
        <v>45949</v>
      </c>
      <c r="C354" s="5" t="str">
        <f>TEXT(B354,"mmm")</f>
        <v>Oct</v>
      </c>
      <c r="D354" s="2" t="s">
        <v>701</v>
      </c>
      <c r="E354" s="2" t="s">
        <v>48</v>
      </c>
      <c r="F354" s="2" t="str" cm="1">
        <f t="array" ref="F3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54" s="2" t="str" cm="1">
        <f t="array" ref="G3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54" s="2" t="s">
        <v>71</v>
      </c>
      <c r="I354" s="2" t="s">
        <v>29</v>
      </c>
      <c r="J354" s="2">
        <v>1</v>
      </c>
      <c r="K354" s="8">
        <v>5499</v>
      </c>
      <c r="L354" s="3">
        <v>0.25</v>
      </c>
      <c r="M354" s="12">
        <f>K354*L354</f>
        <v>1374.75</v>
      </c>
      <c r="N354" s="12">
        <f>K354*J354</f>
        <v>5499</v>
      </c>
      <c r="O354" s="12">
        <f>N354-M354</f>
        <v>4124.25</v>
      </c>
      <c r="P354" s="2" t="s">
        <v>45</v>
      </c>
      <c r="Q354" s="2" t="s">
        <v>18</v>
      </c>
      <c r="R354" s="2">
        <v>80</v>
      </c>
      <c r="S354" s="20">
        <f>Table1[[#This Row],[Net_revenue]]/Table1[[#This Row],[Gross_revenue]]*100%</f>
        <v>0.75</v>
      </c>
      <c r="T354" s="18">
        <f>COUNTIFS(Table1[Customer ID], "&gt;1", Table1[Customer ID], 1)</f>
        <v>0</v>
      </c>
    </row>
    <row r="355" spans="1:20" hidden="1" x14ac:dyDescent="0.3">
      <c r="A355" s="2" t="s">
        <v>702</v>
      </c>
      <c r="B355" s="5">
        <v>45942</v>
      </c>
      <c r="C355" s="5" t="str">
        <f>TEXT(B355,"mmm")</f>
        <v>Oct</v>
      </c>
      <c r="D355" s="2" t="s">
        <v>703</v>
      </c>
      <c r="E355" s="2" t="s">
        <v>195</v>
      </c>
      <c r="F355" s="2" t="str" cm="1">
        <f t="array" ref="F3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355" s="2" t="str" cm="1">
        <f t="array" ref="G3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55" s="2" t="s">
        <v>49</v>
      </c>
      <c r="I355" s="2" t="s">
        <v>23</v>
      </c>
      <c r="J355" s="2">
        <v>1</v>
      </c>
      <c r="K355" s="8">
        <v>1299</v>
      </c>
      <c r="L355" s="3">
        <v>0.05</v>
      </c>
      <c r="M355" s="12">
        <f>K355*L355</f>
        <v>64.95</v>
      </c>
      <c r="N355" s="12">
        <f>K355*J355</f>
        <v>1299</v>
      </c>
      <c r="O355" s="12">
        <f>N355-M355</f>
        <v>1234.05</v>
      </c>
      <c r="P355" s="2" t="s">
        <v>17</v>
      </c>
      <c r="Q355" s="2" t="s">
        <v>18</v>
      </c>
      <c r="R355" s="2">
        <v>40</v>
      </c>
      <c r="S355" s="20">
        <f>Table1[[#This Row],[Net_revenue]]/Table1[[#This Row],[Gross_revenue]]*100%</f>
        <v>0.95</v>
      </c>
      <c r="T355" s="18">
        <f>COUNTIFS(Table1[Customer ID], "&gt;1", Table1[Customer ID], 1)</f>
        <v>0</v>
      </c>
    </row>
    <row r="356" spans="1:20" hidden="1" x14ac:dyDescent="0.3">
      <c r="A356" s="2" t="s">
        <v>704</v>
      </c>
      <c r="B356" s="5">
        <v>45781</v>
      </c>
      <c r="C356" s="5" t="str">
        <f>TEXT(B356,"mmm")</f>
        <v>May</v>
      </c>
      <c r="D356" s="2" t="s">
        <v>705</v>
      </c>
      <c r="E356" s="2" t="s">
        <v>48</v>
      </c>
      <c r="F356" s="2" t="str" cm="1">
        <f t="array" ref="F3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56" s="2" t="str" cm="1">
        <f t="array" ref="G3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56" s="2" t="s">
        <v>188</v>
      </c>
      <c r="I356" s="2" t="s">
        <v>95</v>
      </c>
      <c r="J356" s="2">
        <v>2</v>
      </c>
      <c r="K356" s="8">
        <v>699</v>
      </c>
      <c r="L356" s="3">
        <v>0.1</v>
      </c>
      <c r="M356" s="12">
        <f>K356*L356</f>
        <v>69.900000000000006</v>
      </c>
      <c r="N356" s="12">
        <f>K356*J356</f>
        <v>1398</v>
      </c>
      <c r="O356" s="12">
        <f>N356-M356</f>
        <v>1328.1</v>
      </c>
      <c r="P356" s="2" t="s">
        <v>17</v>
      </c>
      <c r="Q356" s="2" t="s">
        <v>18</v>
      </c>
      <c r="R356" s="2">
        <v>80</v>
      </c>
      <c r="S356" s="20">
        <f>Table1[[#This Row],[Net_revenue]]/Table1[[#This Row],[Gross_revenue]]*100%</f>
        <v>0.95</v>
      </c>
      <c r="T356" s="18">
        <f>COUNTIFS(Table1[Customer ID], "&gt;1", Table1[Customer ID], 1)</f>
        <v>0</v>
      </c>
    </row>
    <row r="357" spans="1:20" hidden="1" x14ac:dyDescent="0.3">
      <c r="A357" s="2" t="s">
        <v>706</v>
      </c>
      <c r="B357" s="5">
        <v>45916</v>
      </c>
      <c r="C357" s="5" t="str">
        <f>TEXT(B357,"mmm")</f>
        <v>Sep</v>
      </c>
      <c r="D357" s="2" t="s">
        <v>440</v>
      </c>
      <c r="E357" s="2" t="s">
        <v>21</v>
      </c>
      <c r="F357" s="2" t="str" cm="1">
        <f t="array" ref="F3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57" s="2" t="str" cm="1">
        <f t="array" ref="G3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57" s="2" t="s">
        <v>89</v>
      </c>
      <c r="I357" s="2" t="s">
        <v>29</v>
      </c>
      <c r="J357" s="2">
        <v>5</v>
      </c>
      <c r="K357" s="8">
        <v>449</v>
      </c>
      <c r="L357" s="3">
        <v>0.15</v>
      </c>
      <c r="M357" s="12">
        <f>K357*L357</f>
        <v>67.349999999999994</v>
      </c>
      <c r="N357" s="12">
        <f>K357*J357</f>
        <v>2245</v>
      </c>
      <c r="O357" s="12">
        <f>N357-M357</f>
        <v>2177.65</v>
      </c>
      <c r="P357" s="2" t="s">
        <v>45</v>
      </c>
      <c r="Q357" s="2" t="s">
        <v>18</v>
      </c>
      <c r="R357" s="2">
        <v>60</v>
      </c>
      <c r="S357" s="20">
        <f>Table1[[#This Row],[Net_revenue]]/Table1[[#This Row],[Gross_revenue]]*100%</f>
        <v>0.97000000000000008</v>
      </c>
      <c r="T357" s="18">
        <f>COUNTIFS(Table1[Customer ID], "&gt;1", Table1[Customer ID], 1)</f>
        <v>0</v>
      </c>
    </row>
    <row r="358" spans="1:20" hidden="1" x14ac:dyDescent="0.3">
      <c r="A358" s="2" t="s">
        <v>707</v>
      </c>
      <c r="B358" s="5">
        <v>45698</v>
      </c>
      <c r="C358" s="5" t="str">
        <f>TEXT(B358,"mmm")</f>
        <v>Feb</v>
      </c>
      <c r="D358" s="2" t="s">
        <v>93</v>
      </c>
      <c r="E358" s="2" t="s">
        <v>21</v>
      </c>
      <c r="F358" s="2" t="str" cm="1">
        <f t="array" ref="F3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58" s="2" t="str" cm="1">
        <f t="array" ref="G3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58" s="2" t="s">
        <v>183</v>
      </c>
      <c r="I358" s="2" t="s">
        <v>37</v>
      </c>
      <c r="J358" s="2">
        <v>2</v>
      </c>
      <c r="K358" s="8">
        <v>499</v>
      </c>
      <c r="L358" s="3">
        <v>0.2</v>
      </c>
      <c r="M358" s="12">
        <f>K358*L358</f>
        <v>99.800000000000011</v>
      </c>
      <c r="N358" s="12">
        <f>K358*J358</f>
        <v>998</v>
      </c>
      <c r="O358" s="12">
        <f>N358-M358</f>
        <v>898.2</v>
      </c>
      <c r="P358" s="2" t="s">
        <v>45</v>
      </c>
      <c r="Q358" s="2" t="s">
        <v>18</v>
      </c>
      <c r="R358" s="2">
        <v>60</v>
      </c>
      <c r="S358" s="20">
        <f>Table1[[#This Row],[Net_revenue]]/Table1[[#This Row],[Gross_revenue]]*100%</f>
        <v>0.9</v>
      </c>
      <c r="T358" s="18">
        <f>COUNTIFS(Table1[Customer ID], "&gt;1", Table1[Customer ID], 1)</f>
        <v>0</v>
      </c>
    </row>
    <row r="359" spans="1:20" hidden="1" x14ac:dyDescent="0.3">
      <c r="A359" s="2" t="s">
        <v>708</v>
      </c>
      <c r="B359" s="5">
        <v>45688</v>
      </c>
      <c r="C359" s="5" t="str">
        <f>TEXT(B359,"mmm")</f>
        <v>Jan</v>
      </c>
      <c r="D359" s="2" t="s">
        <v>343</v>
      </c>
      <c r="E359" s="2" t="s">
        <v>21</v>
      </c>
      <c r="F359" s="2" t="str" cm="1">
        <f t="array" ref="F3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59" s="2" t="str" cm="1">
        <f t="array" ref="G3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59" s="2" t="s">
        <v>63</v>
      </c>
      <c r="I359" s="2" t="s">
        <v>23</v>
      </c>
      <c r="J359" s="2">
        <v>1</v>
      </c>
      <c r="K359" s="8">
        <v>2499</v>
      </c>
      <c r="L359" s="3">
        <v>0.2</v>
      </c>
      <c r="M359" s="12">
        <f>K359*L359</f>
        <v>499.8</v>
      </c>
      <c r="N359" s="12">
        <f>K359*J359</f>
        <v>2499</v>
      </c>
      <c r="O359" s="12">
        <f>N359-M359</f>
        <v>1999.2</v>
      </c>
      <c r="P359" s="2" t="s">
        <v>30</v>
      </c>
      <c r="Q359" s="2" t="s">
        <v>72</v>
      </c>
      <c r="R359" s="2">
        <v>40</v>
      </c>
      <c r="S359" s="20">
        <f>Table1[[#This Row],[Net_revenue]]/Table1[[#This Row],[Gross_revenue]]*100%</f>
        <v>0.8</v>
      </c>
      <c r="T359" s="18">
        <f>COUNTIFS(Table1[Customer ID], "&gt;1", Table1[Customer ID], 1)</f>
        <v>0</v>
      </c>
    </row>
    <row r="360" spans="1:20" hidden="1" x14ac:dyDescent="0.3">
      <c r="A360" s="2" t="s">
        <v>709</v>
      </c>
      <c r="B360" s="5">
        <v>45760</v>
      </c>
      <c r="C360" s="5" t="str">
        <f>TEXT(B360,"mmm")</f>
        <v>Apr</v>
      </c>
      <c r="D360" s="2" t="s">
        <v>292</v>
      </c>
      <c r="E360" s="2" t="s">
        <v>120</v>
      </c>
      <c r="F360" s="2" t="str" cm="1">
        <f t="array" ref="F3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60" s="2" t="str" cm="1">
        <f t="array" ref="G3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60" s="2" t="s">
        <v>80</v>
      </c>
      <c r="I360" s="2" t="s">
        <v>23</v>
      </c>
      <c r="J360" s="2">
        <v>1</v>
      </c>
      <c r="K360" s="8">
        <v>799</v>
      </c>
      <c r="L360" s="3">
        <v>0.1</v>
      </c>
      <c r="M360" s="12">
        <f>K360*L360</f>
        <v>79.900000000000006</v>
      </c>
      <c r="N360" s="12">
        <f>K360*J360</f>
        <v>799</v>
      </c>
      <c r="O360" s="12">
        <f>N360-M360</f>
        <v>719.1</v>
      </c>
      <c r="P360" s="2" t="s">
        <v>45</v>
      </c>
      <c r="Q360" s="2" t="s">
        <v>18</v>
      </c>
      <c r="R360" s="2">
        <v>80</v>
      </c>
      <c r="S360" s="20">
        <f>Table1[[#This Row],[Net_revenue]]/Table1[[#This Row],[Gross_revenue]]*100%</f>
        <v>0.9</v>
      </c>
      <c r="T360" s="18">
        <f>COUNTIFS(Table1[Customer ID], "&gt;1", Table1[Customer ID], 1)</f>
        <v>0</v>
      </c>
    </row>
    <row r="361" spans="1:20" hidden="1" x14ac:dyDescent="0.3">
      <c r="A361" s="2" t="s">
        <v>710</v>
      </c>
      <c r="B361" s="5">
        <v>45899</v>
      </c>
      <c r="C361" s="5" t="str">
        <f>TEXT(B361,"mmm")</f>
        <v>Aug</v>
      </c>
      <c r="D361" s="2" t="s">
        <v>666</v>
      </c>
      <c r="E361" s="2" t="s">
        <v>75</v>
      </c>
      <c r="F361" s="2" t="str" cm="1">
        <f t="array" ref="F3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361" s="2" t="str" cm="1">
        <f t="array" ref="G3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61" s="2" t="s">
        <v>68</v>
      </c>
      <c r="I361" s="2" t="s">
        <v>16</v>
      </c>
      <c r="J361" s="2">
        <v>2</v>
      </c>
      <c r="K361" s="8">
        <v>599</v>
      </c>
      <c r="L361" s="3">
        <v>0</v>
      </c>
      <c r="M361" s="12">
        <f>K361*L361</f>
        <v>0</v>
      </c>
      <c r="N361" s="12">
        <f>K361*J361</f>
        <v>1198</v>
      </c>
      <c r="O361" s="12">
        <f>N361-M361</f>
        <v>1198</v>
      </c>
      <c r="P361" s="2" t="s">
        <v>17</v>
      </c>
      <c r="Q361" s="2" t="s">
        <v>18</v>
      </c>
      <c r="R361" s="2">
        <v>0</v>
      </c>
      <c r="S361" s="20">
        <f>Table1[[#This Row],[Net_revenue]]/Table1[[#This Row],[Gross_revenue]]*100%</f>
        <v>1</v>
      </c>
      <c r="T361" s="18">
        <f>COUNTIFS(Table1[Customer ID], "&gt;1", Table1[Customer ID], 1)</f>
        <v>0</v>
      </c>
    </row>
    <row r="362" spans="1:20" hidden="1" x14ac:dyDescent="0.3">
      <c r="A362" s="2" t="s">
        <v>711</v>
      </c>
      <c r="B362" s="5">
        <v>45760</v>
      </c>
      <c r="C362" s="5" t="str">
        <f>TEXT(B362,"mmm")</f>
        <v>Apr</v>
      </c>
      <c r="D362" s="2" t="s">
        <v>712</v>
      </c>
      <c r="E362" s="2" t="s">
        <v>21</v>
      </c>
      <c r="F362" s="2" t="str" cm="1">
        <f t="array" ref="F3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62" s="2" t="str" cm="1">
        <f t="array" ref="G3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62" s="2" t="s">
        <v>22</v>
      </c>
      <c r="I362" s="2" t="s">
        <v>23</v>
      </c>
      <c r="J362" s="2">
        <v>1</v>
      </c>
      <c r="K362" s="8">
        <v>3999</v>
      </c>
      <c r="L362" s="3">
        <v>0.1</v>
      </c>
      <c r="M362" s="12">
        <f>K362*L362</f>
        <v>399.90000000000003</v>
      </c>
      <c r="N362" s="12">
        <f>K362*J362</f>
        <v>3999</v>
      </c>
      <c r="O362" s="12">
        <f>N362-M362</f>
        <v>3599.1</v>
      </c>
      <c r="P362" s="2" t="s">
        <v>17</v>
      </c>
      <c r="Q362" s="2" t="s">
        <v>18</v>
      </c>
      <c r="R362" s="2">
        <v>60</v>
      </c>
      <c r="S362" s="20">
        <f>Table1[[#This Row],[Net_revenue]]/Table1[[#This Row],[Gross_revenue]]*100%</f>
        <v>0.9</v>
      </c>
      <c r="T362" s="18">
        <f>COUNTIFS(Table1[Customer ID], "&gt;1", Table1[Customer ID], 1)</f>
        <v>0</v>
      </c>
    </row>
    <row r="363" spans="1:20" hidden="1" x14ac:dyDescent="0.3">
      <c r="A363" s="2" t="s">
        <v>713</v>
      </c>
      <c r="B363" s="5">
        <v>45919</v>
      </c>
      <c r="C363" s="5" t="str">
        <f>TEXT(B363,"mmm")</f>
        <v>Sep</v>
      </c>
      <c r="D363" s="2" t="s">
        <v>714</v>
      </c>
      <c r="E363" s="2" t="s">
        <v>14</v>
      </c>
      <c r="F363" s="2" t="str" cm="1">
        <f t="array" ref="F3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363" s="2" t="str" cm="1">
        <f t="array" ref="G3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363" s="2" t="s">
        <v>49</v>
      </c>
      <c r="I363" s="2" t="s">
        <v>23</v>
      </c>
      <c r="J363" s="2">
        <v>1</v>
      </c>
      <c r="K363" s="8">
        <v>1299</v>
      </c>
      <c r="L363" s="3">
        <v>0</v>
      </c>
      <c r="M363" s="12">
        <f>K363*L363</f>
        <v>0</v>
      </c>
      <c r="N363" s="12">
        <f>K363*J363</f>
        <v>1299</v>
      </c>
      <c r="O363" s="12">
        <f>N363-M363</f>
        <v>1299</v>
      </c>
      <c r="P363" s="2" t="s">
        <v>45</v>
      </c>
      <c r="Q363" s="2" t="s">
        <v>18</v>
      </c>
      <c r="R363" s="2">
        <v>0</v>
      </c>
      <c r="S363" s="20">
        <f>Table1[[#This Row],[Net_revenue]]/Table1[[#This Row],[Gross_revenue]]*100%</f>
        <v>1</v>
      </c>
      <c r="T363" s="18">
        <f>COUNTIFS(Table1[Customer ID], "&gt;1", Table1[Customer ID], 1)</f>
        <v>0</v>
      </c>
    </row>
    <row r="364" spans="1:20" hidden="1" x14ac:dyDescent="0.3">
      <c r="A364" s="2" t="s">
        <v>715</v>
      </c>
      <c r="B364" s="5">
        <v>45694</v>
      </c>
      <c r="C364" s="5" t="str">
        <f>TEXT(B364,"mmm")</f>
        <v>Feb</v>
      </c>
      <c r="D364" s="2" t="s">
        <v>456</v>
      </c>
      <c r="E364" s="2" t="s">
        <v>48</v>
      </c>
      <c r="F364" s="2" t="str" cm="1">
        <f t="array" ref="F3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64" s="2" t="str" cm="1">
        <f t="array" ref="G3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64" s="2" t="s">
        <v>44</v>
      </c>
      <c r="I364" s="2" t="s">
        <v>16</v>
      </c>
      <c r="J364" s="2">
        <v>1</v>
      </c>
      <c r="K364" s="8">
        <v>1599</v>
      </c>
      <c r="L364" s="3">
        <v>0.2</v>
      </c>
      <c r="M364" s="12">
        <f>K364*L364</f>
        <v>319.8</v>
      </c>
      <c r="N364" s="12">
        <f>K364*J364</f>
        <v>1599</v>
      </c>
      <c r="O364" s="12">
        <f>N364-M364</f>
        <v>1279.2</v>
      </c>
      <c r="P364" s="2" t="s">
        <v>17</v>
      </c>
      <c r="Q364" s="2" t="s">
        <v>18</v>
      </c>
      <c r="R364" s="2">
        <v>0</v>
      </c>
      <c r="S364" s="20">
        <f>Table1[[#This Row],[Net_revenue]]/Table1[[#This Row],[Gross_revenue]]*100%</f>
        <v>0.8</v>
      </c>
      <c r="T364" s="18">
        <f>COUNTIFS(Table1[Customer ID], "&gt;1", Table1[Customer ID], 1)</f>
        <v>0</v>
      </c>
    </row>
    <row r="365" spans="1:20" hidden="1" x14ac:dyDescent="0.3">
      <c r="A365" s="2" t="s">
        <v>716</v>
      </c>
      <c r="B365" s="5">
        <v>45973</v>
      </c>
      <c r="C365" s="5" t="str">
        <f>TEXT(B365,"mmm")</f>
        <v>Nov</v>
      </c>
      <c r="D365" s="2" t="s">
        <v>717</v>
      </c>
      <c r="E365" s="2" t="s">
        <v>56</v>
      </c>
      <c r="F365" s="2" t="str" cm="1">
        <f t="array" ref="F3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65" s="2" t="str" cm="1">
        <f t="array" ref="G3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65" s="2" t="s">
        <v>22</v>
      </c>
      <c r="I365" s="2" t="s">
        <v>23</v>
      </c>
      <c r="J365" s="2">
        <v>1</v>
      </c>
      <c r="K365" s="8">
        <v>3999</v>
      </c>
      <c r="L365" s="3">
        <v>0</v>
      </c>
      <c r="M365" s="12">
        <f>K365*L365</f>
        <v>0</v>
      </c>
      <c r="N365" s="12">
        <f>K365*J365</f>
        <v>3999</v>
      </c>
      <c r="O365" s="12">
        <f>N365-M365</f>
        <v>3999</v>
      </c>
      <c r="P365" s="2" t="s">
        <v>45</v>
      </c>
      <c r="Q365" s="2" t="s">
        <v>50</v>
      </c>
      <c r="R365" s="2">
        <v>60</v>
      </c>
      <c r="S365" s="20">
        <f>Table1[[#This Row],[Net_revenue]]/Table1[[#This Row],[Gross_revenue]]*100%</f>
        <v>1</v>
      </c>
      <c r="T365" s="18">
        <f>COUNTIFS(Table1[Customer ID], "&gt;1", Table1[Customer ID], 1)</f>
        <v>0</v>
      </c>
    </row>
    <row r="366" spans="1:20" hidden="1" x14ac:dyDescent="0.3">
      <c r="A366" s="2" t="s">
        <v>718</v>
      </c>
      <c r="B366" s="5">
        <v>45809</v>
      </c>
      <c r="C366" s="5" t="str">
        <f>TEXT(B366,"mmm")</f>
        <v>Jun</v>
      </c>
      <c r="D366" s="2" t="s">
        <v>467</v>
      </c>
      <c r="E366" s="2" t="s">
        <v>27</v>
      </c>
      <c r="F366" s="2" t="str" cm="1">
        <f t="array" ref="F3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66" s="2" t="str" cm="1">
        <f t="array" ref="G3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66" s="2" t="s">
        <v>71</v>
      </c>
      <c r="I366" s="2" t="s">
        <v>29</v>
      </c>
      <c r="J366" s="2">
        <v>1</v>
      </c>
      <c r="K366" s="8">
        <v>5499</v>
      </c>
      <c r="L366" s="3">
        <v>0.1</v>
      </c>
      <c r="M366" s="12">
        <f>K366*L366</f>
        <v>549.9</v>
      </c>
      <c r="N366" s="12">
        <f>K366*J366</f>
        <v>5499</v>
      </c>
      <c r="O366" s="12">
        <f>N366-M366</f>
        <v>4949.1000000000004</v>
      </c>
      <c r="P366" s="2" t="s">
        <v>30</v>
      </c>
      <c r="Q366" s="2" t="s">
        <v>18</v>
      </c>
      <c r="R366" s="2">
        <v>0</v>
      </c>
      <c r="S366" s="20">
        <f>Table1[[#This Row],[Net_revenue]]/Table1[[#This Row],[Gross_revenue]]*100%</f>
        <v>0.9</v>
      </c>
      <c r="T366" s="18">
        <f>COUNTIFS(Table1[Customer ID], "&gt;1", Table1[Customer ID], 1)</f>
        <v>0</v>
      </c>
    </row>
    <row r="367" spans="1:20" hidden="1" x14ac:dyDescent="0.3">
      <c r="A367" s="2" t="s">
        <v>719</v>
      </c>
      <c r="B367" s="5">
        <v>45932</v>
      </c>
      <c r="C367" s="5" t="str">
        <f>TEXT(B367,"mmm")</f>
        <v>Oct</v>
      </c>
      <c r="D367" s="2" t="s">
        <v>720</v>
      </c>
      <c r="E367" s="2" t="s">
        <v>27</v>
      </c>
      <c r="F367" s="2" t="str" cm="1">
        <f t="array" ref="F3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67" s="2" t="str" cm="1">
        <f t="array" ref="G3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67" s="2" t="s">
        <v>44</v>
      </c>
      <c r="I367" s="2" t="s">
        <v>16</v>
      </c>
      <c r="J367" s="2">
        <v>1</v>
      </c>
      <c r="K367" s="8">
        <v>1599</v>
      </c>
      <c r="L367" s="3">
        <v>0</v>
      </c>
      <c r="M367" s="12">
        <f>K367*L367</f>
        <v>0</v>
      </c>
      <c r="N367" s="12">
        <f>K367*J367</f>
        <v>1599</v>
      </c>
      <c r="O367" s="12">
        <f>N367-M367</f>
        <v>1599</v>
      </c>
      <c r="P367" s="2" t="s">
        <v>45</v>
      </c>
      <c r="Q367" s="2" t="s">
        <v>18</v>
      </c>
      <c r="R367" s="2">
        <v>80</v>
      </c>
      <c r="S367" s="20">
        <f>Table1[[#This Row],[Net_revenue]]/Table1[[#This Row],[Gross_revenue]]*100%</f>
        <v>1</v>
      </c>
      <c r="T367" s="18">
        <f>COUNTIFS(Table1[Customer ID], "&gt;1", Table1[Customer ID], 1)</f>
        <v>0</v>
      </c>
    </row>
    <row r="368" spans="1:20" hidden="1" x14ac:dyDescent="0.3">
      <c r="A368" s="2" t="s">
        <v>721</v>
      </c>
      <c r="B368" s="5">
        <v>45857</v>
      </c>
      <c r="C368" s="5" t="str">
        <f>TEXT(B368,"mmm")</f>
        <v>Jul</v>
      </c>
      <c r="D368" s="2" t="s">
        <v>138</v>
      </c>
      <c r="E368" s="2" t="s">
        <v>195</v>
      </c>
      <c r="F368" s="2" t="str" cm="1">
        <f t="array" ref="F3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368" s="2" t="str" cm="1">
        <f t="array" ref="G3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68" s="2" t="s">
        <v>28</v>
      </c>
      <c r="I368" s="2" t="s">
        <v>29</v>
      </c>
      <c r="J368" s="2">
        <v>2</v>
      </c>
      <c r="K368" s="8">
        <v>2799</v>
      </c>
      <c r="L368" s="3">
        <v>0.05</v>
      </c>
      <c r="M368" s="12">
        <f>K368*L368</f>
        <v>139.95000000000002</v>
      </c>
      <c r="N368" s="12">
        <f>K368*J368</f>
        <v>5598</v>
      </c>
      <c r="O368" s="12">
        <f>N368-M368</f>
        <v>5458.05</v>
      </c>
      <c r="P368" s="2" t="s">
        <v>30</v>
      </c>
      <c r="Q368" s="2" t="s">
        <v>18</v>
      </c>
      <c r="R368" s="2">
        <v>0</v>
      </c>
      <c r="S368" s="20">
        <f>Table1[[#This Row],[Net_revenue]]/Table1[[#This Row],[Gross_revenue]]*100%</f>
        <v>0.97499999999999998</v>
      </c>
      <c r="T368" s="18">
        <f>COUNTIFS(Table1[Customer ID], "&gt;1", Table1[Customer ID], 1)</f>
        <v>0</v>
      </c>
    </row>
    <row r="369" spans="1:20" hidden="1" x14ac:dyDescent="0.3">
      <c r="A369" s="2" t="s">
        <v>722</v>
      </c>
      <c r="B369" s="5">
        <v>45962</v>
      </c>
      <c r="C369" s="5" t="str">
        <f>TEXT(B369,"mmm")</f>
        <v>Nov</v>
      </c>
      <c r="D369" s="2" t="s">
        <v>723</v>
      </c>
      <c r="E369" s="2" t="s">
        <v>21</v>
      </c>
      <c r="F369" s="2" t="str" cm="1">
        <f t="array" ref="F3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69" s="2" t="str" cm="1">
        <f t="array" ref="G3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69" s="2" t="s">
        <v>188</v>
      </c>
      <c r="I369" s="2" t="s">
        <v>95</v>
      </c>
      <c r="J369" s="2">
        <v>3</v>
      </c>
      <c r="K369" s="8">
        <v>699</v>
      </c>
      <c r="L369" s="3">
        <v>0.05</v>
      </c>
      <c r="M369" s="12">
        <f>K369*L369</f>
        <v>34.950000000000003</v>
      </c>
      <c r="N369" s="12">
        <f>K369*J369</f>
        <v>2097</v>
      </c>
      <c r="O369" s="12">
        <f>N369-M369</f>
        <v>2062.0500000000002</v>
      </c>
      <c r="P369" s="2" t="s">
        <v>17</v>
      </c>
      <c r="Q369" s="2" t="s">
        <v>18</v>
      </c>
      <c r="R369" s="2">
        <v>80</v>
      </c>
      <c r="S369" s="20">
        <f>Table1[[#This Row],[Net_revenue]]/Table1[[#This Row],[Gross_revenue]]*100%</f>
        <v>0.98333333333333339</v>
      </c>
      <c r="T369" s="18">
        <f>COUNTIFS(Table1[Customer ID], "&gt;1", Table1[Customer ID], 1)</f>
        <v>0</v>
      </c>
    </row>
    <row r="370" spans="1:20" hidden="1" x14ac:dyDescent="0.3">
      <c r="A370" s="2" t="s">
        <v>724</v>
      </c>
      <c r="B370" s="5">
        <v>45851</v>
      </c>
      <c r="C370" s="5" t="str">
        <f>TEXT(B370,"mmm")</f>
        <v>Jul</v>
      </c>
      <c r="D370" s="2" t="s">
        <v>725</v>
      </c>
      <c r="E370" s="2" t="s">
        <v>120</v>
      </c>
      <c r="F370" s="2" t="str" cm="1">
        <f t="array" ref="F3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0" s="2" t="str" cm="1">
        <f t="array" ref="G3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0" s="2" t="s">
        <v>63</v>
      </c>
      <c r="I370" s="2" t="s">
        <v>23</v>
      </c>
      <c r="J370" s="2">
        <v>4</v>
      </c>
      <c r="K370" s="8">
        <v>2499</v>
      </c>
      <c r="L370" s="3">
        <v>0.1</v>
      </c>
      <c r="M370" s="12">
        <f>K370*L370</f>
        <v>249.9</v>
      </c>
      <c r="N370" s="12">
        <f>K370*J370</f>
        <v>9996</v>
      </c>
      <c r="O370" s="12">
        <f>N370-M370</f>
        <v>9746.1</v>
      </c>
      <c r="P370" s="2" t="s">
        <v>45</v>
      </c>
      <c r="Q370" s="2" t="s">
        <v>18</v>
      </c>
      <c r="R370" s="2">
        <v>0</v>
      </c>
      <c r="S370" s="20">
        <f>Table1[[#This Row],[Net_revenue]]/Table1[[#This Row],[Gross_revenue]]*100%</f>
        <v>0.97500000000000009</v>
      </c>
      <c r="T370" s="18">
        <f>COUNTIFS(Table1[Customer ID], "&gt;1", Table1[Customer ID], 1)</f>
        <v>0</v>
      </c>
    </row>
    <row r="371" spans="1:20" hidden="1" x14ac:dyDescent="0.3">
      <c r="A371" s="2" t="s">
        <v>726</v>
      </c>
      <c r="B371" s="5">
        <v>45785</v>
      </c>
      <c r="C371" s="5" t="str">
        <f>TEXT(B371,"mmm")</f>
        <v>May</v>
      </c>
      <c r="D371" s="2" t="s">
        <v>262</v>
      </c>
      <c r="E371" s="2" t="s">
        <v>75</v>
      </c>
      <c r="F371" s="2" t="str" cm="1">
        <f t="array" ref="F3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371" s="2" t="str" cm="1">
        <f t="array" ref="G3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1" s="2" t="s">
        <v>49</v>
      </c>
      <c r="I371" s="2" t="s">
        <v>23</v>
      </c>
      <c r="J371" s="2">
        <v>1</v>
      </c>
      <c r="K371" s="8">
        <v>1299</v>
      </c>
      <c r="L371" s="3">
        <v>0.15</v>
      </c>
      <c r="M371" s="12">
        <f>K371*L371</f>
        <v>194.85</v>
      </c>
      <c r="N371" s="12">
        <f>K371*J371</f>
        <v>1299</v>
      </c>
      <c r="O371" s="12">
        <f>N371-M371</f>
        <v>1104.1500000000001</v>
      </c>
      <c r="P371" s="2" t="s">
        <v>45</v>
      </c>
      <c r="Q371" s="2" t="s">
        <v>18</v>
      </c>
      <c r="R371" s="2">
        <v>80</v>
      </c>
      <c r="S371" s="20">
        <f>Table1[[#This Row],[Net_revenue]]/Table1[[#This Row],[Gross_revenue]]*100%</f>
        <v>0.85000000000000009</v>
      </c>
      <c r="T371" s="18">
        <f>COUNTIFS(Table1[Customer ID], "&gt;1", Table1[Customer ID], 1)</f>
        <v>0</v>
      </c>
    </row>
    <row r="372" spans="1:20" hidden="1" x14ac:dyDescent="0.3">
      <c r="A372" s="2" t="s">
        <v>727</v>
      </c>
      <c r="B372" s="5">
        <v>46002</v>
      </c>
      <c r="C372" s="5" t="str">
        <f>TEXT(B372,"mmm")</f>
        <v>Dec</v>
      </c>
      <c r="D372" s="2" t="s">
        <v>430</v>
      </c>
      <c r="E372" s="2" t="s">
        <v>48</v>
      </c>
      <c r="F372" s="2" t="str" cm="1">
        <f t="array" ref="F3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72" s="2" t="str" cm="1">
        <f t="array" ref="G3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72" s="2" t="s">
        <v>65</v>
      </c>
      <c r="I372" s="2" t="s">
        <v>23</v>
      </c>
      <c r="J372" s="2">
        <v>1</v>
      </c>
      <c r="K372" s="8">
        <v>1899</v>
      </c>
      <c r="L372" s="3">
        <v>0</v>
      </c>
      <c r="M372" s="12">
        <f>K372*L372</f>
        <v>0</v>
      </c>
      <c r="N372" s="12">
        <f>K372*J372</f>
        <v>1899</v>
      </c>
      <c r="O372" s="12">
        <f>N372-M372</f>
        <v>1899</v>
      </c>
      <c r="P372" s="2" t="s">
        <v>45</v>
      </c>
      <c r="Q372" s="2" t="s">
        <v>18</v>
      </c>
      <c r="R372" s="2">
        <v>60</v>
      </c>
      <c r="S372" s="20">
        <f>Table1[[#This Row],[Net_revenue]]/Table1[[#This Row],[Gross_revenue]]*100%</f>
        <v>1</v>
      </c>
      <c r="T372" s="18">
        <f>COUNTIFS(Table1[Customer ID], "&gt;1", Table1[Customer ID], 1)</f>
        <v>0</v>
      </c>
    </row>
    <row r="373" spans="1:20" hidden="1" x14ac:dyDescent="0.3">
      <c r="A373" s="2" t="s">
        <v>728</v>
      </c>
      <c r="B373" s="5">
        <v>45929</v>
      </c>
      <c r="C373" s="5" t="str">
        <f>TEXT(B373,"mmm")</f>
        <v>Sep</v>
      </c>
      <c r="D373" s="2" t="s">
        <v>729</v>
      </c>
      <c r="E373" s="2" t="s">
        <v>48</v>
      </c>
      <c r="F373" s="2" t="str" cm="1">
        <f t="array" ref="F3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73" s="2" t="str" cm="1">
        <f t="array" ref="G3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73" s="2" t="s">
        <v>183</v>
      </c>
      <c r="I373" s="2" t="s">
        <v>37</v>
      </c>
      <c r="J373" s="2">
        <v>2</v>
      </c>
      <c r="K373" s="8">
        <v>499</v>
      </c>
      <c r="L373" s="3">
        <v>0.1</v>
      </c>
      <c r="M373" s="12">
        <f>K373*L373</f>
        <v>49.900000000000006</v>
      </c>
      <c r="N373" s="12">
        <f>K373*J373</f>
        <v>998</v>
      </c>
      <c r="O373" s="12">
        <f>N373-M373</f>
        <v>948.1</v>
      </c>
      <c r="P373" s="2" t="s">
        <v>30</v>
      </c>
      <c r="Q373" s="2" t="s">
        <v>18</v>
      </c>
      <c r="R373" s="2">
        <v>60</v>
      </c>
      <c r="S373" s="20">
        <f>Table1[[#This Row],[Net_revenue]]/Table1[[#This Row],[Gross_revenue]]*100%</f>
        <v>0.95000000000000007</v>
      </c>
      <c r="T373" s="18">
        <f>COUNTIFS(Table1[Customer ID], "&gt;1", Table1[Customer ID], 1)</f>
        <v>0</v>
      </c>
    </row>
    <row r="374" spans="1:20" hidden="1" x14ac:dyDescent="0.3">
      <c r="A374" s="2" t="s">
        <v>730</v>
      </c>
      <c r="B374" s="5">
        <v>45724</v>
      </c>
      <c r="C374" s="5" t="str">
        <f>TEXT(B374,"mmm")</f>
        <v>Mar</v>
      </c>
      <c r="D374" s="2" t="s">
        <v>731</v>
      </c>
      <c r="E374" s="2" t="s">
        <v>27</v>
      </c>
      <c r="F374" s="2" t="str" cm="1">
        <f t="array" ref="F3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74" s="2" t="str" cm="1">
        <f t="array" ref="G3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74" s="2" t="s">
        <v>80</v>
      </c>
      <c r="I374" s="2" t="s">
        <v>23</v>
      </c>
      <c r="J374" s="2">
        <v>4</v>
      </c>
      <c r="K374" s="8">
        <v>799</v>
      </c>
      <c r="L374" s="3">
        <v>0</v>
      </c>
      <c r="M374" s="12">
        <f>K374*L374</f>
        <v>0</v>
      </c>
      <c r="N374" s="12">
        <f>K374*J374</f>
        <v>3196</v>
      </c>
      <c r="O374" s="12">
        <f>N374-M374</f>
        <v>3196</v>
      </c>
      <c r="P374" s="2" t="s">
        <v>45</v>
      </c>
      <c r="Q374" s="2" t="s">
        <v>18</v>
      </c>
      <c r="R374" s="2">
        <v>0</v>
      </c>
      <c r="S374" s="20">
        <f>Table1[[#This Row],[Net_revenue]]/Table1[[#This Row],[Gross_revenue]]*100%</f>
        <v>1</v>
      </c>
      <c r="T374" s="18">
        <f>COUNTIFS(Table1[Customer ID], "&gt;1", Table1[Customer ID], 1)</f>
        <v>0</v>
      </c>
    </row>
    <row r="375" spans="1:20" hidden="1" x14ac:dyDescent="0.3">
      <c r="A375" s="2" t="s">
        <v>732</v>
      </c>
      <c r="B375" s="5">
        <v>45984</v>
      </c>
      <c r="C375" s="5" t="str">
        <f>TEXT(B375,"mmm")</f>
        <v>Nov</v>
      </c>
      <c r="D375" s="2" t="s">
        <v>251</v>
      </c>
      <c r="E375" s="2" t="s">
        <v>120</v>
      </c>
      <c r="F375" s="2" t="str" cm="1">
        <f t="array" ref="F3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5" s="2" t="str" cm="1">
        <f t="array" ref="G3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5" s="2" t="s">
        <v>134</v>
      </c>
      <c r="I375" s="2" t="s">
        <v>29</v>
      </c>
      <c r="J375" s="2">
        <v>1</v>
      </c>
      <c r="K375" s="8">
        <v>1499</v>
      </c>
      <c r="L375" s="3">
        <v>0.25</v>
      </c>
      <c r="M375" s="12">
        <f>K375*L375</f>
        <v>374.75</v>
      </c>
      <c r="N375" s="12">
        <f>K375*J375</f>
        <v>1499</v>
      </c>
      <c r="O375" s="12">
        <f>N375-M375</f>
        <v>1124.25</v>
      </c>
      <c r="P375" s="2" t="s">
        <v>24</v>
      </c>
      <c r="Q375" s="2" t="s">
        <v>18</v>
      </c>
      <c r="R375" s="2">
        <v>60</v>
      </c>
      <c r="S375" s="20">
        <f>Table1[[#This Row],[Net_revenue]]/Table1[[#This Row],[Gross_revenue]]*100%</f>
        <v>0.75</v>
      </c>
      <c r="T375" s="18">
        <f>COUNTIFS(Table1[Customer ID], "&gt;1", Table1[Customer ID], 1)</f>
        <v>0</v>
      </c>
    </row>
    <row r="376" spans="1:20" hidden="1" x14ac:dyDescent="0.3">
      <c r="A376" s="2" t="s">
        <v>733</v>
      </c>
      <c r="B376" s="5">
        <v>45733</v>
      </c>
      <c r="C376" s="5" t="str">
        <f>TEXT(B376,"mmm")</f>
        <v>Mar</v>
      </c>
      <c r="D376" s="2" t="s">
        <v>574</v>
      </c>
      <c r="E376" s="2" t="s">
        <v>120</v>
      </c>
      <c r="F376" s="2" t="str" cm="1">
        <f t="array" ref="F3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6" s="2" t="str" cm="1">
        <f t="array" ref="G3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6" s="2" t="s">
        <v>217</v>
      </c>
      <c r="I376" s="2" t="s">
        <v>29</v>
      </c>
      <c r="J376" s="2">
        <v>5</v>
      </c>
      <c r="K376" s="8">
        <v>3299</v>
      </c>
      <c r="L376" s="3">
        <v>0.1</v>
      </c>
      <c r="M376" s="12">
        <f>K376*L376</f>
        <v>329.90000000000003</v>
      </c>
      <c r="N376" s="12">
        <f>K376*J376</f>
        <v>16495</v>
      </c>
      <c r="O376" s="12">
        <f>N376-M376</f>
        <v>16165.1</v>
      </c>
      <c r="P376" s="2" t="s">
        <v>45</v>
      </c>
      <c r="Q376" s="2" t="s">
        <v>18</v>
      </c>
      <c r="R376" s="2">
        <v>0</v>
      </c>
      <c r="S376" s="20">
        <f>Table1[[#This Row],[Net_revenue]]/Table1[[#This Row],[Gross_revenue]]*100%</f>
        <v>0.98</v>
      </c>
      <c r="T376" s="18">
        <f>COUNTIFS(Table1[Customer ID], "&gt;1", Table1[Customer ID], 1)</f>
        <v>0</v>
      </c>
    </row>
    <row r="377" spans="1:20" hidden="1" x14ac:dyDescent="0.3">
      <c r="A377" s="2" t="s">
        <v>734</v>
      </c>
      <c r="B377" s="5">
        <v>45993</v>
      </c>
      <c r="C377" s="5" t="str">
        <f>TEXT(B377,"mmm")</f>
        <v>Dec</v>
      </c>
      <c r="D377" s="2" t="s">
        <v>215</v>
      </c>
      <c r="E377" s="2" t="s">
        <v>21</v>
      </c>
      <c r="F377" s="2" t="str" cm="1">
        <f t="array" ref="F3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7" s="2" t="str" cm="1">
        <f t="array" ref="G3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7" s="2" t="s">
        <v>98</v>
      </c>
      <c r="I377" s="2" t="s">
        <v>37</v>
      </c>
      <c r="J377" s="2">
        <v>2</v>
      </c>
      <c r="K377" s="8">
        <v>299</v>
      </c>
      <c r="L377" s="3">
        <v>0.15</v>
      </c>
      <c r="M377" s="12">
        <f>K377*L377</f>
        <v>44.85</v>
      </c>
      <c r="N377" s="12">
        <f>K377*J377</f>
        <v>598</v>
      </c>
      <c r="O377" s="12">
        <f>N377-M377</f>
        <v>553.15</v>
      </c>
      <c r="P377" s="2" t="s">
        <v>45</v>
      </c>
      <c r="Q377" s="2" t="s">
        <v>18</v>
      </c>
      <c r="R377" s="2">
        <v>80</v>
      </c>
      <c r="S377" s="20">
        <f>Table1[[#This Row],[Net_revenue]]/Table1[[#This Row],[Gross_revenue]]*100%</f>
        <v>0.92499999999999993</v>
      </c>
      <c r="T377" s="18">
        <f>COUNTIFS(Table1[Customer ID], "&gt;1", Table1[Customer ID], 1)</f>
        <v>0</v>
      </c>
    </row>
    <row r="378" spans="1:20" hidden="1" x14ac:dyDescent="0.3">
      <c r="A378" s="2" t="s">
        <v>735</v>
      </c>
      <c r="B378" s="5">
        <v>46009</v>
      </c>
      <c r="C378" s="5" t="str">
        <f>TEXT(B378,"mmm")</f>
        <v>Dec</v>
      </c>
      <c r="D378" s="2" t="s">
        <v>736</v>
      </c>
      <c r="E378" s="2" t="s">
        <v>120</v>
      </c>
      <c r="F378" s="2" t="str" cm="1">
        <f t="array" ref="F3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8" s="2" t="str" cm="1">
        <f t="array" ref="G3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8" s="2" t="s">
        <v>65</v>
      </c>
      <c r="I378" s="2" t="s">
        <v>23</v>
      </c>
      <c r="J378" s="2">
        <v>3</v>
      </c>
      <c r="K378" s="8">
        <v>1899</v>
      </c>
      <c r="L378" s="3">
        <v>0.25</v>
      </c>
      <c r="M378" s="12">
        <f>K378*L378</f>
        <v>474.75</v>
      </c>
      <c r="N378" s="12">
        <f>K378*J378</f>
        <v>5697</v>
      </c>
      <c r="O378" s="12">
        <f>N378-M378</f>
        <v>5222.25</v>
      </c>
      <c r="P378" s="2" t="s">
        <v>45</v>
      </c>
      <c r="Q378" s="2" t="s">
        <v>18</v>
      </c>
      <c r="R378" s="2">
        <v>0</v>
      </c>
      <c r="S378" s="20">
        <f>Table1[[#This Row],[Net_revenue]]/Table1[[#This Row],[Gross_revenue]]*100%</f>
        <v>0.91666666666666663</v>
      </c>
      <c r="T378" s="18">
        <f>COUNTIFS(Table1[Customer ID], "&gt;1", Table1[Customer ID], 1)</f>
        <v>0</v>
      </c>
    </row>
    <row r="379" spans="1:20" hidden="1" x14ac:dyDescent="0.3">
      <c r="A379" s="2" t="s">
        <v>737</v>
      </c>
      <c r="B379" s="5">
        <v>45865</v>
      </c>
      <c r="C379" s="5" t="str">
        <f>TEXT(B379,"mmm")</f>
        <v>Jul</v>
      </c>
      <c r="D379" s="2" t="s">
        <v>712</v>
      </c>
      <c r="E379" s="2" t="s">
        <v>120</v>
      </c>
      <c r="F379" s="2" t="str" cm="1">
        <f t="array" ref="F3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79" s="2" t="str" cm="1">
        <f t="array" ref="G3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79" s="2" t="s">
        <v>89</v>
      </c>
      <c r="I379" s="2" t="s">
        <v>29</v>
      </c>
      <c r="J379" s="2">
        <v>4</v>
      </c>
      <c r="K379" s="8">
        <v>449</v>
      </c>
      <c r="L379" s="3">
        <v>0.25</v>
      </c>
      <c r="M379" s="12">
        <f>K379*L379</f>
        <v>112.25</v>
      </c>
      <c r="N379" s="12">
        <f>K379*J379</f>
        <v>1796</v>
      </c>
      <c r="O379" s="12">
        <f>N379-M379</f>
        <v>1683.75</v>
      </c>
      <c r="P379" s="2" t="s">
        <v>17</v>
      </c>
      <c r="Q379" s="2" t="s">
        <v>18</v>
      </c>
      <c r="R379" s="2">
        <v>0</v>
      </c>
      <c r="S379" s="20">
        <f>Table1[[#This Row],[Net_revenue]]/Table1[[#This Row],[Gross_revenue]]*100%</f>
        <v>0.9375</v>
      </c>
      <c r="T379" s="18">
        <f>COUNTIFS(Table1[Customer ID], "&gt;1", Table1[Customer ID], 1)</f>
        <v>0</v>
      </c>
    </row>
    <row r="380" spans="1:20" hidden="1" x14ac:dyDescent="0.3">
      <c r="A380" s="2" t="s">
        <v>738</v>
      </c>
      <c r="B380" s="5">
        <v>45783</v>
      </c>
      <c r="C380" s="5" t="str">
        <f>TEXT(B380,"mmm")</f>
        <v>May</v>
      </c>
      <c r="D380" s="2" t="s">
        <v>739</v>
      </c>
      <c r="E380" s="2" t="s">
        <v>75</v>
      </c>
      <c r="F380" s="2" t="str" cm="1">
        <f t="array" ref="F3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380" s="2" t="str" cm="1">
        <f t="array" ref="G3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80" s="2" t="s">
        <v>49</v>
      </c>
      <c r="I380" s="2" t="s">
        <v>23</v>
      </c>
      <c r="J380" s="2">
        <v>1</v>
      </c>
      <c r="K380" s="8">
        <v>1299</v>
      </c>
      <c r="L380" s="3">
        <v>0.1</v>
      </c>
      <c r="M380" s="12">
        <f>K380*L380</f>
        <v>129.9</v>
      </c>
      <c r="N380" s="12">
        <f>K380*J380</f>
        <v>1299</v>
      </c>
      <c r="O380" s="12">
        <f>N380-M380</f>
        <v>1169.0999999999999</v>
      </c>
      <c r="P380" s="2" t="s">
        <v>17</v>
      </c>
      <c r="Q380" s="2" t="s">
        <v>18</v>
      </c>
      <c r="R380" s="2">
        <v>0</v>
      </c>
      <c r="S380" s="20">
        <f>Table1[[#This Row],[Net_revenue]]/Table1[[#This Row],[Gross_revenue]]*100%</f>
        <v>0.89999999999999991</v>
      </c>
      <c r="T380" s="18">
        <f>COUNTIFS(Table1[Customer ID], "&gt;1", Table1[Customer ID], 1)</f>
        <v>0</v>
      </c>
    </row>
    <row r="381" spans="1:20" hidden="1" x14ac:dyDescent="0.3">
      <c r="A381" s="2" t="s">
        <v>740</v>
      </c>
      <c r="B381" s="5">
        <v>45746</v>
      </c>
      <c r="C381" s="5" t="str">
        <f>TEXT(B381,"mmm")</f>
        <v>Mar</v>
      </c>
      <c r="D381" s="2" t="s">
        <v>553</v>
      </c>
      <c r="E381" s="2" t="s">
        <v>27</v>
      </c>
      <c r="F381" s="2" t="str" cm="1">
        <f t="array" ref="F3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81" s="2" t="str" cm="1">
        <f t="array" ref="G3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81" s="2" t="s">
        <v>28</v>
      </c>
      <c r="I381" s="2" t="s">
        <v>29</v>
      </c>
      <c r="J381" s="2">
        <v>2</v>
      </c>
      <c r="K381" s="8">
        <v>2799</v>
      </c>
      <c r="L381" s="3">
        <v>0.1</v>
      </c>
      <c r="M381" s="12">
        <f>K381*L381</f>
        <v>279.90000000000003</v>
      </c>
      <c r="N381" s="12">
        <f>K381*J381</f>
        <v>5598</v>
      </c>
      <c r="O381" s="12">
        <f>N381-M381</f>
        <v>5318.1</v>
      </c>
      <c r="P381" s="2" t="s">
        <v>45</v>
      </c>
      <c r="Q381" s="2" t="s">
        <v>18</v>
      </c>
      <c r="R381" s="2">
        <v>0</v>
      </c>
      <c r="S381" s="20">
        <f>Table1[[#This Row],[Net_revenue]]/Table1[[#This Row],[Gross_revenue]]*100%</f>
        <v>0.95000000000000007</v>
      </c>
      <c r="T381" s="18">
        <f>COUNTIFS(Table1[Customer ID], "&gt;1", Table1[Customer ID], 1)</f>
        <v>0</v>
      </c>
    </row>
    <row r="382" spans="1:20" hidden="1" x14ac:dyDescent="0.3">
      <c r="A382" s="2" t="s">
        <v>741</v>
      </c>
      <c r="B382" s="5">
        <v>45999</v>
      </c>
      <c r="C382" s="5" t="str">
        <f>TEXT(B382,"mmm")</f>
        <v>Dec</v>
      </c>
      <c r="D382" s="2" t="s">
        <v>725</v>
      </c>
      <c r="E382" s="2" t="s">
        <v>48</v>
      </c>
      <c r="F382" s="2" t="str" cm="1">
        <f t="array" ref="F3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82" s="2" t="str" cm="1">
        <f t="array" ref="G3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82" s="2" t="s">
        <v>188</v>
      </c>
      <c r="I382" s="2" t="s">
        <v>95</v>
      </c>
      <c r="J382" s="2">
        <v>2</v>
      </c>
      <c r="K382" s="8">
        <v>699</v>
      </c>
      <c r="L382" s="3">
        <v>0.25</v>
      </c>
      <c r="M382" s="12">
        <f>K382*L382</f>
        <v>174.75</v>
      </c>
      <c r="N382" s="12">
        <f>K382*J382</f>
        <v>1398</v>
      </c>
      <c r="O382" s="12">
        <f>N382-M382</f>
        <v>1223.25</v>
      </c>
      <c r="P382" s="2" t="s">
        <v>45</v>
      </c>
      <c r="Q382" s="2" t="s">
        <v>18</v>
      </c>
      <c r="R382" s="2">
        <v>40</v>
      </c>
      <c r="S382" s="20">
        <f>Table1[[#This Row],[Net_revenue]]/Table1[[#This Row],[Gross_revenue]]*100%</f>
        <v>0.875</v>
      </c>
      <c r="T382" s="18">
        <f>COUNTIFS(Table1[Customer ID], "&gt;1", Table1[Customer ID], 1)</f>
        <v>0</v>
      </c>
    </row>
    <row r="383" spans="1:20" hidden="1" x14ac:dyDescent="0.3">
      <c r="A383" s="2" t="s">
        <v>742</v>
      </c>
      <c r="B383" s="5">
        <v>45844</v>
      </c>
      <c r="C383" s="5" t="str">
        <f>TEXT(B383,"mmm")</f>
        <v>Jul</v>
      </c>
      <c r="D383" s="2" t="s">
        <v>743</v>
      </c>
      <c r="E383" s="2" t="s">
        <v>56</v>
      </c>
      <c r="F383" s="2" t="str" cm="1">
        <f t="array" ref="F3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383" s="2" t="str" cm="1">
        <f t="array" ref="G3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83" s="2" t="s">
        <v>107</v>
      </c>
      <c r="I383" s="2" t="s">
        <v>95</v>
      </c>
      <c r="J383" s="2">
        <v>1</v>
      </c>
      <c r="K383" s="8">
        <v>1599</v>
      </c>
      <c r="L383" s="3">
        <v>0</v>
      </c>
      <c r="M383" s="12">
        <f>K383*L383</f>
        <v>0</v>
      </c>
      <c r="N383" s="12">
        <f>K383*J383</f>
        <v>1599</v>
      </c>
      <c r="O383" s="12">
        <f>N383-M383</f>
        <v>1599</v>
      </c>
      <c r="P383" s="2" t="s">
        <v>17</v>
      </c>
      <c r="Q383" s="2" t="s">
        <v>18</v>
      </c>
      <c r="R383" s="2">
        <v>40</v>
      </c>
      <c r="S383" s="20">
        <f>Table1[[#This Row],[Net_revenue]]/Table1[[#This Row],[Gross_revenue]]*100%</f>
        <v>1</v>
      </c>
      <c r="T383" s="18">
        <f>COUNTIFS(Table1[Customer ID], "&gt;1", Table1[Customer ID], 1)</f>
        <v>0</v>
      </c>
    </row>
    <row r="384" spans="1:20" hidden="1" x14ac:dyDescent="0.3">
      <c r="A384" s="2" t="s">
        <v>744</v>
      </c>
      <c r="B384" s="5">
        <v>45894</v>
      </c>
      <c r="C384" s="5" t="str">
        <f>TEXT(B384,"mmm")</f>
        <v>Aug</v>
      </c>
      <c r="D384" s="2" t="s">
        <v>93</v>
      </c>
      <c r="E384" s="2" t="s">
        <v>21</v>
      </c>
      <c r="F384" s="2" t="str" cm="1">
        <f t="array" ref="F3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84" s="2" t="str" cm="1">
        <f t="array" ref="G3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84" s="2" t="s">
        <v>121</v>
      </c>
      <c r="I384" s="2" t="s">
        <v>95</v>
      </c>
      <c r="J384" s="2">
        <v>2</v>
      </c>
      <c r="K384" s="8">
        <v>1299</v>
      </c>
      <c r="L384" s="3">
        <v>0.2</v>
      </c>
      <c r="M384" s="12">
        <f>K384*L384</f>
        <v>259.8</v>
      </c>
      <c r="N384" s="12">
        <f>K384*J384</f>
        <v>2598</v>
      </c>
      <c r="O384" s="12">
        <f>N384-M384</f>
        <v>2338.1999999999998</v>
      </c>
      <c r="P384" s="2" t="s">
        <v>17</v>
      </c>
      <c r="Q384" s="2" t="s">
        <v>18</v>
      </c>
      <c r="R384" s="2">
        <v>60</v>
      </c>
      <c r="S384" s="20">
        <f>Table1[[#This Row],[Net_revenue]]/Table1[[#This Row],[Gross_revenue]]*100%</f>
        <v>0.89999999999999991</v>
      </c>
      <c r="T384" s="18">
        <f>COUNTIFS(Table1[Customer ID], "&gt;1", Table1[Customer ID], 1)</f>
        <v>0</v>
      </c>
    </row>
    <row r="385" spans="1:20" hidden="1" x14ac:dyDescent="0.3">
      <c r="A385" s="2" t="s">
        <v>745</v>
      </c>
      <c r="B385" s="5">
        <v>45707</v>
      </c>
      <c r="C385" s="5" t="str">
        <f>TEXT(B385,"mmm")</f>
        <v>Feb</v>
      </c>
      <c r="D385" s="2" t="s">
        <v>703</v>
      </c>
      <c r="E385" s="2" t="s">
        <v>27</v>
      </c>
      <c r="F385" s="2" t="str" cm="1">
        <f t="array" ref="F3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385" s="2" t="str" cm="1">
        <f t="array" ref="G3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85" s="2" t="s">
        <v>117</v>
      </c>
      <c r="I385" s="2" t="s">
        <v>23</v>
      </c>
      <c r="J385" s="2">
        <v>2</v>
      </c>
      <c r="K385" s="8">
        <v>2199</v>
      </c>
      <c r="L385" s="3">
        <v>0.1</v>
      </c>
      <c r="M385" s="12">
        <f>K385*L385</f>
        <v>219.9</v>
      </c>
      <c r="N385" s="12">
        <f>K385*J385</f>
        <v>4398</v>
      </c>
      <c r="O385" s="12">
        <f>N385-M385</f>
        <v>4178.1000000000004</v>
      </c>
      <c r="P385" s="2" t="s">
        <v>45</v>
      </c>
      <c r="Q385" s="2" t="s">
        <v>18</v>
      </c>
      <c r="R385" s="2">
        <v>0</v>
      </c>
      <c r="S385" s="20">
        <f>Table1[[#This Row],[Net_revenue]]/Table1[[#This Row],[Gross_revenue]]*100%</f>
        <v>0.95000000000000007</v>
      </c>
      <c r="T385" s="18">
        <f>COUNTIFS(Table1[Customer ID], "&gt;1", Table1[Customer ID], 1)</f>
        <v>0</v>
      </c>
    </row>
    <row r="386" spans="1:20" hidden="1" x14ac:dyDescent="0.3">
      <c r="A386" s="2" t="s">
        <v>746</v>
      </c>
      <c r="B386" s="5">
        <v>45758</v>
      </c>
      <c r="C386" s="5" t="str">
        <f>TEXT(B386,"mmm")</f>
        <v>Apr</v>
      </c>
      <c r="D386" s="2" t="s">
        <v>494</v>
      </c>
      <c r="E386" s="2" t="s">
        <v>48</v>
      </c>
      <c r="F386" s="2" t="str" cm="1">
        <f t="array" ref="F3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86" s="2" t="str" cm="1">
        <f t="array" ref="G3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86" s="2" t="s">
        <v>117</v>
      </c>
      <c r="I386" s="2" t="s">
        <v>23</v>
      </c>
      <c r="J386" s="2">
        <v>1</v>
      </c>
      <c r="K386" s="8">
        <v>2199</v>
      </c>
      <c r="L386" s="3">
        <v>0.1</v>
      </c>
      <c r="M386" s="12">
        <f>K386*L386</f>
        <v>219.9</v>
      </c>
      <c r="N386" s="12">
        <f>K386*J386</f>
        <v>2199</v>
      </c>
      <c r="O386" s="12">
        <f>N386-M386</f>
        <v>1979.1</v>
      </c>
      <c r="P386" s="2" t="s">
        <v>17</v>
      </c>
      <c r="Q386" s="2" t="s">
        <v>50</v>
      </c>
      <c r="R386" s="2">
        <v>60</v>
      </c>
      <c r="S386" s="20">
        <f>Table1[[#This Row],[Net_revenue]]/Table1[[#This Row],[Gross_revenue]]*100%</f>
        <v>0.89999999999999991</v>
      </c>
      <c r="T386" s="18">
        <f>COUNTIFS(Table1[Customer ID], "&gt;1", Table1[Customer ID], 1)</f>
        <v>0</v>
      </c>
    </row>
    <row r="387" spans="1:20" hidden="1" x14ac:dyDescent="0.3">
      <c r="A387" s="2" t="s">
        <v>747</v>
      </c>
      <c r="B387" s="5">
        <v>45964</v>
      </c>
      <c r="C387" s="5" t="str">
        <f>TEXT(B387,"mmm")</f>
        <v>Nov</v>
      </c>
      <c r="D387" s="2" t="s">
        <v>325</v>
      </c>
      <c r="E387" s="2" t="s">
        <v>21</v>
      </c>
      <c r="F387" s="2" t="str" cm="1">
        <f t="array" ref="F3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87" s="2" t="str" cm="1">
        <f t="array" ref="G3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87" s="2" t="s">
        <v>15</v>
      </c>
      <c r="I387" s="2" t="s">
        <v>16</v>
      </c>
      <c r="J387" s="2">
        <v>1</v>
      </c>
      <c r="K387" s="8">
        <v>1799</v>
      </c>
      <c r="L387" s="3">
        <v>0.2</v>
      </c>
      <c r="M387" s="12">
        <f>K387*L387</f>
        <v>359.8</v>
      </c>
      <c r="N387" s="12">
        <f>K387*J387</f>
        <v>1799</v>
      </c>
      <c r="O387" s="12">
        <f>N387-M387</f>
        <v>1439.2</v>
      </c>
      <c r="P387" s="2" t="s">
        <v>45</v>
      </c>
      <c r="Q387" s="2" t="s">
        <v>18</v>
      </c>
      <c r="R387" s="2">
        <v>80</v>
      </c>
      <c r="S387" s="20">
        <f>Table1[[#This Row],[Net_revenue]]/Table1[[#This Row],[Gross_revenue]]*100%</f>
        <v>0.8</v>
      </c>
      <c r="T387" s="18">
        <f>COUNTIFS(Table1[Customer ID], "&gt;1", Table1[Customer ID], 1)</f>
        <v>0</v>
      </c>
    </row>
    <row r="388" spans="1:20" hidden="1" x14ac:dyDescent="0.3">
      <c r="A388" s="2" t="s">
        <v>748</v>
      </c>
      <c r="B388" s="5">
        <v>45784</v>
      </c>
      <c r="C388" s="5" t="str">
        <f>TEXT(B388,"mmm")</f>
        <v>May</v>
      </c>
      <c r="D388" s="2" t="s">
        <v>395</v>
      </c>
      <c r="E388" s="2" t="s">
        <v>21</v>
      </c>
      <c r="F388" s="2" t="str" cm="1">
        <f t="array" ref="F3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88" s="2" t="str" cm="1">
        <f t="array" ref="G3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88" s="2" t="s">
        <v>63</v>
      </c>
      <c r="I388" s="2" t="s">
        <v>23</v>
      </c>
      <c r="J388" s="2">
        <v>3</v>
      </c>
      <c r="K388" s="8">
        <v>2499</v>
      </c>
      <c r="L388" s="3">
        <v>0</v>
      </c>
      <c r="M388" s="12">
        <f>K388*L388</f>
        <v>0</v>
      </c>
      <c r="N388" s="12">
        <f>K388*J388</f>
        <v>7497</v>
      </c>
      <c r="O388" s="12">
        <f>N388-M388</f>
        <v>7497</v>
      </c>
      <c r="P388" s="2" t="s">
        <v>17</v>
      </c>
      <c r="Q388" s="2" t="s">
        <v>18</v>
      </c>
      <c r="R388" s="2">
        <v>80</v>
      </c>
      <c r="S388" s="20">
        <f>Table1[[#This Row],[Net_revenue]]/Table1[[#This Row],[Gross_revenue]]*100%</f>
        <v>1</v>
      </c>
      <c r="T388" s="18">
        <f>COUNTIFS(Table1[Customer ID], "&gt;1", Table1[Customer ID], 1)</f>
        <v>0</v>
      </c>
    </row>
    <row r="389" spans="1:20" hidden="1" x14ac:dyDescent="0.3">
      <c r="A389" s="2" t="s">
        <v>749</v>
      </c>
      <c r="B389" s="5">
        <v>45854</v>
      </c>
      <c r="C389" s="5" t="str">
        <f>TEXT(B389,"mmm")</f>
        <v>Jul</v>
      </c>
      <c r="D389" s="2" t="s">
        <v>750</v>
      </c>
      <c r="E389" s="2" t="s">
        <v>48</v>
      </c>
      <c r="F389" s="2" t="str" cm="1">
        <f t="array" ref="F3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89" s="2" t="str" cm="1">
        <f t="array" ref="G3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89" s="2" t="s">
        <v>217</v>
      </c>
      <c r="I389" s="2" t="s">
        <v>29</v>
      </c>
      <c r="J389" s="2">
        <v>1</v>
      </c>
      <c r="K389" s="8">
        <v>3299</v>
      </c>
      <c r="L389" s="3">
        <v>0.15</v>
      </c>
      <c r="M389" s="12">
        <f>K389*L389</f>
        <v>494.84999999999997</v>
      </c>
      <c r="N389" s="12">
        <f>K389*J389</f>
        <v>3299</v>
      </c>
      <c r="O389" s="12">
        <f>N389-M389</f>
        <v>2804.15</v>
      </c>
      <c r="P389" s="2" t="s">
        <v>45</v>
      </c>
      <c r="Q389" s="2" t="s">
        <v>18</v>
      </c>
      <c r="R389" s="2">
        <v>0</v>
      </c>
      <c r="S389" s="20">
        <f>Table1[[#This Row],[Net_revenue]]/Table1[[#This Row],[Gross_revenue]]*100%</f>
        <v>0.85</v>
      </c>
      <c r="T389" s="18">
        <f>COUNTIFS(Table1[Customer ID], "&gt;1", Table1[Customer ID], 1)</f>
        <v>0</v>
      </c>
    </row>
    <row r="390" spans="1:20" hidden="1" x14ac:dyDescent="0.3">
      <c r="A390" s="2" t="s">
        <v>751</v>
      </c>
      <c r="B390" s="5">
        <v>45745</v>
      </c>
      <c r="C390" s="5" t="str">
        <f>TEXT(B390,"mmm")</f>
        <v>Mar</v>
      </c>
      <c r="D390" s="2" t="s">
        <v>752</v>
      </c>
      <c r="E390" s="2" t="s">
        <v>53</v>
      </c>
      <c r="F390" s="2" t="str" cm="1">
        <f t="array" ref="F3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390" s="2" t="str" cm="1">
        <f t="array" ref="G3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90" s="2" t="s">
        <v>63</v>
      </c>
      <c r="I390" s="2" t="s">
        <v>23</v>
      </c>
      <c r="J390" s="2">
        <v>1</v>
      </c>
      <c r="K390" s="8">
        <v>2499</v>
      </c>
      <c r="L390" s="3">
        <v>0.1</v>
      </c>
      <c r="M390" s="12">
        <f>K390*L390</f>
        <v>249.9</v>
      </c>
      <c r="N390" s="12">
        <f>K390*J390</f>
        <v>2499</v>
      </c>
      <c r="O390" s="12">
        <f>N390-M390</f>
        <v>2249.1</v>
      </c>
      <c r="P390" s="2" t="s">
        <v>17</v>
      </c>
      <c r="Q390" s="2" t="s">
        <v>18</v>
      </c>
      <c r="R390" s="2">
        <v>40</v>
      </c>
      <c r="S390" s="20">
        <f>Table1[[#This Row],[Net_revenue]]/Table1[[#This Row],[Gross_revenue]]*100%</f>
        <v>0.89999999999999991</v>
      </c>
      <c r="T390" s="18">
        <f>COUNTIFS(Table1[Customer ID], "&gt;1", Table1[Customer ID], 1)</f>
        <v>0</v>
      </c>
    </row>
    <row r="391" spans="1:20" hidden="1" x14ac:dyDescent="0.3">
      <c r="A391" s="2" t="s">
        <v>753</v>
      </c>
      <c r="B391" s="5">
        <v>45841</v>
      </c>
      <c r="C391" s="5" t="str">
        <f>TEXT(B391,"mmm")</f>
        <v>Jul</v>
      </c>
      <c r="D391" s="2" t="s">
        <v>754</v>
      </c>
      <c r="E391" s="2" t="s">
        <v>21</v>
      </c>
      <c r="F391" s="2" t="str" cm="1">
        <f t="array" ref="F3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91" s="2" t="str" cm="1">
        <f t="array" ref="G3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91" s="2" t="s">
        <v>107</v>
      </c>
      <c r="I391" s="2" t="s">
        <v>95</v>
      </c>
      <c r="J391" s="2">
        <v>2</v>
      </c>
      <c r="K391" s="8">
        <v>1599</v>
      </c>
      <c r="L391" s="3">
        <v>0</v>
      </c>
      <c r="M391" s="12">
        <f>K391*L391</f>
        <v>0</v>
      </c>
      <c r="N391" s="12">
        <f>K391*J391</f>
        <v>3198</v>
      </c>
      <c r="O391" s="12">
        <f>N391-M391</f>
        <v>3198</v>
      </c>
      <c r="P391" s="2" t="s">
        <v>24</v>
      </c>
      <c r="Q391" s="2" t="s">
        <v>18</v>
      </c>
      <c r="R391" s="2">
        <v>40</v>
      </c>
      <c r="S391" s="20">
        <f>Table1[[#This Row],[Net_revenue]]/Table1[[#This Row],[Gross_revenue]]*100%</f>
        <v>1</v>
      </c>
      <c r="T391" s="18">
        <f>COUNTIFS(Table1[Customer ID], "&gt;1", Table1[Customer ID], 1)</f>
        <v>0</v>
      </c>
    </row>
    <row r="392" spans="1:20" hidden="1" x14ac:dyDescent="0.3">
      <c r="A392" s="2" t="s">
        <v>755</v>
      </c>
      <c r="B392" s="5">
        <v>45927</v>
      </c>
      <c r="C392" s="5" t="str">
        <f>TEXT(B392,"mmm")</f>
        <v>Sep</v>
      </c>
      <c r="D392" s="2" t="s">
        <v>756</v>
      </c>
      <c r="E392" s="2" t="s">
        <v>195</v>
      </c>
      <c r="F392" s="2" t="str" cm="1">
        <f t="array" ref="F3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392" s="2" t="str" cm="1">
        <f t="array" ref="G3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92" s="2" t="s">
        <v>117</v>
      </c>
      <c r="I392" s="2" t="s">
        <v>23</v>
      </c>
      <c r="J392" s="2">
        <v>3</v>
      </c>
      <c r="K392" s="8">
        <v>2199</v>
      </c>
      <c r="L392" s="3">
        <v>0</v>
      </c>
      <c r="M392" s="12">
        <f>K392*L392</f>
        <v>0</v>
      </c>
      <c r="N392" s="12">
        <f>K392*J392</f>
        <v>6597</v>
      </c>
      <c r="O392" s="12">
        <f>N392-M392</f>
        <v>6597</v>
      </c>
      <c r="P392" s="2" t="s">
        <v>17</v>
      </c>
      <c r="Q392" s="2" t="s">
        <v>50</v>
      </c>
      <c r="R392" s="2">
        <v>80</v>
      </c>
      <c r="S392" s="20">
        <f>Table1[[#This Row],[Net_revenue]]/Table1[[#This Row],[Gross_revenue]]*100%</f>
        <v>1</v>
      </c>
      <c r="T392" s="18">
        <f>COUNTIFS(Table1[Customer ID], "&gt;1", Table1[Customer ID], 1)</f>
        <v>0</v>
      </c>
    </row>
    <row r="393" spans="1:20" hidden="1" x14ac:dyDescent="0.3">
      <c r="A393" s="2" t="s">
        <v>757</v>
      </c>
      <c r="B393" s="5">
        <v>45990</v>
      </c>
      <c r="C393" s="5" t="str">
        <f>TEXT(B393,"mmm")</f>
        <v>Nov</v>
      </c>
      <c r="D393" s="2" t="s">
        <v>70</v>
      </c>
      <c r="E393" s="2" t="s">
        <v>120</v>
      </c>
      <c r="F393" s="2" t="str" cm="1">
        <f t="array" ref="F3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93" s="2" t="str" cm="1">
        <f t="array" ref="G3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93" s="2" t="s">
        <v>71</v>
      </c>
      <c r="I393" s="2" t="s">
        <v>29</v>
      </c>
      <c r="J393" s="2">
        <v>2</v>
      </c>
      <c r="K393" s="8">
        <v>5499</v>
      </c>
      <c r="L393" s="3">
        <v>0.25</v>
      </c>
      <c r="M393" s="12">
        <f>K393*L393</f>
        <v>1374.75</v>
      </c>
      <c r="N393" s="12">
        <f>K393*J393</f>
        <v>10998</v>
      </c>
      <c r="O393" s="12">
        <f>N393-M393</f>
        <v>9623.25</v>
      </c>
      <c r="P393" s="2" t="s">
        <v>45</v>
      </c>
      <c r="Q393" s="2" t="s">
        <v>18</v>
      </c>
      <c r="R393" s="2">
        <v>40</v>
      </c>
      <c r="S393" s="20">
        <f>Table1[[#This Row],[Net_revenue]]/Table1[[#This Row],[Gross_revenue]]*100%</f>
        <v>0.875</v>
      </c>
      <c r="T393" s="18">
        <f>COUNTIFS(Table1[Customer ID], "&gt;1", Table1[Customer ID], 1)</f>
        <v>0</v>
      </c>
    </row>
    <row r="394" spans="1:20" hidden="1" x14ac:dyDescent="0.3">
      <c r="A394" s="2" t="s">
        <v>758</v>
      </c>
      <c r="B394" s="5">
        <v>45799</v>
      </c>
      <c r="C394" s="5" t="str">
        <f>TEXT(B394,"mmm")</f>
        <v>May</v>
      </c>
      <c r="D394" s="2" t="s">
        <v>759</v>
      </c>
      <c r="E394" s="2" t="s">
        <v>14</v>
      </c>
      <c r="F394" s="2" t="str" cm="1">
        <f t="array" ref="F3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394" s="2" t="str" cm="1">
        <f t="array" ref="G3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394" s="2" t="s">
        <v>15</v>
      </c>
      <c r="I394" s="2" t="s">
        <v>16</v>
      </c>
      <c r="J394" s="2">
        <v>2</v>
      </c>
      <c r="K394" s="8">
        <v>1799</v>
      </c>
      <c r="L394" s="3">
        <v>0.1</v>
      </c>
      <c r="M394" s="12">
        <f>K394*L394</f>
        <v>179.9</v>
      </c>
      <c r="N394" s="12">
        <f>K394*J394</f>
        <v>3598</v>
      </c>
      <c r="O394" s="12">
        <f>N394-M394</f>
        <v>3418.1</v>
      </c>
      <c r="P394" s="2" t="s">
        <v>45</v>
      </c>
      <c r="Q394" s="2" t="s">
        <v>18</v>
      </c>
      <c r="R394" s="2">
        <v>40</v>
      </c>
      <c r="S394" s="20">
        <f>Table1[[#This Row],[Net_revenue]]/Table1[[#This Row],[Gross_revenue]]*100%</f>
        <v>0.95</v>
      </c>
      <c r="T394" s="18">
        <f>COUNTIFS(Table1[Customer ID], "&gt;1", Table1[Customer ID], 1)</f>
        <v>0</v>
      </c>
    </row>
    <row r="395" spans="1:20" hidden="1" x14ac:dyDescent="0.3">
      <c r="A395" s="2" t="s">
        <v>760</v>
      </c>
      <c r="B395" s="5">
        <v>45704</v>
      </c>
      <c r="C395" s="5" t="str">
        <f>TEXT(B395,"mmm")</f>
        <v>Feb</v>
      </c>
      <c r="D395" s="2" t="s">
        <v>761</v>
      </c>
      <c r="E395" s="2" t="s">
        <v>120</v>
      </c>
      <c r="F395" s="2" t="str" cm="1">
        <f t="array" ref="F3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95" s="2" t="str" cm="1">
        <f t="array" ref="G3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95" s="2" t="s">
        <v>188</v>
      </c>
      <c r="I395" s="2" t="s">
        <v>95</v>
      </c>
      <c r="J395" s="2">
        <v>1</v>
      </c>
      <c r="K395" s="8">
        <v>699</v>
      </c>
      <c r="L395" s="3">
        <v>0.25</v>
      </c>
      <c r="M395" s="12">
        <f>K395*L395</f>
        <v>174.75</v>
      </c>
      <c r="N395" s="12">
        <f>K395*J395</f>
        <v>699</v>
      </c>
      <c r="O395" s="12">
        <f>N395-M395</f>
        <v>524.25</v>
      </c>
      <c r="P395" s="2" t="s">
        <v>45</v>
      </c>
      <c r="Q395" s="2" t="s">
        <v>18</v>
      </c>
      <c r="R395" s="2">
        <v>80</v>
      </c>
      <c r="S395" s="20">
        <f>Table1[[#This Row],[Net_revenue]]/Table1[[#This Row],[Gross_revenue]]*100%</f>
        <v>0.75</v>
      </c>
      <c r="T395" s="18">
        <f>COUNTIFS(Table1[Customer ID], "&gt;1", Table1[Customer ID], 1)</f>
        <v>0</v>
      </c>
    </row>
    <row r="396" spans="1:20" hidden="1" x14ac:dyDescent="0.3">
      <c r="A396" s="2" t="s">
        <v>762</v>
      </c>
      <c r="B396" s="5">
        <v>45797</v>
      </c>
      <c r="C396" s="5" t="str">
        <f>TEXT(B396,"mmm")</f>
        <v>May</v>
      </c>
      <c r="D396" s="2" t="s">
        <v>628</v>
      </c>
      <c r="E396" s="2" t="s">
        <v>21</v>
      </c>
      <c r="F396" s="2" t="str" cm="1">
        <f t="array" ref="F3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96" s="2" t="str" cm="1">
        <f t="array" ref="G3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96" s="2" t="s">
        <v>98</v>
      </c>
      <c r="I396" s="2" t="s">
        <v>37</v>
      </c>
      <c r="J396" s="2">
        <v>1</v>
      </c>
      <c r="K396" s="8">
        <v>299</v>
      </c>
      <c r="L396" s="3">
        <v>0.1</v>
      </c>
      <c r="M396" s="12">
        <f>K396*L396</f>
        <v>29.900000000000002</v>
      </c>
      <c r="N396" s="12">
        <f>K396*J396</f>
        <v>299</v>
      </c>
      <c r="O396" s="12">
        <f>N396-M396</f>
        <v>269.10000000000002</v>
      </c>
      <c r="P396" s="2" t="s">
        <v>17</v>
      </c>
      <c r="Q396" s="2" t="s">
        <v>50</v>
      </c>
      <c r="R396" s="2">
        <v>80</v>
      </c>
      <c r="S396" s="20">
        <f>Table1[[#This Row],[Net_revenue]]/Table1[[#This Row],[Gross_revenue]]*100%</f>
        <v>0.9</v>
      </c>
      <c r="T396" s="18">
        <f>COUNTIFS(Table1[Customer ID], "&gt;1", Table1[Customer ID], 1)</f>
        <v>0</v>
      </c>
    </row>
    <row r="397" spans="1:20" hidden="1" x14ac:dyDescent="0.3">
      <c r="A397" s="2" t="s">
        <v>763</v>
      </c>
      <c r="B397" s="5">
        <v>45814</v>
      </c>
      <c r="C397" s="5" t="str">
        <f>TEXT(B397,"mmm")</f>
        <v>Jun</v>
      </c>
      <c r="D397" s="2" t="s">
        <v>764</v>
      </c>
      <c r="E397" s="2" t="s">
        <v>48</v>
      </c>
      <c r="F397" s="2" t="str" cm="1">
        <f t="array" ref="F3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397" s="2" t="str" cm="1">
        <f t="array" ref="G3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397" s="2" t="s">
        <v>41</v>
      </c>
      <c r="I397" s="2" t="s">
        <v>16</v>
      </c>
      <c r="J397" s="2">
        <v>1</v>
      </c>
      <c r="K397" s="8">
        <v>2299</v>
      </c>
      <c r="L397" s="3">
        <v>0.1</v>
      </c>
      <c r="M397" s="12">
        <f>K397*L397</f>
        <v>229.9</v>
      </c>
      <c r="N397" s="12">
        <f>K397*J397</f>
        <v>2299</v>
      </c>
      <c r="O397" s="12">
        <f>N397-M397</f>
        <v>2069.1</v>
      </c>
      <c r="P397" s="2" t="s">
        <v>17</v>
      </c>
      <c r="Q397" s="2" t="s">
        <v>50</v>
      </c>
      <c r="R397" s="2">
        <v>0</v>
      </c>
      <c r="S397" s="20">
        <f>Table1[[#This Row],[Net_revenue]]/Table1[[#This Row],[Gross_revenue]]*100%</f>
        <v>0.89999999999999991</v>
      </c>
      <c r="T397" s="18">
        <f>COUNTIFS(Table1[Customer ID], "&gt;1", Table1[Customer ID], 1)</f>
        <v>0</v>
      </c>
    </row>
    <row r="398" spans="1:20" hidden="1" x14ac:dyDescent="0.3">
      <c r="A398" s="2" t="s">
        <v>765</v>
      </c>
      <c r="B398" s="5">
        <v>45777</v>
      </c>
      <c r="C398" s="5" t="str">
        <f>TEXT(B398,"mmm")</f>
        <v>Apr</v>
      </c>
      <c r="D398" s="2" t="s">
        <v>375</v>
      </c>
      <c r="E398" s="2" t="s">
        <v>40</v>
      </c>
      <c r="F398" s="2" t="str" cm="1">
        <f t="array" ref="F3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398" s="2" t="str" cm="1">
        <f t="array" ref="G3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398" s="2" t="s">
        <v>63</v>
      </c>
      <c r="I398" s="2" t="s">
        <v>23</v>
      </c>
      <c r="J398" s="2">
        <v>2</v>
      </c>
      <c r="K398" s="8">
        <v>2499</v>
      </c>
      <c r="L398" s="3">
        <v>0.15</v>
      </c>
      <c r="M398" s="12">
        <f>K398*L398</f>
        <v>374.84999999999997</v>
      </c>
      <c r="N398" s="12">
        <f>K398*J398</f>
        <v>4998</v>
      </c>
      <c r="O398" s="12">
        <f>N398-M398</f>
        <v>4623.1499999999996</v>
      </c>
      <c r="P398" s="2" t="s">
        <v>45</v>
      </c>
      <c r="Q398" s="2" t="s">
        <v>18</v>
      </c>
      <c r="R398" s="2">
        <v>80</v>
      </c>
      <c r="S398" s="20">
        <f>Table1[[#This Row],[Net_revenue]]/Table1[[#This Row],[Gross_revenue]]*100%</f>
        <v>0.92499999999999993</v>
      </c>
      <c r="T398" s="18">
        <f>COUNTIFS(Table1[Customer ID], "&gt;1", Table1[Customer ID], 1)</f>
        <v>0</v>
      </c>
    </row>
    <row r="399" spans="1:20" hidden="1" x14ac:dyDescent="0.3">
      <c r="A399" s="2" t="s">
        <v>766</v>
      </c>
      <c r="B399" s="5">
        <v>45989</v>
      </c>
      <c r="C399" s="5" t="str">
        <f>TEXT(B399,"mmm")</f>
        <v>Nov</v>
      </c>
      <c r="D399" s="2" t="s">
        <v>624</v>
      </c>
      <c r="E399" s="2" t="s">
        <v>21</v>
      </c>
      <c r="F399" s="2" t="str" cm="1">
        <f t="array" ref="F3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399" s="2" t="str" cm="1">
        <f t="array" ref="G3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399" s="2" t="s">
        <v>121</v>
      </c>
      <c r="I399" s="2" t="s">
        <v>95</v>
      </c>
      <c r="J399" s="2">
        <v>1</v>
      </c>
      <c r="K399" s="8">
        <v>1299</v>
      </c>
      <c r="L399" s="3">
        <v>0.1</v>
      </c>
      <c r="M399" s="12">
        <f>K399*L399</f>
        <v>129.9</v>
      </c>
      <c r="N399" s="12">
        <f>K399*J399</f>
        <v>1299</v>
      </c>
      <c r="O399" s="12">
        <f>N399-M399</f>
        <v>1169.0999999999999</v>
      </c>
      <c r="P399" s="2" t="s">
        <v>30</v>
      </c>
      <c r="Q399" s="2" t="s">
        <v>18</v>
      </c>
      <c r="R399" s="2">
        <v>0</v>
      </c>
      <c r="S399" s="20">
        <f>Table1[[#This Row],[Net_revenue]]/Table1[[#This Row],[Gross_revenue]]*100%</f>
        <v>0.89999999999999991</v>
      </c>
      <c r="T399" s="18">
        <f>COUNTIFS(Table1[Customer ID], "&gt;1", Table1[Customer ID], 1)</f>
        <v>0</v>
      </c>
    </row>
    <row r="400" spans="1:20" hidden="1" x14ac:dyDescent="0.3">
      <c r="A400" s="2" t="s">
        <v>767</v>
      </c>
      <c r="B400" s="5">
        <v>45762</v>
      </c>
      <c r="C400" s="5" t="str">
        <f>TEXT(B400,"mmm")</f>
        <v>Apr</v>
      </c>
      <c r="D400" s="2" t="s">
        <v>768</v>
      </c>
      <c r="E400" s="2" t="s">
        <v>21</v>
      </c>
      <c r="F400" s="2" t="str" cm="1">
        <f t="array" ref="F4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00" s="2" t="str" cm="1">
        <f t="array" ref="G4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00" s="2" t="s">
        <v>188</v>
      </c>
      <c r="I400" s="2" t="s">
        <v>95</v>
      </c>
      <c r="J400" s="2">
        <v>1</v>
      </c>
      <c r="K400" s="8">
        <v>699</v>
      </c>
      <c r="L400" s="3">
        <v>0.2</v>
      </c>
      <c r="M400" s="12">
        <f>K400*L400</f>
        <v>139.80000000000001</v>
      </c>
      <c r="N400" s="12">
        <f>K400*J400</f>
        <v>699</v>
      </c>
      <c r="O400" s="12">
        <f>N400-M400</f>
        <v>559.20000000000005</v>
      </c>
      <c r="P400" s="2" t="s">
        <v>17</v>
      </c>
      <c r="Q400" s="2" t="s">
        <v>18</v>
      </c>
      <c r="R400" s="2">
        <v>0</v>
      </c>
      <c r="S400" s="20">
        <f>Table1[[#This Row],[Net_revenue]]/Table1[[#This Row],[Gross_revenue]]*100%</f>
        <v>0.8</v>
      </c>
      <c r="T400" s="18">
        <f>COUNTIFS(Table1[Customer ID], "&gt;1", Table1[Customer ID], 1)</f>
        <v>0</v>
      </c>
    </row>
    <row r="401" spans="1:20" hidden="1" x14ac:dyDescent="0.3">
      <c r="A401" s="2" t="s">
        <v>769</v>
      </c>
      <c r="B401" s="5">
        <v>45792</v>
      </c>
      <c r="C401" s="5" t="str">
        <f>TEXT(B401,"mmm")</f>
        <v>May</v>
      </c>
      <c r="D401" s="2" t="s">
        <v>770</v>
      </c>
      <c r="E401" s="2" t="s">
        <v>14</v>
      </c>
      <c r="F401" s="2" t="str" cm="1">
        <f t="array" ref="F4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01" s="2" t="str" cm="1">
        <f t="array" ref="G4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01" s="2" t="s">
        <v>80</v>
      </c>
      <c r="I401" s="2" t="s">
        <v>23</v>
      </c>
      <c r="J401" s="2">
        <v>3</v>
      </c>
      <c r="K401" s="8">
        <v>799</v>
      </c>
      <c r="L401" s="3">
        <v>0.25</v>
      </c>
      <c r="M401" s="12">
        <f>K401*L401</f>
        <v>199.75</v>
      </c>
      <c r="N401" s="12">
        <f>K401*J401</f>
        <v>2397</v>
      </c>
      <c r="O401" s="12">
        <f>N401-M401</f>
        <v>2197.25</v>
      </c>
      <c r="P401" s="2" t="s">
        <v>45</v>
      </c>
      <c r="Q401" s="2" t="s">
        <v>18</v>
      </c>
      <c r="R401" s="2">
        <v>80</v>
      </c>
      <c r="S401" s="20">
        <f>Table1[[#This Row],[Net_revenue]]/Table1[[#This Row],[Gross_revenue]]*100%</f>
        <v>0.91666666666666663</v>
      </c>
      <c r="T401" s="18">
        <f>COUNTIFS(Table1[Customer ID], "&gt;1", Table1[Customer ID], 1)</f>
        <v>0</v>
      </c>
    </row>
    <row r="402" spans="1:20" hidden="1" x14ac:dyDescent="0.3">
      <c r="A402" s="2" t="s">
        <v>771</v>
      </c>
      <c r="B402" s="5">
        <v>45730</v>
      </c>
      <c r="C402" s="5" t="str">
        <f>TEXT(B402,"mmm")</f>
        <v>Mar</v>
      </c>
      <c r="D402" s="2" t="s">
        <v>754</v>
      </c>
      <c r="E402" s="2" t="s">
        <v>195</v>
      </c>
      <c r="F402" s="2" t="str" cm="1">
        <f t="array" ref="F4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02" s="2" t="str" cm="1">
        <f t="array" ref="G4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02" s="2" t="s">
        <v>44</v>
      </c>
      <c r="I402" s="2" t="s">
        <v>16</v>
      </c>
      <c r="J402" s="2">
        <v>1</v>
      </c>
      <c r="K402" s="8">
        <v>1599</v>
      </c>
      <c r="L402" s="3">
        <v>0.25</v>
      </c>
      <c r="M402" s="12">
        <f>K402*L402</f>
        <v>399.75</v>
      </c>
      <c r="N402" s="12">
        <f>K402*J402</f>
        <v>1599</v>
      </c>
      <c r="O402" s="12">
        <f>N402-M402</f>
        <v>1199.25</v>
      </c>
      <c r="P402" s="2" t="s">
        <v>45</v>
      </c>
      <c r="Q402" s="2" t="s">
        <v>18</v>
      </c>
      <c r="R402" s="2">
        <v>0</v>
      </c>
      <c r="S402" s="20">
        <f>Table1[[#This Row],[Net_revenue]]/Table1[[#This Row],[Gross_revenue]]*100%</f>
        <v>0.75</v>
      </c>
      <c r="T402" s="18">
        <f>COUNTIFS(Table1[Customer ID], "&gt;1", Table1[Customer ID], 1)</f>
        <v>0</v>
      </c>
    </row>
    <row r="403" spans="1:20" hidden="1" x14ac:dyDescent="0.3">
      <c r="A403" s="2" t="s">
        <v>772</v>
      </c>
      <c r="B403" s="5">
        <v>45871</v>
      </c>
      <c r="C403" s="5" t="str">
        <f>TEXT(B403,"mmm")</f>
        <v>Aug</v>
      </c>
      <c r="D403" s="2" t="s">
        <v>773</v>
      </c>
      <c r="E403" s="2" t="s">
        <v>14</v>
      </c>
      <c r="F403" s="2" t="str" cm="1">
        <f t="array" ref="F4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03" s="2" t="str" cm="1">
        <f t="array" ref="G4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03" s="2" t="s">
        <v>41</v>
      </c>
      <c r="I403" s="2" t="s">
        <v>16</v>
      </c>
      <c r="J403" s="2">
        <v>1</v>
      </c>
      <c r="K403" s="8">
        <v>2299</v>
      </c>
      <c r="L403" s="3">
        <v>0</v>
      </c>
      <c r="M403" s="12">
        <f>K403*L403</f>
        <v>0</v>
      </c>
      <c r="N403" s="12">
        <f>K403*J403</f>
        <v>2299</v>
      </c>
      <c r="O403" s="12">
        <f>N403-M403</f>
        <v>2299</v>
      </c>
      <c r="P403" s="2" t="s">
        <v>30</v>
      </c>
      <c r="Q403" s="2" t="s">
        <v>50</v>
      </c>
      <c r="R403" s="2">
        <v>80</v>
      </c>
      <c r="S403" s="20">
        <f>Table1[[#This Row],[Net_revenue]]/Table1[[#This Row],[Gross_revenue]]*100%</f>
        <v>1</v>
      </c>
      <c r="T403" s="18">
        <f>COUNTIFS(Table1[Customer ID], "&gt;1", Table1[Customer ID], 1)</f>
        <v>0</v>
      </c>
    </row>
    <row r="404" spans="1:20" hidden="1" x14ac:dyDescent="0.3">
      <c r="A404" s="2" t="s">
        <v>774</v>
      </c>
      <c r="B404" s="5">
        <v>45745</v>
      </c>
      <c r="C404" s="5" t="str">
        <f>TEXT(B404,"mmm")</f>
        <v>Mar</v>
      </c>
      <c r="D404" s="2" t="s">
        <v>775</v>
      </c>
      <c r="E404" s="2" t="s">
        <v>53</v>
      </c>
      <c r="F404" s="2" t="str" cm="1">
        <f t="array" ref="F4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404" s="2" t="str" cm="1">
        <f t="array" ref="G4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04" s="2" t="s">
        <v>36</v>
      </c>
      <c r="I404" s="2" t="s">
        <v>37</v>
      </c>
      <c r="J404" s="2">
        <v>2</v>
      </c>
      <c r="K404" s="8">
        <v>349</v>
      </c>
      <c r="L404" s="3">
        <v>0</v>
      </c>
      <c r="M404" s="12">
        <f>K404*L404</f>
        <v>0</v>
      </c>
      <c r="N404" s="12">
        <f>K404*J404</f>
        <v>698</v>
      </c>
      <c r="O404" s="12">
        <f>N404-M404</f>
        <v>698</v>
      </c>
      <c r="P404" s="2" t="s">
        <v>45</v>
      </c>
      <c r="Q404" s="2" t="s">
        <v>18</v>
      </c>
      <c r="R404" s="2">
        <v>80</v>
      </c>
      <c r="S404" s="20">
        <f>Table1[[#This Row],[Net_revenue]]/Table1[[#This Row],[Gross_revenue]]*100%</f>
        <v>1</v>
      </c>
      <c r="T404" s="18">
        <f>COUNTIFS(Table1[Customer ID], "&gt;1", Table1[Customer ID], 1)</f>
        <v>0</v>
      </c>
    </row>
    <row r="405" spans="1:20" hidden="1" x14ac:dyDescent="0.3">
      <c r="A405" s="2" t="s">
        <v>776</v>
      </c>
      <c r="B405" s="5">
        <v>45901</v>
      </c>
      <c r="C405" s="5" t="str">
        <f>TEXT(B405,"mmm")</f>
        <v>Sep</v>
      </c>
      <c r="D405" s="2" t="s">
        <v>777</v>
      </c>
      <c r="E405" s="2" t="s">
        <v>40</v>
      </c>
      <c r="F405" s="2" t="str" cm="1">
        <f t="array" ref="F4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05" s="2" t="str" cm="1">
        <f t="array" ref="G4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05" s="2" t="s">
        <v>65</v>
      </c>
      <c r="I405" s="2" t="s">
        <v>23</v>
      </c>
      <c r="J405" s="2">
        <v>1</v>
      </c>
      <c r="K405" s="8">
        <v>1899</v>
      </c>
      <c r="L405" s="3">
        <v>0.2</v>
      </c>
      <c r="M405" s="12">
        <f>K405*L405</f>
        <v>379.8</v>
      </c>
      <c r="N405" s="12">
        <f>K405*J405</f>
        <v>1899</v>
      </c>
      <c r="O405" s="12">
        <f>N405-M405</f>
        <v>1519.2</v>
      </c>
      <c r="P405" s="2" t="s">
        <v>45</v>
      </c>
      <c r="Q405" s="2" t="s">
        <v>18</v>
      </c>
      <c r="R405" s="2">
        <v>60</v>
      </c>
      <c r="S405" s="20">
        <f>Table1[[#This Row],[Net_revenue]]/Table1[[#This Row],[Gross_revenue]]*100%</f>
        <v>0.8</v>
      </c>
      <c r="T405" s="18">
        <f>COUNTIFS(Table1[Customer ID], "&gt;1", Table1[Customer ID], 1)</f>
        <v>0</v>
      </c>
    </row>
    <row r="406" spans="1:20" hidden="1" x14ac:dyDescent="0.3">
      <c r="A406" s="2" t="s">
        <v>778</v>
      </c>
      <c r="B406" s="5">
        <v>45728</v>
      </c>
      <c r="C406" s="5" t="str">
        <f>TEXT(B406,"mmm")</f>
        <v>Mar</v>
      </c>
      <c r="D406" s="2" t="s">
        <v>779</v>
      </c>
      <c r="E406" s="2" t="s">
        <v>21</v>
      </c>
      <c r="F406" s="2" t="str" cm="1">
        <f t="array" ref="F4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06" s="2" t="str" cm="1">
        <f t="array" ref="G4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06" s="2" t="s">
        <v>28</v>
      </c>
      <c r="I406" s="2" t="s">
        <v>29</v>
      </c>
      <c r="J406" s="2">
        <v>1</v>
      </c>
      <c r="K406" s="8">
        <v>2799</v>
      </c>
      <c r="L406" s="3">
        <v>0.1</v>
      </c>
      <c r="M406" s="12">
        <f>K406*L406</f>
        <v>279.90000000000003</v>
      </c>
      <c r="N406" s="12">
        <f>K406*J406</f>
        <v>2799</v>
      </c>
      <c r="O406" s="12">
        <f>N406-M406</f>
        <v>2519.1</v>
      </c>
      <c r="P406" s="2" t="s">
        <v>30</v>
      </c>
      <c r="Q406" s="2" t="s">
        <v>18</v>
      </c>
      <c r="R406" s="2">
        <v>80</v>
      </c>
      <c r="S406" s="20">
        <f>Table1[[#This Row],[Net_revenue]]/Table1[[#This Row],[Gross_revenue]]*100%</f>
        <v>0.9</v>
      </c>
      <c r="T406" s="18">
        <f>COUNTIFS(Table1[Customer ID], "&gt;1", Table1[Customer ID], 1)</f>
        <v>0</v>
      </c>
    </row>
    <row r="407" spans="1:20" hidden="1" x14ac:dyDescent="0.3">
      <c r="A407" s="2" t="s">
        <v>780</v>
      </c>
      <c r="B407" s="5">
        <v>45910</v>
      </c>
      <c r="C407" s="5" t="str">
        <f>TEXT(B407,"mmm")</f>
        <v>Sep</v>
      </c>
      <c r="D407" s="2" t="s">
        <v>781</v>
      </c>
      <c r="E407" s="2" t="s">
        <v>120</v>
      </c>
      <c r="F407" s="2" t="str" cm="1">
        <f t="array" ref="F4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07" s="2" t="str" cm="1">
        <f t="array" ref="G4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07" s="2" t="s">
        <v>121</v>
      </c>
      <c r="I407" s="2" t="s">
        <v>95</v>
      </c>
      <c r="J407" s="2">
        <v>1</v>
      </c>
      <c r="K407" s="8">
        <v>1299</v>
      </c>
      <c r="L407" s="3">
        <v>0.1</v>
      </c>
      <c r="M407" s="12">
        <f>K407*L407</f>
        <v>129.9</v>
      </c>
      <c r="N407" s="12">
        <f>K407*J407</f>
        <v>1299</v>
      </c>
      <c r="O407" s="12">
        <f>N407-M407</f>
        <v>1169.0999999999999</v>
      </c>
      <c r="P407" s="2" t="s">
        <v>17</v>
      </c>
      <c r="Q407" s="2" t="s">
        <v>18</v>
      </c>
      <c r="R407" s="2">
        <v>40</v>
      </c>
      <c r="S407" s="20">
        <f>Table1[[#This Row],[Net_revenue]]/Table1[[#This Row],[Gross_revenue]]*100%</f>
        <v>0.89999999999999991</v>
      </c>
      <c r="T407" s="18">
        <f>COUNTIFS(Table1[Customer ID], "&gt;1", Table1[Customer ID], 1)</f>
        <v>0</v>
      </c>
    </row>
    <row r="408" spans="1:20" hidden="1" x14ac:dyDescent="0.3">
      <c r="A408" s="2" t="s">
        <v>782</v>
      </c>
      <c r="B408" s="5">
        <v>45807</v>
      </c>
      <c r="C408" s="5" t="str">
        <f>TEXT(B408,"mmm")</f>
        <v>May</v>
      </c>
      <c r="D408" s="2" t="s">
        <v>783</v>
      </c>
      <c r="E408" s="2" t="s">
        <v>40</v>
      </c>
      <c r="F408" s="2" t="str" cm="1">
        <f t="array" ref="F4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08" s="2" t="str" cm="1">
        <f t="array" ref="G4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08" s="2" t="s">
        <v>49</v>
      </c>
      <c r="I408" s="2" t="s">
        <v>23</v>
      </c>
      <c r="J408" s="2">
        <v>3</v>
      </c>
      <c r="K408" s="8">
        <v>1299</v>
      </c>
      <c r="L408" s="3">
        <v>0.1</v>
      </c>
      <c r="M408" s="12">
        <f>K408*L408</f>
        <v>129.9</v>
      </c>
      <c r="N408" s="12">
        <f>K408*J408</f>
        <v>3897</v>
      </c>
      <c r="O408" s="12">
        <f>N408-M408</f>
        <v>3767.1</v>
      </c>
      <c r="P408" s="2" t="s">
        <v>17</v>
      </c>
      <c r="Q408" s="2" t="s">
        <v>18</v>
      </c>
      <c r="R408" s="2">
        <v>40</v>
      </c>
      <c r="S408" s="20">
        <f>Table1[[#This Row],[Net_revenue]]/Table1[[#This Row],[Gross_revenue]]*100%</f>
        <v>0.96666666666666667</v>
      </c>
      <c r="T408" s="18">
        <f>COUNTIFS(Table1[Customer ID], "&gt;1", Table1[Customer ID], 1)</f>
        <v>0</v>
      </c>
    </row>
    <row r="409" spans="1:20" hidden="1" x14ac:dyDescent="0.3">
      <c r="A409" s="2" t="s">
        <v>784</v>
      </c>
      <c r="B409" s="5">
        <v>45691</v>
      </c>
      <c r="C409" s="5" t="str">
        <f>TEXT(B409,"mmm")</f>
        <v>Feb</v>
      </c>
      <c r="D409" s="2" t="s">
        <v>785</v>
      </c>
      <c r="E409" s="2" t="s">
        <v>48</v>
      </c>
      <c r="F409" s="2" t="str" cm="1">
        <f t="array" ref="F4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09" s="2" t="str" cm="1">
        <f t="array" ref="G4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09" s="2" t="s">
        <v>15</v>
      </c>
      <c r="I409" s="2" t="s">
        <v>16</v>
      </c>
      <c r="J409" s="2">
        <v>1</v>
      </c>
      <c r="K409" s="8">
        <v>1799</v>
      </c>
      <c r="L409" s="3">
        <v>0.15</v>
      </c>
      <c r="M409" s="12">
        <f>K409*L409</f>
        <v>269.84999999999997</v>
      </c>
      <c r="N409" s="12">
        <f>K409*J409</f>
        <v>1799</v>
      </c>
      <c r="O409" s="12">
        <f>N409-M409</f>
        <v>1529.15</v>
      </c>
      <c r="P409" s="2" t="s">
        <v>45</v>
      </c>
      <c r="Q409" s="2" t="s">
        <v>50</v>
      </c>
      <c r="R409" s="2">
        <v>0</v>
      </c>
      <c r="S409" s="20">
        <f>Table1[[#This Row],[Net_revenue]]/Table1[[#This Row],[Gross_revenue]]*100%</f>
        <v>0.85000000000000009</v>
      </c>
      <c r="T409" s="18">
        <f>COUNTIFS(Table1[Customer ID], "&gt;1", Table1[Customer ID], 1)</f>
        <v>0</v>
      </c>
    </row>
    <row r="410" spans="1:20" hidden="1" x14ac:dyDescent="0.3">
      <c r="A410" s="2" t="s">
        <v>786</v>
      </c>
      <c r="B410" s="5">
        <v>45916</v>
      </c>
      <c r="C410" s="5" t="str">
        <f>TEXT(B410,"mmm")</f>
        <v>Sep</v>
      </c>
      <c r="D410" s="2" t="s">
        <v>787</v>
      </c>
      <c r="E410" s="2" t="s">
        <v>56</v>
      </c>
      <c r="F410" s="2" t="str" cm="1">
        <f t="array" ref="F4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10" s="2" t="str" cm="1">
        <f t="array" ref="G4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10" s="2" t="s">
        <v>94</v>
      </c>
      <c r="I410" s="2" t="s">
        <v>95</v>
      </c>
      <c r="J410" s="2">
        <v>2</v>
      </c>
      <c r="K410" s="8">
        <v>399</v>
      </c>
      <c r="L410" s="3">
        <v>0.25</v>
      </c>
      <c r="M410" s="12">
        <f>K410*L410</f>
        <v>99.75</v>
      </c>
      <c r="N410" s="12">
        <f>K410*J410</f>
        <v>798</v>
      </c>
      <c r="O410" s="12">
        <f>N410-M410</f>
        <v>698.25</v>
      </c>
      <c r="P410" s="2" t="s">
        <v>45</v>
      </c>
      <c r="Q410" s="2" t="s">
        <v>18</v>
      </c>
      <c r="R410" s="2">
        <v>40</v>
      </c>
      <c r="S410" s="20">
        <f>Table1[[#This Row],[Net_revenue]]/Table1[[#This Row],[Gross_revenue]]*100%</f>
        <v>0.875</v>
      </c>
      <c r="T410" s="18">
        <f>COUNTIFS(Table1[Customer ID], "&gt;1", Table1[Customer ID], 1)</f>
        <v>0</v>
      </c>
    </row>
    <row r="411" spans="1:20" hidden="1" x14ac:dyDescent="0.3">
      <c r="A411" s="2" t="s">
        <v>788</v>
      </c>
      <c r="B411" s="5">
        <v>45728</v>
      </c>
      <c r="C411" s="5" t="str">
        <f>TEXT(B411,"mmm")</f>
        <v>Mar</v>
      </c>
      <c r="D411" s="2" t="s">
        <v>789</v>
      </c>
      <c r="E411" s="2" t="s">
        <v>21</v>
      </c>
      <c r="F411" s="2" t="str" cm="1">
        <f t="array" ref="F4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11" s="2" t="str" cm="1">
        <f t="array" ref="G4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11" s="2" t="s">
        <v>71</v>
      </c>
      <c r="I411" s="2" t="s">
        <v>29</v>
      </c>
      <c r="J411" s="2">
        <v>1</v>
      </c>
      <c r="K411" s="8">
        <v>5499</v>
      </c>
      <c r="L411" s="3">
        <v>0</v>
      </c>
      <c r="M411" s="12">
        <f>K411*L411</f>
        <v>0</v>
      </c>
      <c r="N411" s="12">
        <f>K411*J411</f>
        <v>5499</v>
      </c>
      <c r="O411" s="12">
        <f>N411-M411</f>
        <v>5499</v>
      </c>
      <c r="P411" s="2" t="s">
        <v>30</v>
      </c>
      <c r="Q411" s="2" t="s">
        <v>18</v>
      </c>
      <c r="R411" s="2">
        <v>0</v>
      </c>
      <c r="S411" s="20">
        <f>Table1[[#This Row],[Net_revenue]]/Table1[[#This Row],[Gross_revenue]]*100%</f>
        <v>1</v>
      </c>
      <c r="T411" s="18">
        <f>COUNTIFS(Table1[Customer ID], "&gt;1", Table1[Customer ID], 1)</f>
        <v>0</v>
      </c>
    </row>
    <row r="412" spans="1:20" hidden="1" x14ac:dyDescent="0.3">
      <c r="A412" s="2" t="s">
        <v>790</v>
      </c>
      <c r="B412" s="5">
        <v>45799</v>
      </c>
      <c r="C412" s="5" t="str">
        <f>TEXT(B412,"mmm")</f>
        <v>May</v>
      </c>
      <c r="D412" s="2" t="s">
        <v>791</v>
      </c>
      <c r="E412" s="2" t="s">
        <v>14</v>
      </c>
      <c r="F412" s="2" t="str" cm="1">
        <f t="array" ref="F4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12" s="2" t="str" cm="1">
        <f t="array" ref="G4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12" s="2" t="s">
        <v>121</v>
      </c>
      <c r="I412" s="2" t="s">
        <v>95</v>
      </c>
      <c r="J412" s="2">
        <v>1</v>
      </c>
      <c r="K412" s="8">
        <v>1299</v>
      </c>
      <c r="L412" s="3">
        <v>0</v>
      </c>
      <c r="M412" s="12">
        <f>K412*L412</f>
        <v>0</v>
      </c>
      <c r="N412" s="12">
        <f>K412*J412</f>
        <v>1299</v>
      </c>
      <c r="O412" s="12">
        <f>N412-M412</f>
        <v>1299</v>
      </c>
      <c r="P412" s="2" t="s">
        <v>24</v>
      </c>
      <c r="Q412" s="2" t="s">
        <v>18</v>
      </c>
      <c r="R412" s="2">
        <v>0</v>
      </c>
      <c r="S412" s="20">
        <f>Table1[[#This Row],[Net_revenue]]/Table1[[#This Row],[Gross_revenue]]*100%</f>
        <v>1</v>
      </c>
      <c r="T412" s="18">
        <f>COUNTIFS(Table1[Customer ID], "&gt;1", Table1[Customer ID], 1)</f>
        <v>0</v>
      </c>
    </row>
    <row r="413" spans="1:20" hidden="1" x14ac:dyDescent="0.3">
      <c r="A413" s="2" t="s">
        <v>792</v>
      </c>
      <c r="B413" s="5">
        <v>45769</v>
      </c>
      <c r="C413" s="5" t="str">
        <f>TEXT(B413,"mmm")</f>
        <v>Apr</v>
      </c>
      <c r="D413" s="2" t="s">
        <v>670</v>
      </c>
      <c r="E413" s="2" t="s">
        <v>48</v>
      </c>
      <c r="F413" s="2" t="str" cm="1">
        <f t="array" ref="F4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13" s="2" t="str" cm="1">
        <f t="array" ref="G4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13" s="2" t="s">
        <v>80</v>
      </c>
      <c r="I413" s="2" t="s">
        <v>23</v>
      </c>
      <c r="J413" s="2">
        <v>1</v>
      </c>
      <c r="K413" s="8">
        <v>799</v>
      </c>
      <c r="L413" s="3">
        <v>0.15</v>
      </c>
      <c r="M413" s="12">
        <f>K413*L413</f>
        <v>119.85</v>
      </c>
      <c r="N413" s="12">
        <f>K413*J413</f>
        <v>799</v>
      </c>
      <c r="O413" s="12">
        <f>N413-M413</f>
        <v>679.15</v>
      </c>
      <c r="P413" s="2" t="s">
        <v>45</v>
      </c>
      <c r="Q413" s="2" t="s">
        <v>18</v>
      </c>
      <c r="R413" s="2">
        <v>80</v>
      </c>
      <c r="S413" s="20">
        <f>Table1[[#This Row],[Net_revenue]]/Table1[[#This Row],[Gross_revenue]]*100%</f>
        <v>0.85</v>
      </c>
      <c r="T413" s="18">
        <f>COUNTIFS(Table1[Customer ID], "&gt;1", Table1[Customer ID], 1)</f>
        <v>0</v>
      </c>
    </row>
    <row r="414" spans="1:20" hidden="1" x14ac:dyDescent="0.3">
      <c r="A414" s="2" t="s">
        <v>793</v>
      </c>
      <c r="B414" s="5">
        <v>45736</v>
      </c>
      <c r="C414" s="5" t="str">
        <f>TEXT(B414,"mmm")</f>
        <v>Mar</v>
      </c>
      <c r="D414" s="2" t="s">
        <v>471</v>
      </c>
      <c r="E414" s="2" t="s">
        <v>27</v>
      </c>
      <c r="F414" s="2" t="str" cm="1">
        <f t="array" ref="F4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14" s="2" t="str" cm="1">
        <f t="array" ref="G4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14" s="2" t="s">
        <v>49</v>
      </c>
      <c r="I414" s="2" t="s">
        <v>23</v>
      </c>
      <c r="J414" s="2">
        <v>1</v>
      </c>
      <c r="K414" s="8">
        <v>1299</v>
      </c>
      <c r="L414" s="3">
        <v>0</v>
      </c>
      <c r="M414" s="12">
        <f>K414*L414</f>
        <v>0</v>
      </c>
      <c r="N414" s="12">
        <f>K414*J414</f>
        <v>1299</v>
      </c>
      <c r="O414" s="12">
        <f>N414-M414</f>
        <v>1299</v>
      </c>
      <c r="P414" s="2" t="s">
        <v>30</v>
      </c>
      <c r="Q414" s="2" t="s">
        <v>18</v>
      </c>
      <c r="R414" s="2">
        <v>60</v>
      </c>
      <c r="S414" s="20">
        <f>Table1[[#This Row],[Net_revenue]]/Table1[[#This Row],[Gross_revenue]]*100%</f>
        <v>1</v>
      </c>
      <c r="T414" s="18">
        <f>COUNTIFS(Table1[Customer ID], "&gt;1", Table1[Customer ID], 1)</f>
        <v>0</v>
      </c>
    </row>
    <row r="415" spans="1:20" hidden="1" x14ac:dyDescent="0.3">
      <c r="A415" s="2" t="s">
        <v>794</v>
      </c>
      <c r="B415" s="5">
        <v>45806</v>
      </c>
      <c r="C415" s="5" t="str">
        <f>TEXT(B415,"mmm")</f>
        <v>May</v>
      </c>
      <c r="D415" s="2" t="s">
        <v>520</v>
      </c>
      <c r="E415" s="2" t="s">
        <v>40</v>
      </c>
      <c r="F415" s="2" t="str" cm="1">
        <f t="array" ref="F4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15" s="2" t="str" cm="1">
        <f t="array" ref="G4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15" s="2" t="s">
        <v>28</v>
      </c>
      <c r="I415" s="2" t="s">
        <v>29</v>
      </c>
      <c r="J415" s="2">
        <v>2</v>
      </c>
      <c r="K415" s="8">
        <v>2799</v>
      </c>
      <c r="L415" s="3">
        <v>0.1</v>
      </c>
      <c r="M415" s="12">
        <f>K415*L415</f>
        <v>279.90000000000003</v>
      </c>
      <c r="N415" s="12">
        <f>K415*J415</f>
        <v>5598</v>
      </c>
      <c r="O415" s="12">
        <f>N415-M415</f>
        <v>5318.1</v>
      </c>
      <c r="P415" s="2" t="s">
        <v>17</v>
      </c>
      <c r="Q415" s="2" t="s">
        <v>18</v>
      </c>
      <c r="R415" s="2">
        <v>40</v>
      </c>
      <c r="S415" s="20">
        <f>Table1[[#This Row],[Net_revenue]]/Table1[[#This Row],[Gross_revenue]]*100%</f>
        <v>0.95000000000000007</v>
      </c>
      <c r="T415" s="18">
        <f>COUNTIFS(Table1[Customer ID], "&gt;1", Table1[Customer ID], 1)</f>
        <v>0</v>
      </c>
    </row>
    <row r="416" spans="1:20" hidden="1" x14ac:dyDescent="0.3">
      <c r="A416" s="2" t="s">
        <v>795</v>
      </c>
      <c r="B416" s="5">
        <v>45671</v>
      </c>
      <c r="C416" s="5" t="str">
        <f>TEXT(B416,"mmm")</f>
        <v>Jan</v>
      </c>
      <c r="D416" s="2" t="s">
        <v>695</v>
      </c>
      <c r="E416" s="2" t="s">
        <v>14</v>
      </c>
      <c r="F416" s="2" t="str" cm="1">
        <f t="array" ref="F4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16" s="2" t="str" cm="1">
        <f t="array" ref="G4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16" s="2" t="s">
        <v>183</v>
      </c>
      <c r="I416" s="2" t="s">
        <v>37</v>
      </c>
      <c r="J416" s="2">
        <v>2</v>
      </c>
      <c r="K416" s="8">
        <v>499</v>
      </c>
      <c r="L416" s="3">
        <v>0.1</v>
      </c>
      <c r="M416" s="12">
        <f>K416*L416</f>
        <v>49.900000000000006</v>
      </c>
      <c r="N416" s="12">
        <f>K416*J416</f>
        <v>998</v>
      </c>
      <c r="O416" s="12">
        <f>N416-M416</f>
        <v>948.1</v>
      </c>
      <c r="P416" s="2" t="s">
        <v>17</v>
      </c>
      <c r="Q416" s="2" t="s">
        <v>72</v>
      </c>
      <c r="R416" s="2">
        <v>40</v>
      </c>
      <c r="S416" s="20">
        <f>Table1[[#This Row],[Net_revenue]]/Table1[[#This Row],[Gross_revenue]]*100%</f>
        <v>0.95000000000000007</v>
      </c>
      <c r="T416" s="18">
        <f>COUNTIFS(Table1[Customer ID], "&gt;1", Table1[Customer ID], 1)</f>
        <v>0</v>
      </c>
    </row>
    <row r="417" spans="1:20" hidden="1" x14ac:dyDescent="0.3">
      <c r="A417" s="2" t="s">
        <v>796</v>
      </c>
      <c r="B417" s="5">
        <v>45755</v>
      </c>
      <c r="C417" s="5" t="str">
        <f>TEXT(B417,"mmm")</f>
        <v>Apr</v>
      </c>
      <c r="D417" s="2" t="s">
        <v>797</v>
      </c>
      <c r="E417" s="2" t="s">
        <v>48</v>
      </c>
      <c r="F417" s="2" t="str" cm="1">
        <f t="array" ref="F4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17" s="2" t="str" cm="1">
        <f t="array" ref="G4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17" s="2" t="s">
        <v>80</v>
      </c>
      <c r="I417" s="2" t="s">
        <v>23</v>
      </c>
      <c r="J417" s="2">
        <v>3</v>
      </c>
      <c r="K417" s="8">
        <v>799</v>
      </c>
      <c r="L417" s="3">
        <v>0.05</v>
      </c>
      <c r="M417" s="12">
        <f>K417*L417</f>
        <v>39.950000000000003</v>
      </c>
      <c r="N417" s="12">
        <f>K417*J417</f>
        <v>2397</v>
      </c>
      <c r="O417" s="12">
        <f>N417-M417</f>
        <v>2357.0500000000002</v>
      </c>
      <c r="P417" s="2" t="s">
        <v>24</v>
      </c>
      <c r="Q417" s="2" t="s">
        <v>18</v>
      </c>
      <c r="R417" s="2">
        <v>40</v>
      </c>
      <c r="S417" s="20">
        <f>Table1[[#This Row],[Net_revenue]]/Table1[[#This Row],[Gross_revenue]]*100%</f>
        <v>0.98333333333333339</v>
      </c>
      <c r="T417" s="18">
        <f>COUNTIFS(Table1[Customer ID], "&gt;1", Table1[Customer ID], 1)</f>
        <v>0</v>
      </c>
    </row>
    <row r="418" spans="1:20" hidden="1" x14ac:dyDescent="0.3">
      <c r="A418" s="2" t="s">
        <v>798</v>
      </c>
      <c r="B418" s="5">
        <v>45965</v>
      </c>
      <c r="C418" s="5" t="str">
        <f>TEXT(B418,"mmm")</f>
        <v>Nov</v>
      </c>
      <c r="D418" s="2" t="s">
        <v>55</v>
      </c>
      <c r="E418" s="2" t="s">
        <v>48</v>
      </c>
      <c r="F418" s="2" t="str" cm="1">
        <f t="array" ref="F4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18" s="2" t="str" cm="1">
        <f t="array" ref="G4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18" s="2" t="s">
        <v>217</v>
      </c>
      <c r="I418" s="2" t="s">
        <v>29</v>
      </c>
      <c r="J418" s="2">
        <v>2</v>
      </c>
      <c r="K418" s="8">
        <v>3299</v>
      </c>
      <c r="L418" s="3">
        <v>0.2</v>
      </c>
      <c r="M418" s="12">
        <f>K418*L418</f>
        <v>659.80000000000007</v>
      </c>
      <c r="N418" s="12">
        <f>K418*J418</f>
        <v>6598</v>
      </c>
      <c r="O418" s="12">
        <f>N418-M418</f>
        <v>5938.2</v>
      </c>
      <c r="P418" s="2" t="s">
        <v>45</v>
      </c>
      <c r="Q418" s="2" t="s">
        <v>18</v>
      </c>
      <c r="R418" s="2">
        <v>40</v>
      </c>
      <c r="S418" s="20">
        <f>Table1[[#This Row],[Net_revenue]]/Table1[[#This Row],[Gross_revenue]]*100%</f>
        <v>0.9</v>
      </c>
      <c r="T418" s="18">
        <f>COUNTIFS(Table1[Customer ID], "&gt;1", Table1[Customer ID], 1)</f>
        <v>0</v>
      </c>
    </row>
    <row r="419" spans="1:20" hidden="1" x14ac:dyDescent="0.3">
      <c r="A419" s="2" t="s">
        <v>799</v>
      </c>
      <c r="B419" s="5">
        <v>45845</v>
      </c>
      <c r="C419" s="5" t="str">
        <f>TEXT(B419,"mmm")</f>
        <v>Jul</v>
      </c>
      <c r="D419" s="2" t="s">
        <v>800</v>
      </c>
      <c r="E419" s="2" t="s">
        <v>40</v>
      </c>
      <c r="F419" s="2" t="str" cm="1">
        <f t="array" ref="F4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19" s="2" t="str" cm="1">
        <f t="array" ref="G4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19" s="2" t="s">
        <v>217</v>
      </c>
      <c r="I419" s="2" t="s">
        <v>29</v>
      </c>
      <c r="J419" s="2">
        <v>1</v>
      </c>
      <c r="K419" s="8">
        <v>3299</v>
      </c>
      <c r="L419" s="3">
        <v>0</v>
      </c>
      <c r="M419" s="12">
        <f>K419*L419</f>
        <v>0</v>
      </c>
      <c r="N419" s="12">
        <f>K419*J419</f>
        <v>3299</v>
      </c>
      <c r="O419" s="12">
        <f>N419-M419</f>
        <v>3299</v>
      </c>
      <c r="P419" s="2" t="s">
        <v>30</v>
      </c>
      <c r="Q419" s="2" t="s">
        <v>18</v>
      </c>
      <c r="R419" s="2">
        <v>0</v>
      </c>
      <c r="S419" s="20">
        <f>Table1[[#This Row],[Net_revenue]]/Table1[[#This Row],[Gross_revenue]]*100%</f>
        <v>1</v>
      </c>
      <c r="T419" s="18">
        <f>COUNTIFS(Table1[Customer ID], "&gt;1", Table1[Customer ID], 1)</f>
        <v>0</v>
      </c>
    </row>
    <row r="420" spans="1:20" hidden="1" x14ac:dyDescent="0.3">
      <c r="A420" s="2" t="s">
        <v>801</v>
      </c>
      <c r="B420" s="5">
        <v>45940</v>
      </c>
      <c r="C420" s="5" t="str">
        <f>TEXT(B420,"mmm")</f>
        <v>Oct</v>
      </c>
      <c r="D420" s="2" t="s">
        <v>802</v>
      </c>
      <c r="E420" s="2" t="s">
        <v>75</v>
      </c>
      <c r="F420" s="2" t="str" cm="1">
        <f t="array" ref="F4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420" s="2" t="str" cm="1">
        <f t="array" ref="G4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20" s="2" t="s">
        <v>28</v>
      </c>
      <c r="I420" s="2" t="s">
        <v>29</v>
      </c>
      <c r="J420" s="2">
        <v>1</v>
      </c>
      <c r="K420" s="8">
        <v>2799</v>
      </c>
      <c r="L420" s="3">
        <v>0.1</v>
      </c>
      <c r="M420" s="12">
        <f>K420*L420</f>
        <v>279.90000000000003</v>
      </c>
      <c r="N420" s="12">
        <f>K420*J420</f>
        <v>2799</v>
      </c>
      <c r="O420" s="12">
        <f>N420-M420</f>
        <v>2519.1</v>
      </c>
      <c r="P420" s="2" t="s">
        <v>45</v>
      </c>
      <c r="Q420" s="2" t="s">
        <v>18</v>
      </c>
      <c r="R420" s="2">
        <v>80</v>
      </c>
      <c r="S420" s="20">
        <f>Table1[[#This Row],[Net_revenue]]/Table1[[#This Row],[Gross_revenue]]*100%</f>
        <v>0.9</v>
      </c>
      <c r="T420" s="18">
        <f>COUNTIFS(Table1[Customer ID], "&gt;1", Table1[Customer ID], 1)</f>
        <v>0</v>
      </c>
    </row>
    <row r="421" spans="1:20" hidden="1" x14ac:dyDescent="0.3">
      <c r="A421" s="2" t="s">
        <v>803</v>
      </c>
      <c r="B421" s="5">
        <v>45899</v>
      </c>
      <c r="C421" s="5" t="str">
        <f>TEXT(B421,"mmm")</f>
        <v>Aug</v>
      </c>
      <c r="D421" s="2" t="s">
        <v>804</v>
      </c>
      <c r="E421" s="2" t="s">
        <v>120</v>
      </c>
      <c r="F421" s="2" t="str" cm="1">
        <f t="array" ref="F4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21" s="2" t="str" cm="1">
        <f t="array" ref="G4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21" s="2" t="s">
        <v>44</v>
      </c>
      <c r="I421" s="2" t="s">
        <v>16</v>
      </c>
      <c r="J421" s="2">
        <v>4</v>
      </c>
      <c r="K421" s="8">
        <v>1599</v>
      </c>
      <c r="L421" s="3">
        <v>0.05</v>
      </c>
      <c r="M421" s="12">
        <f>K421*L421</f>
        <v>79.95</v>
      </c>
      <c r="N421" s="12">
        <f>K421*J421</f>
        <v>6396</v>
      </c>
      <c r="O421" s="12">
        <f>N421-M421</f>
        <v>6316.05</v>
      </c>
      <c r="P421" s="2" t="s">
        <v>30</v>
      </c>
      <c r="Q421" s="2" t="s">
        <v>18</v>
      </c>
      <c r="R421" s="2">
        <v>0</v>
      </c>
      <c r="S421" s="20">
        <f>Table1[[#This Row],[Net_revenue]]/Table1[[#This Row],[Gross_revenue]]*100%</f>
        <v>0.98750000000000004</v>
      </c>
      <c r="T421" s="18">
        <f>COUNTIFS(Table1[Customer ID], "&gt;1", Table1[Customer ID], 1)</f>
        <v>0</v>
      </c>
    </row>
    <row r="422" spans="1:20" hidden="1" x14ac:dyDescent="0.3">
      <c r="A422" s="2" t="s">
        <v>805</v>
      </c>
      <c r="B422" s="5">
        <v>45749</v>
      </c>
      <c r="C422" s="5" t="str">
        <f>TEXT(B422,"mmm")</f>
        <v>Apr</v>
      </c>
      <c r="D422" s="2" t="s">
        <v>743</v>
      </c>
      <c r="E422" s="2" t="s">
        <v>14</v>
      </c>
      <c r="F422" s="2" t="str" cm="1">
        <f t="array" ref="F4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22" s="2" t="str" cm="1">
        <f t="array" ref="G4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22" s="2" t="s">
        <v>80</v>
      </c>
      <c r="I422" s="2" t="s">
        <v>23</v>
      </c>
      <c r="J422" s="2">
        <v>2</v>
      </c>
      <c r="K422" s="8">
        <v>799</v>
      </c>
      <c r="L422" s="3">
        <v>0.05</v>
      </c>
      <c r="M422" s="12">
        <f>K422*L422</f>
        <v>39.950000000000003</v>
      </c>
      <c r="N422" s="12">
        <f>K422*J422</f>
        <v>1598</v>
      </c>
      <c r="O422" s="12">
        <f>N422-M422</f>
        <v>1558.05</v>
      </c>
      <c r="P422" s="2" t="s">
        <v>17</v>
      </c>
      <c r="Q422" s="2" t="s">
        <v>18</v>
      </c>
      <c r="R422" s="2">
        <v>40</v>
      </c>
      <c r="S422" s="20">
        <f>Table1[[#This Row],[Net_revenue]]/Table1[[#This Row],[Gross_revenue]]*100%</f>
        <v>0.97499999999999998</v>
      </c>
      <c r="T422" s="18">
        <f>COUNTIFS(Table1[Customer ID], "&gt;1", Table1[Customer ID], 1)</f>
        <v>0</v>
      </c>
    </row>
    <row r="423" spans="1:20" hidden="1" x14ac:dyDescent="0.3">
      <c r="A423" s="2" t="s">
        <v>806</v>
      </c>
      <c r="B423" s="5">
        <v>45926</v>
      </c>
      <c r="C423" s="5" t="str">
        <f>TEXT(B423,"mmm")</f>
        <v>Sep</v>
      </c>
      <c r="D423" s="2" t="s">
        <v>807</v>
      </c>
      <c r="E423" s="2" t="s">
        <v>27</v>
      </c>
      <c r="F423" s="2" t="str" cm="1">
        <f t="array" ref="F4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23" s="2" t="str" cm="1">
        <f t="array" ref="G4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23" s="2" t="s">
        <v>49</v>
      </c>
      <c r="I423" s="2" t="s">
        <v>23</v>
      </c>
      <c r="J423" s="2">
        <v>1</v>
      </c>
      <c r="K423" s="8">
        <v>1299</v>
      </c>
      <c r="L423" s="3">
        <v>0.1</v>
      </c>
      <c r="M423" s="12">
        <f>K423*L423</f>
        <v>129.9</v>
      </c>
      <c r="N423" s="12">
        <f>K423*J423</f>
        <v>1299</v>
      </c>
      <c r="O423" s="12">
        <f>N423-M423</f>
        <v>1169.0999999999999</v>
      </c>
      <c r="P423" s="2" t="s">
        <v>17</v>
      </c>
      <c r="Q423" s="2" t="s">
        <v>50</v>
      </c>
      <c r="R423" s="2">
        <v>40</v>
      </c>
      <c r="S423" s="20">
        <f>Table1[[#This Row],[Net_revenue]]/Table1[[#This Row],[Gross_revenue]]*100%</f>
        <v>0.89999999999999991</v>
      </c>
      <c r="T423" s="18">
        <f>COUNTIFS(Table1[Customer ID], "&gt;1", Table1[Customer ID], 1)</f>
        <v>0</v>
      </c>
    </row>
    <row r="424" spans="1:20" hidden="1" x14ac:dyDescent="0.3">
      <c r="A424" s="2" t="s">
        <v>808</v>
      </c>
      <c r="B424" s="5">
        <v>45879</v>
      </c>
      <c r="C424" s="5" t="str">
        <f>TEXT(B424,"mmm")</f>
        <v>Aug</v>
      </c>
      <c r="D424" s="2" t="s">
        <v>13</v>
      </c>
      <c r="E424" s="2" t="s">
        <v>48</v>
      </c>
      <c r="F424" s="2" t="str" cm="1">
        <f t="array" ref="F4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24" s="2" t="str" cm="1">
        <f t="array" ref="G4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24" s="2" t="s">
        <v>22</v>
      </c>
      <c r="I424" s="2" t="s">
        <v>23</v>
      </c>
      <c r="J424" s="2">
        <v>2</v>
      </c>
      <c r="K424" s="8">
        <v>3999</v>
      </c>
      <c r="L424" s="3">
        <v>0.25</v>
      </c>
      <c r="M424" s="12">
        <f>K424*L424</f>
        <v>999.75</v>
      </c>
      <c r="N424" s="12">
        <f>K424*J424</f>
        <v>7998</v>
      </c>
      <c r="O424" s="12">
        <f>N424-M424</f>
        <v>6998.25</v>
      </c>
      <c r="P424" s="2" t="s">
        <v>45</v>
      </c>
      <c r="Q424" s="2" t="s">
        <v>18</v>
      </c>
      <c r="R424" s="2">
        <v>80</v>
      </c>
      <c r="S424" s="20">
        <f>Table1[[#This Row],[Net_revenue]]/Table1[[#This Row],[Gross_revenue]]*100%</f>
        <v>0.875</v>
      </c>
      <c r="T424" s="18">
        <f>COUNTIFS(Table1[Customer ID], "&gt;1", Table1[Customer ID], 1)</f>
        <v>0</v>
      </c>
    </row>
    <row r="425" spans="1:20" hidden="1" x14ac:dyDescent="0.3">
      <c r="A425" s="2" t="s">
        <v>809</v>
      </c>
      <c r="B425" s="5">
        <v>45964</v>
      </c>
      <c r="C425" s="5" t="str">
        <f>TEXT(B425,"mmm")</f>
        <v>Nov</v>
      </c>
      <c r="D425" s="2" t="s">
        <v>67</v>
      </c>
      <c r="E425" s="2" t="s">
        <v>40</v>
      </c>
      <c r="F425" s="2" t="str" cm="1">
        <f t="array" ref="F4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25" s="2" t="str" cm="1">
        <f t="array" ref="G4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25" s="2" t="s">
        <v>41</v>
      </c>
      <c r="I425" s="2" t="s">
        <v>16</v>
      </c>
      <c r="J425" s="2">
        <v>1</v>
      </c>
      <c r="K425" s="8">
        <v>2299</v>
      </c>
      <c r="L425" s="3">
        <v>0</v>
      </c>
      <c r="M425" s="12">
        <f>K425*L425</f>
        <v>0</v>
      </c>
      <c r="N425" s="12">
        <f>K425*J425</f>
        <v>2299</v>
      </c>
      <c r="O425" s="12">
        <f>N425-M425</f>
        <v>2299</v>
      </c>
      <c r="P425" s="2" t="s">
        <v>30</v>
      </c>
      <c r="Q425" s="2" t="s">
        <v>18</v>
      </c>
      <c r="R425" s="2">
        <v>80</v>
      </c>
      <c r="S425" s="20">
        <f>Table1[[#This Row],[Net_revenue]]/Table1[[#This Row],[Gross_revenue]]*100%</f>
        <v>1</v>
      </c>
      <c r="T425" s="18">
        <f>COUNTIFS(Table1[Customer ID], "&gt;1", Table1[Customer ID], 1)</f>
        <v>0</v>
      </c>
    </row>
    <row r="426" spans="1:20" hidden="1" x14ac:dyDescent="0.3">
      <c r="A426" s="2" t="s">
        <v>810</v>
      </c>
      <c r="B426" s="5">
        <v>45843</v>
      </c>
      <c r="C426" s="5" t="str">
        <f>TEXT(B426,"mmm")</f>
        <v>Jul</v>
      </c>
      <c r="D426" s="2" t="s">
        <v>811</v>
      </c>
      <c r="E426" s="2" t="s">
        <v>48</v>
      </c>
      <c r="F426" s="2" t="str" cm="1">
        <f t="array" ref="F4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26" s="2" t="str" cm="1">
        <f t="array" ref="G4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26" s="2" t="s">
        <v>28</v>
      </c>
      <c r="I426" s="2" t="s">
        <v>29</v>
      </c>
      <c r="J426" s="2">
        <v>1</v>
      </c>
      <c r="K426" s="8">
        <v>2799</v>
      </c>
      <c r="L426" s="3">
        <v>0.1</v>
      </c>
      <c r="M426" s="12">
        <f>K426*L426</f>
        <v>279.90000000000003</v>
      </c>
      <c r="N426" s="12">
        <f>K426*J426</f>
        <v>2799</v>
      </c>
      <c r="O426" s="12">
        <f>N426-M426</f>
        <v>2519.1</v>
      </c>
      <c r="P426" s="2" t="s">
        <v>24</v>
      </c>
      <c r="Q426" s="2" t="s">
        <v>18</v>
      </c>
      <c r="R426" s="2">
        <v>80</v>
      </c>
      <c r="S426" s="20">
        <f>Table1[[#This Row],[Net_revenue]]/Table1[[#This Row],[Gross_revenue]]*100%</f>
        <v>0.9</v>
      </c>
      <c r="T426" s="18">
        <f>COUNTIFS(Table1[Customer ID], "&gt;1", Table1[Customer ID], 1)</f>
        <v>0</v>
      </c>
    </row>
    <row r="427" spans="1:20" hidden="1" x14ac:dyDescent="0.3">
      <c r="A427" s="2" t="s">
        <v>812</v>
      </c>
      <c r="B427" s="5">
        <v>45919</v>
      </c>
      <c r="C427" s="5" t="str">
        <f>TEXT(B427,"mmm")</f>
        <v>Sep</v>
      </c>
      <c r="D427" s="2" t="s">
        <v>440</v>
      </c>
      <c r="E427" s="2" t="s">
        <v>21</v>
      </c>
      <c r="F427" s="2" t="str" cm="1">
        <f t="array" ref="F4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27" s="2" t="str" cm="1">
        <f t="array" ref="G4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27" s="2" t="s">
        <v>89</v>
      </c>
      <c r="I427" s="2" t="s">
        <v>29</v>
      </c>
      <c r="J427" s="2">
        <v>1</v>
      </c>
      <c r="K427" s="8">
        <v>449</v>
      </c>
      <c r="L427" s="3">
        <v>0.15</v>
      </c>
      <c r="M427" s="12">
        <f>K427*L427</f>
        <v>67.349999999999994</v>
      </c>
      <c r="N427" s="12">
        <f>K427*J427</f>
        <v>449</v>
      </c>
      <c r="O427" s="12">
        <f>N427-M427</f>
        <v>381.65</v>
      </c>
      <c r="P427" s="2" t="s">
        <v>30</v>
      </c>
      <c r="Q427" s="2" t="s">
        <v>50</v>
      </c>
      <c r="R427" s="2">
        <v>40</v>
      </c>
      <c r="S427" s="20">
        <f>Table1[[#This Row],[Net_revenue]]/Table1[[#This Row],[Gross_revenue]]*100%</f>
        <v>0.85</v>
      </c>
      <c r="T427" s="18">
        <f>COUNTIFS(Table1[Customer ID], "&gt;1", Table1[Customer ID], 1)</f>
        <v>0</v>
      </c>
    </row>
    <row r="428" spans="1:20" hidden="1" x14ac:dyDescent="0.3">
      <c r="A428" s="2" t="s">
        <v>813</v>
      </c>
      <c r="B428" s="5">
        <v>45807</v>
      </c>
      <c r="C428" s="5" t="str">
        <f>TEXT(B428,"mmm")</f>
        <v>May</v>
      </c>
      <c r="D428" s="2" t="s">
        <v>814</v>
      </c>
      <c r="E428" s="2" t="s">
        <v>53</v>
      </c>
      <c r="F428" s="2" t="str" cm="1">
        <f t="array" ref="F4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428" s="2" t="str" cm="1">
        <f t="array" ref="G4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28" s="2" t="s">
        <v>33</v>
      </c>
      <c r="I428" s="2" t="s">
        <v>16</v>
      </c>
      <c r="J428" s="2">
        <v>2</v>
      </c>
      <c r="K428" s="8">
        <v>899</v>
      </c>
      <c r="L428" s="3">
        <v>0</v>
      </c>
      <c r="M428" s="12">
        <f>K428*L428</f>
        <v>0</v>
      </c>
      <c r="N428" s="12">
        <f>K428*J428</f>
        <v>1798</v>
      </c>
      <c r="O428" s="12">
        <f>N428-M428</f>
        <v>1798</v>
      </c>
      <c r="P428" s="2" t="s">
        <v>30</v>
      </c>
      <c r="Q428" s="2" t="s">
        <v>18</v>
      </c>
      <c r="R428" s="2">
        <v>80</v>
      </c>
      <c r="S428" s="20">
        <f>Table1[[#This Row],[Net_revenue]]/Table1[[#This Row],[Gross_revenue]]*100%</f>
        <v>1</v>
      </c>
      <c r="T428" s="18">
        <f>COUNTIFS(Table1[Customer ID], "&gt;1", Table1[Customer ID], 1)</f>
        <v>0</v>
      </c>
    </row>
    <row r="429" spans="1:20" hidden="1" x14ac:dyDescent="0.3">
      <c r="A429" s="2" t="s">
        <v>815</v>
      </c>
      <c r="B429" s="5">
        <v>45741</v>
      </c>
      <c r="C429" s="5" t="str">
        <f>TEXT(B429,"mmm")</f>
        <v>Mar</v>
      </c>
      <c r="D429" s="2" t="s">
        <v>695</v>
      </c>
      <c r="E429" s="2" t="s">
        <v>27</v>
      </c>
      <c r="F429" s="2" t="str" cm="1">
        <f t="array" ref="F4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29" s="2" t="str" cm="1">
        <f t="array" ref="G4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29" s="2" t="s">
        <v>49</v>
      </c>
      <c r="I429" s="2" t="s">
        <v>23</v>
      </c>
      <c r="J429" s="2">
        <v>1</v>
      </c>
      <c r="K429" s="8">
        <v>1299</v>
      </c>
      <c r="L429" s="3">
        <v>0.15</v>
      </c>
      <c r="M429" s="12">
        <f>K429*L429</f>
        <v>194.85</v>
      </c>
      <c r="N429" s="12">
        <f>K429*J429</f>
        <v>1299</v>
      </c>
      <c r="O429" s="12">
        <f>N429-M429</f>
        <v>1104.1500000000001</v>
      </c>
      <c r="P429" s="2" t="s">
        <v>24</v>
      </c>
      <c r="Q429" s="2" t="s">
        <v>18</v>
      </c>
      <c r="R429" s="2">
        <v>0</v>
      </c>
      <c r="S429" s="20">
        <f>Table1[[#This Row],[Net_revenue]]/Table1[[#This Row],[Gross_revenue]]*100%</f>
        <v>0.85000000000000009</v>
      </c>
      <c r="T429" s="18">
        <f>COUNTIFS(Table1[Customer ID], "&gt;1", Table1[Customer ID], 1)</f>
        <v>0</v>
      </c>
    </row>
    <row r="430" spans="1:20" hidden="1" x14ac:dyDescent="0.3">
      <c r="A430" s="2" t="s">
        <v>816</v>
      </c>
      <c r="B430" s="5">
        <v>45875</v>
      </c>
      <c r="C430" s="5" t="str">
        <f>TEXT(B430,"mmm")</f>
        <v>Aug</v>
      </c>
      <c r="D430" s="2" t="s">
        <v>817</v>
      </c>
      <c r="E430" s="2" t="s">
        <v>40</v>
      </c>
      <c r="F430" s="2" t="str" cm="1">
        <f t="array" ref="F4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30" s="2" t="str" cm="1">
        <f t="array" ref="G4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30" s="2" t="s">
        <v>28</v>
      </c>
      <c r="I430" s="2" t="s">
        <v>29</v>
      </c>
      <c r="J430" s="2">
        <v>1</v>
      </c>
      <c r="K430" s="8">
        <v>2799</v>
      </c>
      <c r="L430" s="3">
        <v>0.15</v>
      </c>
      <c r="M430" s="12">
        <f>K430*L430</f>
        <v>419.84999999999997</v>
      </c>
      <c r="N430" s="12">
        <f>K430*J430</f>
        <v>2799</v>
      </c>
      <c r="O430" s="12">
        <f>N430-M430</f>
        <v>2379.15</v>
      </c>
      <c r="P430" s="2" t="s">
        <v>17</v>
      </c>
      <c r="Q430" s="2" t="s">
        <v>18</v>
      </c>
      <c r="R430" s="2">
        <v>0</v>
      </c>
      <c r="S430" s="20">
        <f>Table1[[#This Row],[Net_revenue]]/Table1[[#This Row],[Gross_revenue]]*100%</f>
        <v>0.85</v>
      </c>
      <c r="T430" s="18">
        <f>COUNTIFS(Table1[Customer ID], "&gt;1", Table1[Customer ID], 1)</f>
        <v>0</v>
      </c>
    </row>
    <row r="431" spans="1:20" hidden="1" x14ac:dyDescent="0.3">
      <c r="A431" s="2" t="s">
        <v>818</v>
      </c>
      <c r="B431" s="5">
        <v>45907</v>
      </c>
      <c r="C431" s="5" t="str">
        <f>TEXT(B431,"mmm")</f>
        <v>Sep</v>
      </c>
      <c r="D431" s="2" t="s">
        <v>819</v>
      </c>
      <c r="E431" s="2" t="s">
        <v>40</v>
      </c>
      <c r="F431" s="2" t="str" cm="1">
        <f t="array" ref="F4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31" s="2" t="str" cm="1">
        <f t="array" ref="G4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31" s="2" t="s">
        <v>121</v>
      </c>
      <c r="I431" s="2" t="s">
        <v>95</v>
      </c>
      <c r="J431" s="2">
        <v>1</v>
      </c>
      <c r="K431" s="8">
        <v>1299</v>
      </c>
      <c r="L431" s="3">
        <v>0.15</v>
      </c>
      <c r="M431" s="12">
        <f>K431*L431</f>
        <v>194.85</v>
      </c>
      <c r="N431" s="12">
        <f>K431*J431</f>
        <v>1299</v>
      </c>
      <c r="O431" s="12">
        <f>N431-M431</f>
        <v>1104.1500000000001</v>
      </c>
      <c r="P431" s="2" t="s">
        <v>45</v>
      </c>
      <c r="Q431" s="2" t="s">
        <v>18</v>
      </c>
      <c r="R431" s="2">
        <v>60</v>
      </c>
      <c r="S431" s="20">
        <f>Table1[[#This Row],[Net_revenue]]/Table1[[#This Row],[Gross_revenue]]*100%</f>
        <v>0.85000000000000009</v>
      </c>
      <c r="T431" s="18">
        <f>COUNTIFS(Table1[Customer ID], "&gt;1", Table1[Customer ID], 1)</f>
        <v>0</v>
      </c>
    </row>
    <row r="432" spans="1:20" hidden="1" x14ac:dyDescent="0.3">
      <c r="A432" s="2" t="s">
        <v>820</v>
      </c>
      <c r="B432" s="5">
        <v>45896</v>
      </c>
      <c r="C432" s="5" t="str">
        <f>TEXT(B432,"mmm")</f>
        <v>Aug</v>
      </c>
      <c r="D432" s="2" t="s">
        <v>821</v>
      </c>
      <c r="E432" s="2" t="s">
        <v>40</v>
      </c>
      <c r="F432" s="2" t="str" cm="1">
        <f t="array" ref="F4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32" s="2" t="str" cm="1">
        <f t="array" ref="G4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32" s="2" t="s">
        <v>134</v>
      </c>
      <c r="I432" s="2" t="s">
        <v>29</v>
      </c>
      <c r="J432" s="2">
        <v>2</v>
      </c>
      <c r="K432" s="8">
        <v>1499</v>
      </c>
      <c r="L432" s="3">
        <v>0.25</v>
      </c>
      <c r="M432" s="12">
        <f>K432*L432</f>
        <v>374.75</v>
      </c>
      <c r="N432" s="12">
        <f>K432*J432</f>
        <v>2998</v>
      </c>
      <c r="O432" s="12">
        <f>N432-M432</f>
        <v>2623.25</v>
      </c>
      <c r="P432" s="2" t="s">
        <v>24</v>
      </c>
      <c r="Q432" s="2" t="s">
        <v>18</v>
      </c>
      <c r="R432" s="2">
        <v>60</v>
      </c>
      <c r="S432" s="20">
        <f>Table1[[#This Row],[Net_revenue]]/Table1[[#This Row],[Gross_revenue]]*100%</f>
        <v>0.875</v>
      </c>
      <c r="T432" s="18">
        <f>COUNTIFS(Table1[Customer ID], "&gt;1", Table1[Customer ID], 1)</f>
        <v>0</v>
      </c>
    </row>
    <row r="433" spans="1:20" hidden="1" x14ac:dyDescent="0.3">
      <c r="A433" s="2" t="s">
        <v>822</v>
      </c>
      <c r="B433" s="5">
        <v>46022</v>
      </c>
      <c r="C433" s="5" t="str">
        <f>TEXT(B433,"mmm")</f>
        <v>Dec</v>
      </c>
      <c r="D433" s="2" t="s">
        <v>100</v>
      </c>
      <c r="E433" s="2" t="s">
        <v>195</v>
      </c>
      <c r="F433" s="2" t="str" cm="1">
        <f t="array" ref="F4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33" s="2" t="str" cm="1">
        <f t="array" ref="G4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33" s="2" t="s">
        <v>44</v>
      </c>
      <c r="I433" s="2" t="s">
        <v>16</v>
      </c>
      <c r="J433" s="2">
        <v>1</v>
      </c>
      <c r="K433" s="8">
        <v>1599</v>
      </c>
      <c r="L433" s="3">
        <v>0.2</v>
      </c>
      <c r="M433" s="12">
        <f>K433*L433</f>
        <v>319.8</v>
      </c>
      <c r="N433" s="12">
        <f>K433*J433</f>
        <v>1599</v>
      </c>
      <c r="O433" s="12">
        <f>N433-M433</f>
        <v>1279.2</v>
      </c>
      <c r="P433" s="2" t="s">
        <v>45</v>
      </c>
      <c r="Q433" s="2" t="s">
        <v>18</v>
      </c>
      <c r="R433" s="2">
        <v>80</v>
      </c>
      <c r="S433" s="20">
        <f>Table1[[#This Row],[Net_revenue]]/Table1[[#This Row],[Gross_revenue]]*100%</f>
        <v>0.8</v>
      </c>
      <c r="T433" s="18">
        <f>COUNTIFS(Table1[Customer ID], "&gt;1", Table1[Customer ID], 1)</f>
        <v>0</v>
      </c>
    </row>
    <row r="434" spans="1:20" hidden="1" x14ac:dyDescent="0.3">
      <c r="A434" s="2" t="s">
        <v>823</v>
      </c>
      <c r="B434" s="5">
        <v>45979</v>
      </c>
      <c r="C434" s="5" t="str">
        <f>TEXT(B434,"mmm")</f>
        <v>Nov</v>
      </c>
      <c r="D434" s="2" t="s">
        <v>517</v>
      </c>
      <c r="E434" s="2" t="s">
        <v>48</v>
      </c>
      <c r="F434" s="2" t="str" cm="1">
        <f t="array" ref="F4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34" s="2" t="str" cm="1">
        <f t="array" ref="G4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34" s="2" t="s">
        <v>44</v>
      </c>
      <c r="I434" s="2" t="s">
        <v>16</v>
      </c>
      <c r="J434" s="2">
        <v>4</v>
      </c>
      <c r="K434" s="8">
        <v>1599</v>
      </c>
      <c r="L434" s="3">
        <v>0.1</v>
      </c>
      <c r="M434" s="12">
        <f>K434*L434</f>
        <v>159.9</v>
      </c>
      <c r="N434" s="12">
        <f>K434*J434</f>
        <v>6396</v>
      </c>
      <c r="O434" s="12">
        <f>N434-M434</f>
        <v>6236.1</v>
      </c>
      <c r="P434" s="2" t="s">
        <v>45</v>
      </c>
      <c r="Q434" s="2" t="s">
        <v>18</v>
      </c>
      <c r="R434" s="2">
        <v>0</v>
      </c>
      <c r="S434" s="20">
        <f>Table1[[#This Row],[Net_revenue]]/Table1[[#This Row],[Gross_revenue]]*100%</f>
        <v>0.97500000000000009</v>
      </c>
      <c r="T434" s="18">
        <f>COUNTIFS(Table1[Customer ID], "&gt;1", Table1[Customer ID], 1)</f>
        <v>0</v>
      </c>
    </row>
    <row r="435" spans="1:20" hidden="1" x14ac:dyDescent="0.3">
      <c r="A435" s="2" t="s">
        <v>824</v>
      </c>
      <c r="B435" s="5">
        <v>45673</v>
      </c>
      <c r="C435" s="5" t="str">
        <f>TEXT(B435,"mmm")</f>
        <v>Jan</v>
      </c>
      <c r="D435" s="2" t="s">
        <v>725</v>
      </c>
      <c r="E435" s="2" t="s">
        <v>21</v>
      </c>
      <c r="F435" s="2" t="str" cm="1">
        <f t="array" ref="F4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35" s="2" t="str" cm="1">
        <f t="array" ref="G4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35" s="2" t="s">
        <v>107</v>
      </c>
      <c r="I435" s="2" t="s">
        <v>95</v>
      </c>
      <c r="J435" s="2">
        <v>4</v>
      </c>
      <c r="K435" s="8">
        <v>1599</v>
      </c>
      <c r="L435" s="3">
        <v>0.05</v>
      </c>
      <c r="M435" s="12">
        <f>K435*L435</f>
        <v>79.95</v>
      </c>
      <c r="N435" s="12">
        <f>K435*J435</f>
        <v>6396</v>
      </c>
      <c r="O435" s="12">
        <f>N435-M435</f>
        <v>6316.05</v>
      </c>
      <c r="P435" s="2" t="s">
        <v>45</v>
      </c>
      <c r="Q435" s="2" t="s">
        <v>18</v>
      </c>
      <c r="R435" s="2">
        <v>0</v>
      </c>
      <c r="S435" s="20">
        <f>Table1[[#This Row],[Net_revenue]]/Table1[[#This Row],[Gross_revenue]]*100%</f>
        <v>0.98750000000000004</v>
      </c>
      <c r="T435" s="18">
        <f>COUNTIFS(Table1[Customer ID], "&gt;1", Table1[Customer ID], 1)</f>
        <v>0</v>
      </c>
    </row>
    <row r="436" spans="1:20" hidden="1" x14ac:dyDescent="0.3">
      <c r="A436" s="2" t="s">
        <v>825</v>
      </c>
      <c r="B436" s="5">
        <v>45819</v>
      </c>
      <c r="C436" s="5" t="str">
        <f>TEXT(B436,"mmm")</f>
        <v>Jun</v>
      </c>
      <c r="D436" s="2" t="s">
        <v>826</v>
      </c>
      <c r="E436" s="2" t="s">
        <v>120</v>
      </c>
      <c r="F436" s="2" t="str" cm="1">
        <f t="array" ref="F4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36" s="2" t="str" cm="1">
        <f t="array" ref="G4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36" s="2" t="s">
        <v>89</v>
      </c>
      <c r="I436" s="2" t="s">
        <v>29</v>
      </c>
      <c r="J436" s="2">
        <v>1</v>
      </c>
      <c r="K436" s="8">
        <v>449</v>
      </c>
      <c r="L436" s="3">
        <v>0.25</v>
      </c>
      <c r="M436" s="12">
        <f>K436*L436</f>
        <v>112.25</v>
      </c>
      <c r="N436" s="12">
        <f>K436*J436</f>
        <v>449</v>
      </c>
      <c r="O436" s="12">
        <f>N436-M436</f>
        <v>336.75</v>
      </c>
      <c r="P436" s="2" t="s">
        <v>45</v>
      </c>
      <c r="Q436" s="2" t="s">
        <v>18</v>
      </c>
      <c r="R436" s="2">
        <v>0</v>
      </c>
      <c r="S436" s="20">
        <f>Table1[[#This Row],[Net_revenue]]/Table1[[#This Row],[Gross_revenue]]*100%</f>
        <v>0.75</v>
      </c>
      <c r="T436" s="18">
        <f>COUNTIFS(Table1[Customer ID], "&gt;1", Table1[Customer ID], 1)</f>
        <v>0</v>
      </c>
    </row>
    <row r="437" spans="1:20" hidden="1" x14ac:dyDescent="0.3">
      <c r="A437" s="2" t="s">
        <v>827</v>
      </c>
      <c r="B437" s="5">
        <v>45901</v>
      </c>
      <c r="C437" s="5" t="str">
        <f>TEXT(B437,"mmm")</f>
        <v>Sep</v>
      </c>
      <c r="D437" s="2" t="s">
        <v>828</v>
      </c>
      <c r="E437" s="2" t="s">
        <v>75</v>
      </c>
      <c r="F437" s="2" t="str" cm="1">
        <f t="array" ref="F4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437" s="2" t="str" cm="1">
        <f t="array" ref="G4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37" s="2" t="s">
        <v>121</v>
      </c>
      <c r="I437" s="2" t="s">
        <v>95</v>
      </c>
      <c r="J437" s="2">
        <v>1</v>
      </c>
      <c r="K437" s="8">
        <v>1299</v>
      </c>
      <c r="L437" s="3">
        <v>0.15</v>
      </c>
      <c r="M437" s="12">
        <f>K437*L437</f>
        <v>194.85</v>
      </c>
      <c r="N437" s="12">
        <f>K437*J437</f>
        <v>1299</v>
      </c>
      <c r="O437" s="12">
        <f>N437-M437</f>
        <v>1104.1500000000001</v>
      </c>
      <c r="P437" s="2" t="s">
        <v>17</v>
      </c>
      <c r="Q437" s="2" t="s">
        <v>18</v>
      </c>
      <c r="R437" s="2">
        <v>40</v>
      </c>
      <c r="S437" s="20">
        <f>Table1[[#This Row],[Net_revenue]]/Table1[[#This Row],[Gross_revenue]]*100%</f>
        <v>0.85000000000000009</v>
      </c>
      <c r="T437" s="18">
        <f>COUNTIFS(Table1[Customer ID], "&gt;1", Table1[Customer ID], 1)</f>
        <v>0</v>
      </c>
    </row>
    <row r="438" spans="1:20" hidden="1" x14ac:dyDescent="0.3">
      <c r="A438" s="2" t="s">
        <v>829</v>
      </c>
      <c r="B438" s="5">
        <v>45797</v>
      </c>
      <c r="C438" s="5" t="str">
        <f>TEXT(B438,"mmm")</f>
        <v>May</v>
      </c>
      <c r="D438" s="2" t="s">
        <v>26</v>
      </c>
      <c r="E438" s="2" t="s">
        <v>21</v>
      </c>
      <c r="F438" s="2" t="str" cm="1">
        <f t="array" ref="F4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38" s="2" t="str" cm="1">
        <f t="array" ref="G4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38" s="2" t="s">
        <v>49</v>
      </c>
      <c r="I438" s="2" t="s">
        <v>23</v>
      </c>
      <c r="J438" s="2">
        <v>2</v>
      </c>
      <c r="K438" s="8">
        <v>1299</v>
      </c>
      <c r="L438" s="3">
        <v>0.1</v>
      </c>
      <c r="M438" s="12">
        <f>K438*L438</f>
        <v>129.9</v>
      </c>
      <c r="N438" s="12">
        <f>K438*J438</f>
        <v>2598</v>
      </c>
      <c r="O438" s="12">
        <f>N438-M438</f>
        <v>2468.1</v>
      </c>
      <c r="P438" s="2" t="s">
        <v>45</v>
      </c>
      <c r="Q438" s="2" t="s">
        <v>50</v>
      </c>
      <c r="R438" s="2">
        <v>80</v>
      </c>
      <c r="S438" s="20">
        <f>Table1[[#This Row],[Net_revenue]]/Table1[[#This Row],[Gross_revenue]]*100%</f>
        <v>0.95</v>
      </c>
      <c r="T438" s="18">
        <f>COUNTIFS(Table1[Customer ID], "&gt;1", Table1[Customer ID], 1)</f>
        <v>0</v>
      </c>
    </row>
    <row r="439" spans="1:20" hidden="1" x14ac:dyDescent="0.3">
      <c r="A439" s="2" t="s">
        <v>830</v>
      </c>
      <c r="B439" s="5">
        <v>45663</v>
      </c>
      <c r="C439" s="5" t="str">
        <f>TEXT(B439,"mmm")</f>
        <v>Jan</v>
      </c>
      <c r="D439" s="2" t="s">
        <v>473</v>
      </c>
      <c r="E439" s="2" t="s">
        <v>40</v>
      </c>
      <c r="F439" s="2" t="str" cm="1">
        <f t="array" ref="F4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39" s="2" t="str" cm="1">
        <f t="array" ref="G4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39" s="2" t="s">
        <v>217</v>
      </c>
      <c r="I439" s="2" t="s">
        <v>29</v>
      </c>
      <c r="J439" s="2">
        <v>2</v>
      </c>
      <c r="K439" s="8">
        <v>3299</v>
      </c>
      <c r="L439" s="3">
        <v>0.1</v>
      </c>
      <c r="M439" s="12">
        <f>K439*L439</f>
        <v>329.90000000000003</v>
      </c>
      <c r="N439" s="12">
        <f>K439*J439</f>
        <v>6598</v>
      </c>
      <c r="O439" s="12">
        <f>N439-M439</f>
        <v>6268.1</v>
      </c>
      <c r="P439" s="2" t="s">
        <v>17</v>
      </c>
      <c r="Q439" s="2" t="s">
        <v>18</v>
      </c>
      <c r="R439" s="2">
        <v>40</v>
      </c>
      <c r="S439" s="20">
        <f>Table1[[#This Row],[Net_revenue]]/Table1[[#This Row],[Gross_revenue]]*100%</f>
        <v>0.95000000000000007</v>
      </c>
      <c r="T439" s="18">
        <f>COUNTIFS(Table1[Customer ID], "&gt;1", Table1[Customer ID], 1)</f>
        <v>0</v>
      </c>
    </row>
    <row r="440" spans="1:20" hidden="1" x14ac:dyDescent="0.3">
      <c r="A440" s="2" t="s">
        <v>831</v>
      </c>
      <c r="B440" s="5">
        <v>45786</v>
      </c>
      <c r="C440" s="5" t="str">
        <f>TEXT(B440,"mmm")</f>
        <v>May</v>
      </c>
      <c r="D440" s="2" t="s">
        <v>832</v>
      </c>
      <c r="E440" s="2" t="s">
        <v>21</v>
      </c>
      <c r="F440" s="2" t="str" cm="1">
        <f t="array" ref="F4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40" s="2" t="str" cm="1">
        <f t="array" ref="G4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40" s="2" t="s">
        <v>33</v>
      </c>
      <c r="I440" s="2" t="s">
        <v>16</v>
      </c>
      <c r="J440" s="2">
        <v>2</v>
      </c>
      <c r="K440" s="8">
        <v>899</v>
      </c>
      <c r="L440" s="3">
        <v>0</v>
      </c>
      <c r="M440" s="12">
        <f>K440*L440</f>
        <v>0</v>
      </c>
      <c r="N440" s="12">
        <f>K440*J440</f>
        <v>1798</v>
      </c>
      <c r="O440" s="12">
        <f>N440-M440</f>
        <v>1798</v>
      </c>
      <c r="P440" s="2" t="s">
        <v>45</v>
      </c>
      <c r="Q440" s="2" t="s">
        <v>18</v>
      </c>
      <c r="R440" s="2">
        <v>0</v>
      </c>
      <c r="S440" s="20">
        <f>Table1[[#This Row],[Net_revenue]]/Table1[[#This Row],[Gross_revenue]]*100%</f>
        <v>1</v>
      </c>
      <c r="T440" s="18">
        <f>COUNTIFS(Table1[Customer ID], "&gt;1", Table1[Customer ID], 1)</f>
        <v>0</v>
      </c>
    </row>
    <row r="441" spans="1:20" hidden="1" x14ac:dyDescent="0.3">
      <c r="A441" s="2" t="s">
        <v>833</v>
      </c>
      <c r="B441" s="5">
        <v>45945</v>
      </c>
      <c r="C441" s="5" t="str">
        <f>TEXT(B441,"mmm")</f>
        <v>Oct</v>
      </c>
      <c r="D441" s="2" t="s">
        <v>834</v>
      </c>
      <c r="E441" s="2" t="s">
        <v>14</v>
      </c>
      <c r="F441" s="2" t="str" cm="1">
        <f t="array" ref="F4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41" s="2" t="str" cm="1">
        <f t="array" ref="G4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41" s="2" t="s">
        <v>22</v>
      </c>
      <c r="I441" s="2" t="s">
        <v>23</v>
      </c>
      <c r="J441" s="2">
        <v>1</v>
      </c>
      <c r="K441" s="8">
        <v>3999</v>
      </c>
      <c r="L441" s="3">
        <v>0.1</v>
      </c>
      <c r="M441" s="12">
        <f>K441*L441</f>
        <v>399.90000000000003</v>
      </c>
      <c r="N441" s="12">
        <f>K441*J441</f>
        <v>3999</v>
      </c>
      <c r="O441" s="12">
        <f>N441-M441</f>
        <v>3599.1</v>
      </c>
      <c r="P441" s="2" t="s">
        <v>45</v>
      </c>
      <c r="Q441" s="2" t="s">
        <v>18</v>
      </c>
      <c r="R441" s="2">
        <v>0</v>
      </c>
      <c r="S441" s="20">
        <f>Table1[[#This Row],[Net_revenue]]/Table1[[#This Row],[Gross_revenue]]*100%</f>
        <v>0.9</v>
      </c>
      <c r="T441" s="18">
        <f>COUNTIFS(Table1[Customer ID], "&gt;1", Table1[Customer ID], 1)</f>
        <v>0</v>
      </c>
    </row>
    <row r="442" spans="1:20" hidden="1" x14ac:dyDescent="0.3">
      <c r="A442" s="2" t="s">
        <v>835</v>
      </c>
      <c r="B442" s="5">
        <v>45917</v>
      </c>
      <c r="C442" s="5" t="str">
        <f>TEXT(B442,"mmm")</f>
        <v>Sep</v>
      </c>
      <c r="D442" s="2" t="s">
        <v>836</v>
      </c>
      <c r="E442" s="2" t="s">
        <v>21</v>
      </c>
      <c r="F442" s="2" t="str" cm="1">
        <f t="array" ref="F4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42" s="2" t="str" cm="1">
        <f t="array" ref="G4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42" s="2" t="s">
        <v>188</v>
      </c>
      <c r="I442" s="2" t="s">
        <v>95</v>
      </c>
      <c r="J442" s="2">
        <v>1</v>
      </c>
      <c r="K442" s="8">
        <v>699</v>
      </c>
      <c r="L442" s="3">
        <v>0.1</v>
      </c>
      <c r="M442" s="12">
        <f>K442*L442</f>
        <v>69.900000000000006</v>
      </c>
      <c r="N442" s="12">
        <f>K442*J442</f>
        <v>699</v>
      </c>
      <c r="O442" s="12">
        <f>N442-M442</f>
        <v>629.1</v>
      </c>
      <c r="P442" s="2" t="s">
        <v>45</v>
      </c>
      <c r="Q442" s="2" t="s">
        <v>18</v>
      </c>
      <c r="R442" s="2">
        <v>80</v>
      </c>
      <c r="S442" s="20">
        <f>Table1[[#This Row],[Net_revenue]]/Table1[[#This Row],[Gross_revenue]]*100%</f>
        <v>0.9</v>
      </c>
      <c r="T442" s="18">
        <f>COUNTIFS(Table1[Customer ID], "&gt;1", Table1[Customer ID], 1)</f>
        <v>0</v>
      </c>
    </row>
    <row r="443" spans="1:20" hidden="1" x14ac:dyDescent="0.3">
      <c r="A443" s="2" t="s">
        <v>837</v>
      </c>
      <c r="B443" s="5">
        <v>45910</v>
      </c>
      <c r="C443" s="5" t="str">
        <f>TEXT(B443,"mmm")</f>
        <v>Sep</v>
      </c>
      <c r="D443" s="2" t="s">
        <v>323</v>
      </c>
      <c r="E443" s="2" t="s">
        <v>120</v>
      </c>
      <c r="F443" s="2" t="str" cm="1">
        <f t="array" ref="F4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43" s="2" t="str" cm="1">
        <f t="array" ref="G4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43" s="2" t="s">
        <v>80</v>
      </c>
      <c r="I443" s="2" t="s">
        <v>23</v>
      </c>
      <c r="J443" s="2">
        <v>1</v>
      </c>
      <c r="K443" s="8">
        <v>799</v>
      </c>
      <c r="L443" s="3">
        <v>0.2</v>
      </c>
      <c r="M443" s="12">
        <f>K443*L443</f>
        <v>159.80000000000001</v>
      </c>
      <c r="N443" s="12">
        <f>K443*J443</f>
        <v>799</v>
      </c>
      <c r="O443" s="12">
        <f>N443-M443</f>
        <v>639.20000000000005</v>
      </c>
      <c r="P443" s="2" t="s">
        <v>45</v>
      </c>
      <c r="Q443" s="2" t="s">
        <v>18</v>
      </c>
      <c r="R443" s="2">
        <v>60</v>
      </c>
      <c r="S443" s="20">
        <f>Table1[[#This Row],[Net_revenue]]/Table1[[#This Row],[Gross_revenue]]*100%</f>
        <v>0.8</v>
      </c>
      <c r="T443" s="18">
        <f>COUNTIFS(Table1[Customer ID], "&gt;1", Table1[Customer ID], 1)</f>
        <v>0</v>
      </c>
    </row>
    <row r="444" spans="1:20" hidden="1" x14ac:dyDescent="0.3">
      <c r="A444" s="2" t="s">
        <v>838</v>
      </c>
      <c r="B444" s="5">
        <v>45839</v>
      </c>
      <c r="C444" s="5" t="str">
        <f>TEXT(B444,"mmm")</f>
        <v>Jul</v>
      </c>
      <c r="D444" s="2" t="s">
        <v>369</v>
      </c>
      <c r="E444" s="2" t="s">
        <v>48</v>
      </c>
      <c r="F444" s="2" t="str" cm="1">
        <f t="array" ref="F4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44" s="2" t="str" cm="1">
        <f t="array" ref="G4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44" s="2" t="s">
        <v>121</v>
      </c>
      <c r="I444" s="2" t="s">
        <v>95</v>
      </c>
      <c r="J444" s="2">
        <v>2</v>
      </c>
      <c r="K444" s="8">
        <v>1299</v>
      </c>
      <c r="L444" s="3">
        <v>0</v>
      </c>
      <c r="M444" s="12">
        <f>K444*L444</f>
        <v>0</v>
      </c>
      <c r="N444" s="12">
        <f>K444*J444</f>
        <v>2598</v>
      </c>
      <c r="O444" s="12">
        <f>N444-M444</f>
        <v>2598</v>
      </c>
      <c r="P444" s="2" t="s">
        <v>17</v>
      </c>
      <c r="Q444" s="2" t="s">
        <v>18</v>
      </c>
      <c r="R444" s="2">
        <v>80</v>
      </c>
      <c r="S444" s="20">
        <f>Table1[[#This Row],[Net_revenue]]/Table1[[#This Row],[Gross_revenue]]*100%</f>
        <v>1</v>
      </c>
      <c r="T444" s="18">
        <f>COUNTIFS(Table1[Customer ID], "&gt;1", Table1[Customer ID], 1)</f>
        <v>0</v>
      </c>
    </row>
    <row r="445" spans="1:20" hidden="1" x14ac:dyDescent="0.3">
      <c r="A445" s="2" t="s">
        <v>839</v>
      </c>
      <c r="B445" s="5">
        <v>45963</v>
      </c>
      <c r="C445" s="5" t="str">
        <f>TEXT(B445,"mmm")</f>
        <v>Nov</v>
      </c>
      <c r="D445" s="2" t="s">
        <v>840</v>
      </c>
      <c r="E445" s="2" t="s">
        <v>56</v>
      </c>
      <c r="F445" s="2" t="str" cm="1">
        <f t="array" ref="F4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45" s="2" t="str" cm="1">
        <f t="array" ref="G4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45" s="2" t="s">
        <v>22</v>
      </c>
      <c r="I445" s="2" t="s">
        <v>23</v>
      </c>
      <c r="J445" s="2">
        <v>1</v>
      </c>
      <c r="K445" s="8">
        <v>3999</v>
      </c>
      <c r="L445" s="3">
        <v>0.2</v>
      </c>
      <c r="M445" s="12">
        <f>K445*L445</f>
        <v>799.80000000000007</v>
      </c>
      <c r="N445" s="12">
        <f>K445*J445</f>
        <v>3999</v>
      </c>
      <c r="O445" s="12">
        <f>N445-M445</f>
        <v>3199.2</v>
      </c>
      <c r="P445" s="2" t="s">
        <v>17</v>
      </c>
      <c r="Q445" s="2" t="s">
        <v>18</v>
      </c>
      <c r="R445" s="2">
        <v>60</v>
      </c>
      <c r="S445" s="20">
        <f>Table1[[#This Row],[Net_revenue]]/Table1[[#This Row],[Gross_revenue]]*100%</f>
        <v>0.79999999999999993</v>
      </c>
      <c r="T445" s="18">
        <f>COUNTIFS(Table1[Customer ID], "&gt;1", Table1[Customer ID], 1)</f>
        <v>0</v>
      </c>
    </row>
    <row r="446" spans="1:20" hidden="1" x14ac:dyDescent="0.3">
      <c r="A446" s="2" t="s">
        <v>841</v>
      </c>
      <c r="B446" s="5">
        <v>45903</v>
      </c>
      <c r="C446" s="5" t="str">
        <f>TEXT(B446,"mmm")</f>
        <v>Sep</v>
      </c>
      <c r="D446" s="2" t="s">
        <v>154</v>
      </c>
      <c r="E446" s="2" t="s">
        <v>195</v>
      </c>
      <c r="F446" s="2" t="str" cm="1">
        <f t="array" ref="F4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46" s="2" t="str" cm="1">
        <f t="array" ref="G4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46" s="2" t="s">
        <v>15</v>
      </c>
      <c r="I446" s="2" t="s">
        <v>16</v>
      </c>
      <c r="J446" s="2">
        <v>2</v>
      </c>
      <c r="K446" s="8">
        <v>1799</v>
      </c>
      <c r="L446" s="3">
        <v>0</v>
      </c>
      <c r="M446" s="12">
        <f>K446*L446</f>
        <v>0</v>
      </c>
      <c r="N446" s="12">
        <f>K446*J446</f>
        <v>3598</v>
      </c>
      <c r="O446" s="12">
        <f>N446-M446</f>
        <v>3598</v>
      </c>
      <c r="P446" s="2" t="s">
        <v>45</v>
      </c>
      <c r="Q446" s="2" t="s">
        <v>72</v>
      </c>
      <c r="R446" s="2">
        <v>40</v>
      </c>
      <c r="S446" s="20">
        <f>Table1[[#This Row],[Net_revenue]]/Table1[[#This Row],[Gross_revenue]]*100%</f>
        <v>1</v>
      </c>
      <c r="T446" s="18">
        <f>COUNTIFS(Table1[Customer ID], "&gt;1", Table1[Customer ID], 1)</f>
        <v>0</v>
      </c>
    </row>
    <row r="447" spans="1:20" hidden="1" x14ac:dyDescent="0.3">
      <c r="A447" s="2" t="s">
        <v>842</v>
      </c>
      <c r="B447" s="5">
        <v>45943</v>
      </c>
      <c r="C447" s="5" t="str">
        <f>TEXT(B447,"mmm")</f>
        <v>Oct</v>
      </c>
      <c r="D447" s="2" t="s">
        <v>168</v>
      </c>
      <c r="E447" s="2" t="s">
        <v>27</v>
      </c>
      <c r="F447" s="2" t="str" cm="1">
        <f t="array" ref="F4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47" s="2" t="str" cm="1">
        <f t="array" ref="G4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47" s="2" t="s">
        <v>217</v>
      </c>
      <c r="I447" s="2" t="s">
        <v>29</v>
      </c>
      <c r="J447" s="2">
        <v>2</v>
      </c>
      <c r="K447" s="8">
        <v>3299</v>
      </c>
      <c r="L447" s="3">
        <v>0.15</v>
      </c>
      <c r="M447" s="12">
        <f>K447*L447</f>
        <v>494.84999999999997</v>
      </c>
      <c r="N447" s="12">
        <f>K447*J447</f>
        <v>6598</v>
      </c>
      <c r="O447" s="12">
        <f>N447-M447</f>
        <v>6103.15</v>
      </c>
      <c r="P447" s="2" t="s">
        <v>45</v>
      </c>
      <c r="Q447" s="2" t="s">
        <v>18</v>
      </c>
      <c r="R447" s="2">
        <v>80</v>
      </c>
      <c r="S447" s="20">
        <f>Table1[[#This Row],[Net_revenue]]/Table1[[#This Row],[Gross_revenue]]*100%</f>
        <v>0.92499999999999993</v>
      </c>
      <c r="T447" s="18">
        <f>COUNTIFS(Table1[Customer ID], "&gt;1", Table1[Customer ID], 1)</f>
        <v>0</v>
      </c>
    </row>
    <row r="448" spans="1:20" hidden="1" x14ac:dyDescent="0.3">
      <c r="A448" s="2" t="s">
        <v>843</v>
      </c>
      <c r="B448" s="5">
        <v>45668</v>
      </c>
      <c r="C448" s="5" t="str">
        <f>TEXT(B448,"mmm")</f>
        <v>Jan</v>
      </c>
      <c r="D448" s="2" t="s">
        <v>264</v>
      </c>
      <c r="E448" s="2" t="s">
        <v>27</v>
      </c>
      <c r="F448" s="2" t="str" cm="1">
        <f t="array" ref="F4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48" s="2" t="str" cm="1">
        <f t="array" ref="G4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48" s="2" t="s">
        <v>63</v>
      </c>
      <c r="I448" s="2" t="s">
        <v>23</v>
      </c>
      <c r="J448" s="2">
        <v>1</v>
      </c>
      <c r="K448" s="8">
        <v>2499</v>
      </c>
      <c r="L448" s="3">
        <v>0.1</v>
      </c>
      <c r="M448" s="12">
        <f>K448*L448</f>
        <v>249.9</v>
      </c>
      <c r="N448" s="12">
        <f>K448*J448</f>
        <v>2499</v>
      </c>
      <c r="O448" s="12">
        <f>N448-M448</f>
        <v>2249.1</v>
      </c>
      <c r="P448" s="2" t="s">
        <v>17</v>
      </c>
      <c r="Q448" s="2" t="s">
        <v>50</v>
      </c>
      <c r="R448" s="2">
        <v>40</v>
      </c>
      <c r="S448" s="20">
        <f>Table1[[#This Row],[Net_revenue]]/Table1[[#This Row],[Gross_revenue]]*100%</f>
        <v>0.89999999999999991</v>
      </c>
      <c r="T448" s="18">
        <f>COUNTIFS(Table1[Customer ID], "&gt;1", Table1[Customer ID], 1)</f>
        <v>0</v>
      </c>
    </row>
    <row r="449" spans="1:20" hidden="1" x14ac:dyDescent="0.3">
      <c r="A449" s="2" t="s">
        <v>844</v>
      </c>
      <c r="B449" s="5">
        <v>45805</v>
      </c>
      <c r="C449" s="5" t="str">
        <f>TEXT(B449,"mmm")</f>
        <v>May</v>
      </c>
      <c r="D449" s="2" t="s">
        <v>353</v>
      </c>
      <c r="E449" s="2" t="s">
        <v>56</v>
      </c>
      <c r="F449" s="2" t="str" cm="1">
        <f t="array" ref="F4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49" s="2" t="str" cm="1">
        <f t="array" ref="G4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49" s="2" t="s">
        <v>63</v>
      </c>
      <c r="I449" s="2" t="s">
        <v>23</v>
      </c>
      <c r="J449" s="2">
        <v>1</v>
      </c>
      <c r="K449" s="8">
        <v>2499</v>
      </c>
      <c r="L449" s="3">
        <v>0.25</v>
      </c>
      <c r="M449" s="12">
        <f>K449*L449</f>
        <v>624.75</v>
      </c>
      <c r="N449" s="12">
        <f>K449*J449</f>
        <v>2499</v>
      </c>
      <c r="O449" s="12">
        <f>N449-M449</f>
        <v>1874.25</v>
      </c>
      <c r="P449" s="2" t="s">
        <v>17</v>
      </c>
      <c r="Q449" s="2" t="s">
        <v>18</v>
      </c>
      <c r="R449" s="2">
        <v>80</v>
      </c>
      <c r="S449" s="20">
        <f>Table1[[#This Row],[Net_revenue]]/Table1[[#This Row],[Gross_revenue]]*100%</f>
        <v>0.75</v>
      </c>
      <c r="T449" s="18">
        <f>COUNTIFS(Table1[Customer ID], "&gt;1", Table1[Customer ID], 1)</f>
        <v>0</v>
      </c>
    </row>
    <row r="450" spans="1:20" hidden="1" x14ac:dyDescent="0.3">
      <c r="A450" s="2" t="s">
        <v>845</v>
      </c>
      <c r="B450" s="5">
        <v>45760</v>
      </c>
      <c r="C450" s="5" t="str">
        <f>TEXT(B450,"mmm")</f>
        <v>Apr</v>
      </c>
      <c r="D450" s="2" t="s">
        <v>846</v>
      </c>
      <c r="E450" s="2" t="s">
        <v>56</v>
      </c>
      <c r="F450" s="2" t="str" cm="1">
        <f t="array" ref="F4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50" s="2" t="str" cm="1">
        <f t="array" ref="G4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50" s="2" t="s">
        <v>107</v>
      </c>
      <c r="I450" s="2" t="s">
        <v>95</v>
      </c>
      <c r="J450" s="2">
        <v>3</v>
      </c>
      <c r="K450" s="8">
        <v>1599</v>
      </c>
      <c r="L450" s="3">
        <v>0</v>
      </c>
      <c r="M450" s="12">
        <f>K450*L450</f>
        <v>0</v>
      </c>
      <c r="N450" s="12">
        <f>K450*J450</f>
        <v>4797</v>
      </c>
      <c r="O450" s="12">
        <f>N450-M450</f>
        <v>4797</v>
      </c>
      <c r="P450" s="2" t="s">
        <v>17</v>
      </c>
      <c r="Q450" s="2" t="s">
        <v>18</v>
      </c>
      <c r="R450" s="2">
        <v>0</v>
      </c>
      <c r="S450" s="20">
        <f>Table1[[#This Row],[Net_revenue]]/Table1[[#This Row],[Gross_revenue]]*100%</f>
        <v>1</v>
      </c>
      <c r="T450" s="18">
        <f>COUNTIFS(Table1[Customer ID], "&gt;1", Table1[Customer ID], 1)</f>
        <v>0</v>
      </c>
    </row>
    <row r="451" spans="1:20" hidden="1" x14ac:dyDescent="0.3">
      <c r="A451" s="2" t="s">
        <v>847</v>
      </c>
      <c r="B451" s="5">
        <v>45983</v>
      </c>
      <c r="C451" s="5" t="str">
        <f>TEXT(B451,"mmm")</f>
        <v>Nov</v>
      </c>
      <c r="D451" s="2" t="s">
        <v>337</v>
      </c>
      <c r="E451" s="2" t="s">
        <v>21</v>
      </c>
      <c r="F451" s="2" t="str" cm="1">
        <f t="array" ref="F4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51" s="2" t="str" cm="1">
        <f t="array" ref="G4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51" s="2" t="s">
        <v>217</v>
      </c>
      <c r="I451" s="2" t="s">
        <v>29</v>
      </c>
      <c r="J451" s="2">
        <v>2</v>
      </c>
      <c r="K451" s="8">
        <v>3299</v>
      </c>
      <c r="L451" s="3">
        <v>0.2</v>
      </c>
      <c r="M451" s="12">
        <f>K451*L451</f>
        <v>659.80000000000007</v>
      </c>
      <c r="N451" s="12">
        <f>K451*J451</f>
        <v>6598</v>
      </c>
      <c r="O451" s="12">
        <f>N451-M451</f>
        <v>5938.2</v>
      </c>
      <c r="P451" s="2" t="s">
        <v>30</v>
      </c>
      <c r="Q451" s="2" t="s">
        <v>18</v>
      </c>
      <c r="R451" s="2">
        <v>0</v>
      </c>
      <c r="S451" s="20">
        <f>Table1[[#This Row],[Net_revenue]]/Table1[[#This Row],[Gross_revenue]]*100%</f>
        <v>0.9</v>
      </c>
      <c r="T451" s="18">
        <f>COUNTIFS(Table1[Customer ID], "&gt;1", Table1[Customer ID], 1)</f>
        <v>0</v>
      </c>
    </row>
    <row r="452" spans="1:20" hidden="1" x14ac:dyDescent="0.3">
      <c r="A452" s="2" t="s">
        <v>848</v>
      </c>
      <c r="B452" s="5">
        <v>46005</v>
      </c>
      <c r="C452" s="5" t="str">
        <f>TEXT(B452,"mmm")</f>
        <v>Dec</v>
      </c>
      <c r="D452" s="2" t="s">
        <v>477</v>
      </c>
      <c r="E452" s="2" t="s">
        <v>14</v>
      </c>
      <c r="F452" s="2" t="str" cm="1">
        <f t="array" ref="F4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52" s="2" t="str" cm="1">
        <f t="array" ref="G4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52" s="2" t="s">
        <v>36</v>
      </c>
      <c r="I452" s="2" t="s">
        <v>37</v>
      </c>
      <c r="J452" s="2">
        <v>5</v>
      </c>
      <c r="K452" s="8">
        <v>349</v>
      </c>
      <c r="L452" s="3">
        <v>0</v>
      </c>
      <c r="M452" s="12">
        <f>K452*L452</f>
        <v>0</v>
      </c>
      <c r="N452" s="12">
        <f>K452*J452</f>
        <v>1745</v>
      </c>
      <c r="O452" s="12">
        <f>N452-M452</f>
        <v>1745</v>
      </c>
      <c r="P452" s="2" t="s">
        <v>24</v>
      </c>
      <c r="Q452" s="2" t="s">
        <v>18</v>
      </c>
      <c r="R452" s="2">
        <v>80</v>
      </c>
      <c r="S452" s="20">
        <f>Table1[[#This Row],[Net_revenue]]/Table1[[#This Row],[Gross_revenue]]*100%</f>
        <v>1</v>
      </c>
      <c r="T452" s="18">
        <f>COUNTIFS(Table1[Customer ID], "&gt;1", Table1[Customer ID], 1)</f>
        <v>0</v>
      </c>
    </row>
    <row r="453" spans="1:20" hidden="1" x14ac:dyDescent="0.3">
      <c r="A453" s="2" t="s">
        <v>849</v>
      </c>
      <c r="B453" s="5">
        <v>45897</v>
      </c>
      <c r="C453" s="5" t="str">
        <f>TEXT(B453,"mmm")</f>
        <v>Aug</v>
      </c>
      <c r="D453" s="2" t="s">
        <v>60</v>
      </c>
      <c r="E453" s="2" t="s">
        <v>27</v>
      </c>
      <c r="F453" s="2" t="str" cm="1">
        <f t="array" ref="F4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53" s="2" t="str" cm="1">
        <f t="array" ref="G4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53" s="2" t="s">
        <v>107</v>
      </c>
      <c r="I453" s="2" t="s">
        <v>95</v>
      </c>
      <c r="J453" s="2">
        <v>1</v>
      </c>
      <c r="K453" s="8">
        <v>1599</v>
      </c>
      <c r="L453" s="3">
        <v>0.15</v>
      </c>
      <c r="M453" s="12">
        <f>K453*L453</f>
        <v>239.85</v>
      </c>
      <c r="N453" s="12">
        <f>K453*J453</f>
        <v>1599</v>
      </c>
      <c r="O453" s="12">
        <f>N453-M453</f>
        <v>1359.15</v>
      </c>
      <c r="P453" s="2" t="s">
        <v>30</v>
      </c>
      <c r="Q453" s="2" t="s">
        <v>72</v>
      </c>
      <c r="R453" s="2">
        <v>80</v>
      </c>
      <c r="S453" s="20">
        <f>Table1[[#This Row],[Net_revenue]]/Table1[[#This Row],[Gross_revenue]]*100%</f>
        <v>0.85000000000000009</v>
      </c>
      <c r="T453" s="18">
        <f>COUNTIFS(Table1[Customer ID], "&gt;1", Table1[Customer ID], 1)</f>
        <v>0</v>
      </c>
    </row>
    <row r="454" spans="1:20" hidden="1" x14ac:dyDescent="0.3">
      <c r="A454" s="2" t="s">
        <v>850</v>
      </c>
      <c r="B454" s="5">
        <v>45922</v>
      </c>
      <c r="C454" s="5" t="str">
        <f>TEXT(B454,"mmm")</f>
        <v>Sep</v>
      </c>
      <c r="D454" s="2" t="s">
        <v>785</v>
      </c>
      <c r="E454" s="2" t="s">
        <v>40</v>
      </c>
      <c r="F454" s="2" t="str" cm="1">
        <f t="array" ref="F4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54" s="2" t="str" cm="1">
        <f t="array" ref="G4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54" s="2" t="s">
        <v>44</v>
      </c>
      <c r="I454" s="2" t="s">
        <v>16</v>
      </c>
      <c r="J454" s="2">
        <v>1</v>
      </c>
      <c r="K454" s="8">
        <v>1599</v>
      </c>
      <c r="L454" s="3">
        <v>0.1</v>
      </c>
      <c r="M454" s="12">
        <f>K454*L454</f>
        <v>159.9</v>
      </c>
      <c r="N454" s="12">
        <f>K454*J454</f>
        <v>1599</v>
      </c>
      <c r="O454" s="12">
        <f>N454-M454</f>
        <v>1439.1</v>
      </c>
      <c r="P454" s="2" t="s">
        <v>30</v>
      </c>
      <c r="Q454" s="2" t="s">
        <v>18</v>
      </c>
      <c r="R454" s="2">
        <v>80</v>
      </c>
      <c r="S454" s="20">
        <f>Table1[[#This Row],[Net_revenue]]/Table1[[#This Row],[Gross_revenue]]*100%</f>
        <v>0.89999999999999991</v>
      </c>
      <c r="T454" s="18">
        <f>COUNTIFS(Table1[Customer ID], "&gt;1", Table1[Customer ID], 1)</f>
        <v>0</v>
      </c>
    </row>
    <row r="455" spans="1:20" hidden="1" x14ac:dyDescent="0.3">
      <c r="A455" s="2" t="s">
        <v>851</v>
      </c>
      <c r="B455" s="5">
        <v>45800</v>
      </c>
      <c r="C455" s="5" t="str">
        <f>TEXT(B455,"mmm")</f>
        <v>May</v>
      </c>
      <c r="D455" s="2" t="s">
        <v>58</v>
      </c>
      <c r="E455" s="2" t="s">
        <v>195</v>
      </c>
      <c r="F455" s="2" t="str" cm="1">
        <f t="array" ref="F4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55" s="2" t="str" cm="1">
        <f t="array" ref="G4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55" s="2" t="s">
        <v>68</v>
      </c>
      <c r="I455" s="2" t="s">
        <v>16</v>
      </c>
      <c r="J455" s="2">
        <v>1</v>
      </c>
      <c r="K455" s="8">
        <v>599</v>
      </c>
      <c r="L455" s="3">
        <v>0.25</v>
      </c>
      <c r="M455" s="12">
        <f>K455*L455</f>
        <v>149.75</v>
      </c>
      <c r="N455" s="12">
        <f>K455*J455</f>
        <v>599</v>
      </c>
      <c r="O455" s="12">
        <f>N455-M455</f>
        <v>449.25</v>
      </c>
      <c r="P455" s="2" t="s">
        <v>24</v>
      </c>
      <c r="Q455" s="2" t="s">
        <v>18</v>
      </c>
      <c r="R455" s="2">
        <v>60</v>
      </c>
      <c r="S455" s="20">
        <f>Table1[[#This Row],[Net_revenue]]/Table1[[#This Row],[Gross_revenue]]*100%</f>
        <v>0.75</v>
      </c>
      <c r="T455" s="18">
        <f>COUNTIFS(Table1[Customer ID], "&gt;1", Table1[Customer ID], 1)</f>
        <v>0</v>
      </c>
    </row>
    <row r="456" spans="1:20" hidden="1" x14ac:dyDescent="0.3">
      <c r="A456" s="2" t="s">
        <v>852</v>
      </c>
      <c r="B456" s="5">
        <v>45693</v>
      </c>
      <c r="C456" s="5" t="str">
        <f>TEXT(B456,"mmm")</f>
        <v>Feb</v>
      </c>
      <c r="D456" s="2" t="s">
        <v>853</v>
      </c>
      <c r="E456" s="2" t="s">
        <v>14</v>
      </c>
      <c r="F456" s="2" t="str" cm="1">
        <f t="array" ref="F4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56" s="2" t="str" cm="1">
        <f t="array" ref="G4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56" s="2" t="s">
        <v>217</v>
      </c>
      <c r="I456" s="2" t="s">
        <v>29</v>
      </c>
      <c r="J456" s="2">
        <v>1</v>
      </c>
      <c r="K456" s="8">
        <v>3299</v>
      </c>
      <c r="L456" s="3">
        <v>0.1</v>
      </c>
      <c r="M456" s="12">
        <f>K456*L456</f>
        <v>329.90000000000003</v>
      </c>
      <c r="N456" s="12">
        <f>K456*J456</f>
        <v>3299</v>
      </c>
      <c r="O456" s="12">
        <f>N456-M456</f>
        <v>2969.1</v>
      </c>
      <c r="P456" s="2" t="s">
        <v>30</v>
      </c>
      <c r="Q456" s="2" t="s">
        <v>18</v>
      </c>
      <c r="R456" s="2">
        <v>40</v>
      </c>
      <c r="S456" s="20">
        <f>Table1[[#This Row],[Net_revenue]]/Table1[[#This Row],[Gross_revenue]]*100%</f>
        <v>0.9</v>
      </c>
      <c r="T456" s="18">
        <f>COUNTIFS(Table1[Customer ID], "&gt;1", Table1[Customer ID], 1)</f>
        <v>0</v>
      </c>
    </row>
    <row r="457" spans="1:20" hidden="1" x14ac:dyDescent="0.3">
      <c r="A457" s="2" t="s">
        <v>854</v>
      </c>
      <c r="B457" s="5">
        <v>45851</v>
      </c>
      <c r="C457" s="5" t="str">
        <f>TEXT(B457,"mmm")</f>
        <v>Jul</v>
      </c>
      <c r="D457" s="2" t="s">
        <v>607</v>
      </c>
      <c r="E457" s="2" t="s">
        <v>27</v>
      </c>
      <c r="F457" s="2" t="str" cm="1">
        <f t="array" ref="F4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57" s="2" t="str" cm="1">
        <f t="array" ref="G4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57" s="2" t="s">
        <v>188</v>
      </c>
      <c r="I457" s="2" t="s">
        <v>95</v>
      </c>
      <c r="J457" s="2">
        <v>1</v>
      </c>
      <c r="K457" s="8">
        <v>699</v>
      </c>
      <c r="L457" s="3">
        <v>0.1</v>
      </c>
      <c r="M457" s="12">
        <f>K457*L457</f>
        <v>69.900000000000006</v>
      </c>
      <c r="N457" s="12">
        <f>K457*J457</f>
        <v>699</v>
      </c>
      <c r="O457" s="12">
        <f>N457-M457</f>
        <v>629.1</v>
      </c>
      <c r="P457" s="2" t="s">
        <v>24</v>
      </c>
      <c r="Q457" s="2" t="s">
        <v>18</v>
      </c>
      <c r="R457" s="2">
        <v>80</v>
      </c>
      <c r="S457" s="20">
        <f>Table1[[#This Row],[Net_revenue]]/Table1[[#This Row],[Gross_revenue]]*100%</f>
        <v>0.9</v>
      </c>
      <c r="T457" s="18">
        <f>COUNTIFS(Table1[Customer ID], "&gt;1", Table1[Customer ID], 1)</f>
        <v>0</v>
      </c>
    </row>
    <row r="458" spans="1:20" hidden="1" x14ac:dyDescent="0.3">
      <c r="A458" s="2" t="s">
        <v>855</v>
      </c>
      <c r="B458" s="5">
        <v>45955</v>
      </c>
      <c r="C458" s="5" t="str">
        <f>TEXT(B458,"mmm")</f>
        <v>Oct</v>
      </c>
      <c r="D458" s="2" t="s">
        <v>856</v>
      </c>
      <c r="E458" s="2" t="s">
        <v>56</v>
      </c>
      <c r="F458" s="2" t="str" cm="1">
        <f t="array" ref="F4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58" s="2" t="str" cm="1">
        <f t="array" ref="G4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58" s="2" t="s">
        <v>80</v>
      </c>
      <c r="I458" s="2" t="s">
        <v>23</v>
      </c>
      <c r="J458" s="2">
        <v>1</v>
      </c>
      <c r="K458" s="8">
        <v>799</v>
      </c>
      <c r="L458" s="3">
        <v>0.2</v>
      </c>
      <c r="M458" s="12">
        <f>K458*L458</f>
        <v>159.80000000000001</v>
      </c>
      <c r="N458" s="12">
        <f>K458*J458</f>
        <v>799</v>
      </c>
      <c r="O458" s="12">
        <f>N458-M458</f>
        <v>639.20000000000005</v>
      </c>
      <c r="P458" s="2" t="s">
        <v>30</v>
      </c>
      <c r="Q458" s="2" t="s">
        <v>18</v>
      </c>
      <c r="R458" s="2">
        <v>40</v>
      </c>
      <c r="S458" s="20">
        <f>Table1[[#This Row],[Net_revenue]]/Table1[[#This Row],[Gross_revenue]]*100%</f>
        <v>0.8</v>
      </c>
      <c r="T458" s="18">
        <f>COUNTIFS(Table1[Customer ID], "&gt;1", Table1[Customer ID], 1)</f>
        <v>0</v>
      </c>
    </row>
    <row r="459" spans="1:20" hidden="1" x14ac:dyDescent="0.3">
      <c r="A459" s="2" t="s">
        <v>857</v>
      </c>
      <c r="B459" s="5">
        <v>45690</v>
      </c>
      <c r="C459" s="5" t="str">
        <f>TEXT(B459,"mmm")</f>
        <v>Feb</v>
      </c>
      <c r="D459" s="2" t="s">
        <v>116</v>
      </c>
      <c r="E459" s="2" t="s">
        <v>48</v>
      </c>
      <c r="F459" s="2" t="str" cm="1">
        <f t="array" ref="F4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59" s="2" t="str" cm="1">
        <f t="array" ref="G4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59" s="2" t="s">
        <v>15</v>
      </c>
      <c r="I459" s="2" t="s">
        <v>16</v>
      </c>
      <c r="J459" s="2">
        <v>2</v>
      </c>
      <c r="K459" s="8">
        <v>1799</v>
      </c>
      <c r="L459" s="3">
        <v>0.15</v>
      </c>
      <c r="M459" s="12">
        <f>K459*L459</f>
        <v>269.84999999999997</v>
      </c>
      <c r="N459" s="12">
        <f>K459*J459</f>
        <v>3598</v>
      </c>
      <c r="O459" s="12">
        <f>N459-M459</f>
        <v>3328.15</v>
      </c>
      <c r="P459" s="2" t="s">
        <v>45</v>
      </c>
      <c r="Q459" s="2" t="s">
        <v>50</v>
      </c>
      <c r="R459" s="2">
        <v>40</v>
      </c>
      <c r="S459" s="20">
        <f>Table1[[#This Row],[Net_revenue]]/Table1[[#This Row],[Gross_revenue]]*100%</f>
        <v>0.92500000000000004</v>
      </c>
      <c r="T459" s="18">
        <f>COUNTIFS(Table1[Customer ID], "&gt;1", Table1[Customer ID], 1)</f>
        <v>0</v>
      </c>
    </row>
    <row r="460" spans="1:20" hidden="1" x14ac:dyDescent="0.3">
      <c r="A460" s="2" t="s">
        <v>858</v>
      </c>
      <c r="B460" s="5">
        <v>45788</v>
      </c>
      <c r="C460" s="5" t="str">
        <f>TEXT(B460,"mmm")</f>
        <v>May</v>
      </c>
      <c r="D460" s="2" t="s">
        <v>146</v>
      </c>
      <c r="E460" s="2" t="s">
        <v>56</v>
      </c>
      <c r="F460" s="2" t="str" cm="1">
        <f t="array" ref="F4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60" s="2" t="str" cm="1">
        <f t="array" ref="G4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60" s="2" t="s">
        <v>107</v>
      </c>
      <c r="I460" s="2" t="s">
        <v>95</v>
      </c>
      <c r="J460" s="2">
        <v>1</v>
      </c>
      <c r="K460" s="8">
        <v>1599</v>
      </c>
      <c r="L460" s="3">
        <v>0.25</v>
      </c>
      <c r="M460" s="12">
        <f>K460*L460</f>
        <v>399.75</v>
      </c>
      <c r="N460" s="12">
        <f>K460*J460</f>
        <v>1599</v>
      </c>
      <c r="O460" s="12">
        <f>N460-M460</f>
        <v>1199.25</v>
      </c>
      <c r="P460" s="2" t="s">
        <v>45</v>
      </c>
      <c r="Q460" s="2" t="s">
        <v>50</v>
      </c>
      <c r="R460" s="2">
        <v>60</v>
      </c>
      <c r="S460" s="20">
        <f>Table1[[#This Row],[Net_revenue]]/Table1[[#This Row],[Gross_revenue]]*100%</f>
        <v>0.75</v>
      </c>
      <c r="T460" s="18">
        <f>COUNTIFS(Table1[Customer ID], "&gt;1", Table1[Customer ID], 1)</f>
        <v>0</v>
      </c>
    </row>
    <row r="461" spans="1:20" hidden="1" x14ac:dyDescent="0.3">
      <c r="A461" s="2" t="s">
        <v>859</v>
      </c>
      <c r="B461" s="5">
        <v>45671</v>
      </c>
      <c r="C461" s="5" t="str">
        <f>TEXT(B461,"mmm")</f>
        <v>Jan</v>
      </c>
      <c r="D461" s="2" t="s">
        <v>860</v>
      </c>
      <c r="E461" s="2" t="s">
        <v>27</v>
      </c>
      <c r="F461" s="2" t="str" cm="1">
        <f t="array" ref="F4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61" s="2" t="str" cm="1">
        <f t="array" ref="G4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61" s="2" t="s">
        <v>49</v>
      </c>
      <c r="I461" s="2" t="s">
        <v>23</v>
      </c>
      <c r="J461" s="2">
        <v>2</v>
      </c>
      <c r="K461" s="8">
        <v>1299</v>
      </c>
      <c r="L461" s="3">
        <v>0.25</v>
      </c>
      <c r="M461" s="12">
        <f>K461*L461</f>
        <v>324.75</v>
      </c>
      <c r="N461" s="12">
        <f>K461*J461</f>
        <v>2598</v>
      </c>
      <c r="O461" s="12">
        <f>N461-M461</f>
        <v>2273.25</v>
      </c>
      <c r="P461" s="2" t="s">
        <v>17</v>
      </c>
      <c r="Q461" s="2" t="s">
        <v>18</v>
      </c>
      <c r="R461" s="2">
        <v>60</v>
      </c>
      <c r="S461" s="20">
        <f>Table1[[#This Row],[Net_revenue]]/Table1[[#This Row],[Gross_revenue]]*100%</f>
        <v>0.875</v>
      </c>
      <c r="T461" s="18">
        <f>COUNTIFS(Table1[Customer ID], "&gt;1", Table1[Customer ID], 1)</f>
        <v>0</v>
      </c>
    </row>
    <row r="462" spans="1:20" hidden="1" x14ac:dyDescent="0.3">
      <c r="A462" s="2" t="s">
        <v>861</v>
      </c>
      <c r="B462" s="5">
        <v>46020</v>
      </c>
      <c r="C462" s="5" t="str">
        <f>TEXT(B462,"mmm")</f>
        <v>Dec</v>
      </c>
      <c r="D462" s="2" t="s">
        <v>572</v>
      </c>
      <c r="E462" s="2" t="s">
        <v>21</v>
      </c>
      <c r="F462" s="2" t="str" cm="1">
        <f t="array" ref="F4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62" s="2" t="str" cm="1">
        <f t="array" ref="G4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62" s="2" t="s">
        <v>134</v>
      </c>
      <c r="I462" s="2" t="s">
        <v>29</v>
      </c>
      <c r="J462" s="2">
        <v>1</v>
      </c>
      <c r="K462" s="8">
        <v>1499</v>
      </c>
      <c r="L462" s="3">
        <v>0.1</v>
      </c>
      <c r="M462" s="12">
        <f>K462*L462</f>
        <v>149.9</v>
      </c>
      <c r="N462" s="12">
        <f>K462*J462</f>
        <v>1499</v>
      </c>
      <c r="O462" s="12">
        <f>N462-M462</f>
        <v>1349.1</v>
      </c>
      <c r="P462" s="2" t="s">
        <v>30</v>
      </c>
      <c r="Q462" s="2" t="s">
        <v>18</v>
      </c>
      <c r="R462" s="2">
        <v>40</v>
      </c>
      <c r="S462" s="20">
        <f>Table1[[#This Row],[Net_revenue]]/Table1[[#This Row],[Gross_revenue]]*100%</f>
        <v>0.89999999999999991</v>
      </c>
      <c r="T462" s="18">
        <f>COUNTIFS(Table1[Customer ID], "&gt;1", Table1[Customer ID], 1)</f>
        <v>0</v>
      </c>
    </row>
    <row r="463" spans="1:20" hidden="1" x14ac:dyDescent="0.3">
      <c r="A463" s="2" t="s">
        <v>862</v>
      </c>
      <c r="B463" s="5">
        <v>45851</v>
      </c>
      <c r="C463" s="5" t="str">
        <f>TEXT(B463,"mmm")</f>
        <v>Jul</v>
      </c>
      <c r="D463" s="2" t="s">
        <v>863</v>
      </c>
      <c r="E463" s="2" t="s">
        <v>21</v>
      </c>
      <c r="F463" s="2" t="str" cm="1">
        <f t="array" ref="F4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63" s="2" t="str" cm="1">
        <f t="array" ref="G4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63" s="2" t="s">
        <v>22</v>
      </c>
      <c r="I463" s="2" t="s">
        <v>23</v>
      </c>
      <c r="J463" s="2">
        <v>1</v>
      </c>
      <c r="K463" s="8">
        <v>3999</v>
      </c>
      <c r="L463" s="3">
        <v>0.1</v>
      </c>
      <c r="M463" s="12">
        <f>K463*L463</f>
        <v>399.90000000000003</v>
      </c>
      <c r="N463" s="12">
        <f>K463*J463</f>
        <v>3999</v>
      </c>
      <c r="O463" s="12">
        <f>N463-M463</f>
        <v>3599.1</v>
      </c>
      <c r="P463" s="2" t="s">
        <v>17</v>
      </c>
      <c r="Q463" s="2" t="s">
        <v>18</v>
      </c>
      <c r="R463" s="2">
        <v>60</v>
      </c>
      <c r="S463" s="20">
        <f>Table1[[#This Row],[Net_revenue]]/Table1[[#This Row],[Gross_revenue]]*100%</f>
        <v>0.9</v>
      </c>
      <c r="T463" s="18">
        <f>COUNTIFS(Table1[Customer ID], "&gt;1", Table1[Customer ID], 1)</f>
        <v>0</v>
      </c>
    </row>
    <row r="464" spans="1:20" hidden="1" x14ac:dyDescent="0.3">
      <c r="A464" s="2" t="s">
        <v>864</v>
      </c>
      <c r="B464" s="5">
        <v>45793</v>
      </c>
      <c r="C464" s="5" t="str">
        <f>TEXT(B464,"mmm")</f>
        <v>May</v>
      </c>
      <c r="D464" s="2" t="s">
        <v>865</v>
      </c>
      <c r="E464" s="2" t="s">
        <v>120</v>
      </c>
      <c r="F464" s="2" t="str" cm="1">
        <f t="array" ref="F4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64" s="2" t="str" cm="1">
        <f t="array" ref="G4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64" s="2" t="s">
        <v>134</v>
      </c>
      <c r="I464" s="2" t="s">
        <v>29</v>
      </c>
      <c r="J464" s="2">
        <v>1</v>
      </c>
      <c r="K464" s="8">
        <v>1499</v>
      </c>
      <c r="L464" s="3">
        <v>0.05</v>
      </c>
      <c r="M464" s="12">
        <f>K464*L464</f>
        <v>74.95</v>
      </c>
      <c r="N464" s="12">
        <f>K464*J464</f>
        <v>1499</v>
      </c>
      <c r="O464" s="12">
        <f>N464-M464</f>
        <v>1424.05</v>
      </c>
      <c r="P464" s="2" t="s">
        <v>30</v>
      </c>
      <c r="Q464" s="2" t="s">
        <v>18</v>
      </c>
      <c r="R464" s="2">
        <v>80</v>
      </c>
      <c r="S464" s="20">
        <f>Table1[[#This Row],[Net_revenue]]/Table1[[#This Row],[Gross_revenue]]*100%</f>
        <v>0.95</v>
      </c>
      <c r="T464" s="18">
        <f>COUNTIFS(Table1[Customer ID], "&gt;1", Table1[Customer ID], 1)</f>
        <v>0</v>
      </c>
    </row>
    <row r="465" spans="1:20" hidden="1" x14ac:dyDescent="0.3">
      <c r="A465" s="2" t="s">
        <v>866</v>
      </c>
      <c r="B465" s="5">
        <v>45744</v>
      </c>
      <c r="C465" s="5" t="str">
        <f>TEXT(B465,"mmm")</f>
        <v>Mar</v>
      </c>
      <c r="D465" s="2" t="s">
        <v>867</v>
      </c>
      <c r="E465" s="2" t="s">
        <v>48</v>
      </c>
      <c r="F465" s="2" t="str" cm="1">
        <f t="array" ref="F4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65" s="2" t="str" cm="1">
        <f t="array" ref="G4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65" s="2" t="s">
        <v>98</v>
      </c>
      <c r="I465" s="2" t="s">
        <v>37</v>
      </c>
      <c r="J465" s="2">
        <v>1</v>
      </c>
      <c r="K465" s="8">
        <v>299</v>
      </c>
      <c r="L465" s="3">
        <v>0.25</v>
      </c>
      <c r="M465" s="12">
        <f>K465*L465</f>
        <v>74.75</v>
      </c>
      <c r="N465" s="12">
        <f>K465*J465</f>
        <v>299</v>
      </c>
      <c r="O465" s="12">
        <f>N465-M465</f>
        <v>224.25</v>
      </c>
      <c r="P465" s="2" t="s">
        <v>45</v>
      </c>
      <c r="Q465" s="2" t="s">
        <v>18</v>
      </c>
      <c r="R465" s="2">
        <v>80</v>
      </c>
      <c r="S465" s="20">
        <f>Table1[[#This Row],[Net_revenue]]/Table1[[#This Row],[Gross_revenue]]*100%</f>
        <v>0.75</v>
      </c>
      <c r="T465" s="18">
        <f>COUNTIFS(Table1[Customer ID], "&gt;1", Table1[Customer ID], 1)</f>
        <v>0</v>
      </c>
    </row>
    <row r="466" spans="1:20" hidden="1" x14ac:dyDescent="0.3">
      <c r="A466" s="2" t="s">
        <v>868</v>
      </c>
      <c r="B466" s="5">
        <v>45663</v>
      </c>
      <c r="C466" s="5" t="str">
        <f>TEXT(B466,"mmm")</f>
        <v>Jan</v>
      </c>
      <c r="D466" s="2" t="s">
        <v>869</v>
      </c>
      <c r="E466" s="2" t="s">
        <v>21</v>
      </c>
      <c r="F466" s="2" t="str" cm="1">
        <f t="array" ref="F4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66" s="2" t="str" cm="1">
        <f t="array" ref="G4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66" s="2" t="s">
        <v>49</v>
      </c>
      <c r="I466" s="2" t="s">
        <v>23</v>
      </c>
      <c r="J466" s="2">
        <v>2</v>
      </c>
      <c r="K466" s="8">
        <v>1299</v>
      </c>
      <c r="L466" s="3">
        <v>0.25</v>
      </c>
      <c r="M466" s="12">
        <f>K466*L466</f>
        <v>324.75</v>
      </c>
      <c r="N466" s="12">
        <f>K466*J466</f>
        <v>2598</v>
      </c>
      <c r="O466" s="12">
        <f>N466-M466</f>
        <v>2273.25</v>
      </c>
      <c r="P466" s="2" t="s">
        <v>17</v>
      </c>
      <c r="Q466" s="2" t="s">
        <v>50</v>
      </c>
      <c r="R466" s="2">
        <v>40</v>
      </c>
      <c r="S466" s="20">
        <f>Table1[[#This Row],[Net_revenue]]/Table1[[#This Row],[Gross_revenue]]*100%</f>
        <v>0.875</v>
      </c>
      <c r="T466" s="18">
        <f>COUNTIFS(Table1[Customer ID], "&gt;1", Table1[Customer ID], 1)</f>
        <v>0</v>
      </c>
    </row>
    <row r="467" spans="1:20" hidden="1" x14ac:dyDescent="0.3">
      <c r="A467" s="2" t="s">
        <v>870</v>
      </c>
      <c r="B467" s="5">
        <v>45869</v>
      </c>
      <c r="C467" s="5" t="str">
        <f>TEXT(B467,"mmm")</f>
        <v>Jul</v>
      </c>
      <c r="D467" s="2" t="s">
        <v>871</v>
      </c>
      <c r="E467" s="2" t="s">
        <v>48</v>
      </c>
      <c r="F467" s="2" t="str" cm="1">
        <f t="array" ref="F4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67" s="2" t="str" cm="1">
        <f t="array" ref="G4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67" s="2" t="s">
        <v>217</v>
      </c>
      <c r="I467" s="2" t="s">
        <v>29</v>
      </c>
      <c r="J467" s="2">
        <v>1</v>
      </c>
      <c r="K467" s="8">
        <v>3299</v>
      </c>
      <c r="L467" s="3">
        <v>0.25</v>
      </c>
      <c r="M467" s="12">
        <f>K467*L467</f>
        <v>824.75</v>
      </c>
      <c r="N467" s="12">
        <f>K467*J467</f>
        <v>3299</v>
      </c>
      <c r="O467" s="12">
        <f>N467-M467</f>
        <v>2474.25</v>
      </c>
      <c r="P467" s="2" t="s">
        <v>45</v>
      </c>
      <c r="Q467" s="2" t="s">
        <v>18</v>
      </c>
      <c r="R467" s="2">
        <v>0</v>
      </c>
      <c r="S467" s="20">
        <f>Table1[[#This Row],[Net_revenue]]/Table1[[#This Row],[Gross_revenue]]*100%</f>
        <v>0.75</v>
      </c>
      <c r="T467" s="18">
        <f>COUNTIFS(Table1[Customer ID], "&gt;1", Table1[Customer ID], 1)</f>
        <v>0</v>
      </c>
    </row>
    <row r="468" spans="1:20" hidden="1" x14ac:dyDescent="0.3">
      <c r="A468" s="2" t="s">
        <v>872</v>
      </c>
      <c r="B468" s="5">
        <v>46011</v>
      </c>
      <c r="C468" s="5" t="str">
        <f>TEXT(B468,"mmm")</f>
        <v>Dec</v>
      </c>
      <c r="D468" s="2" t="s">
        <v>362</v>
      </c>
      <c r="E468" s="2" t="s">
        <v>40</v>
      </c>
      <c r="F468" s="2" t="str" cm="1">
        <f t="array" ref="F4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68" s="2" t="str" cm="1">
        <f t="array" ref="G4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68" s="2" t="s">
        <v>94</v>
      </c>
      <c r="I468" s="2" t="s">
        <v>95</v>
      </c>
      <c r="J468" s="2">
        <v>2</v>
      </c>
      <c r="K468" s="8">
        <v>399</v>
      </c>
      <c r="L468" s="3">
        <v>0</v>
      </c>
      <c r="M468" s="12">
        <f>K468*L468</f>
        <v>0</v>
      </c>
      <c r="N468" s="12">
        <f>K468*J468</f>
        <v>798</v>
      </c>
      <c r="O468" s="12">
        <f>N468-M468</f>
        <v>798</v>
      </c>
      <c r="P468" s="2" t="s">
        <v>45</v>
      </c>
      <c r="Q468" s="2" t="s">
        <v>18</v>
      </c>
      <c r="R468" s="2">
        <v>60</v>
      </c>
      <c r="S468" s="20">
        <f>Table1[[#This Row],[Net_revenue]]/Table1[[#This Row],[Gross_revenue]]*100%</f>
        <v>1</v>
      </c>
      <c r="T468" s="18">
        <f>COUNTIFS(Table1[Customer ID], "&gt;1", Table1[Customer ID], 1)</f>
        <v>0</v>
      </c>
    </row>
    <row r="469" spans="1:20" hidden="1" x14ac:dyDescent="0.3">
      <c r="A469" s="2" t="s">
        <v>873</v>
      </c>
      <c r="B469" s="5">
        <v>45671</v>
      </c>
      <c r="C469" s="5" t="str">
        <f>TEXT(B469,"mmm")</f>
        <v>Jan</v>
      </c>
      <c r="D469" s="2" t="s">
        <v>874</v>
      </c>
      <c r="E469" s="2" t="s">
        <v>21</v>
      </c>
      <c r="F469" s="2" t="str" cm="1">
        <f t="array" ref="F4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69" s="2" t="str" cm="1">
        <f t="array" ref="G4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69" s="2" t="s">
        <v>134</v>
      </c>
      <c r="I469" s="2" t="s">
        <v>29</v>
      </c>
      <c r="J469" s="2">
        <v>2</v>
      </c>
      <c r="K469" s="8">
        <v>1499</v>
      </c>
      <c r="L469" s="3">
        <v>0.05</v>
      </c>
      <c r="M469" s="12">
        <f>K469*L469</f>
        <v>74.95</v>
      </c>
      <c r="N469" s="12">
        <f>K469*J469</f>
        <v>2998</v>
      </c>
      <c r="O469" s="12">
        <f>N469-M469</f>
        <v>2923.05</v>
      </c>
      <c r="P469" s="2" t="s">
        <v>45</v>
      </c>
      <c r="Q469" s="2" t="s">
        <v>18</v>
      </c>
      <c r="R469" s="2">
        <v>80</v>
      </c>
      <c r="S469" s="20">
        <f>Table1[[#This Row],[Net_revenue]]/Table1[[#This Row],[Gross_revenue]]*100%</f>
        <v>0.97500000000000009</v>
      </c>
      <c r="T469" s="18">
        <f>COUNTIFS(Table1[Customer ID], "&gt;1", Table1[Customer ID], 1)</f>
        <v>0</v>
      </c>
    </row>
    <row r="470" spans="1:20" hidden="1" x14ac:dyDescent="0.3">
      <c r="A470" s="2" t="s">
        <v>875</v>
      </c>
      <c r="B470" s="5">
        <v>45921</v>
      </c>
      <c r="C470" s="5" t="str">
        <f>TEXT(B470,"mmm")</f>
        <v>Sep</v>
      </c>
      <c r="D470" s="2" t="s">
        <v>832</v>
      </c>
      <c r="E470" s="2" t="s">
        <v>48</v>
      </c>
      <c r="F470" s="2" t="str" cm="1">
        <f t="array" ref="F4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70" s="2" t="str" cm="1">
        <f t="array" ref="G4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70" s="2" t="s">
        <v>49</v>
      </c>
      <c r="I470" s="2" t="s">
        <v>23</v>
      </c>
      <c r="J470" s="2">
        <v>1</v>
      </c>
      <c r="K470" s="8">
        <v>1299</v>
      </c>
      <c r="L470" s="3">
        <v>0.1</v>
      </c>
      <c r="M470" s="12">
        <f>K470*L470</f>
        <v>129.9</v>
      </c>
      <c r="N470" s="12">
        <f>K470*J470</f>
        <v>1299</v>
      </c>
      <c r="O470" s="12">
        <f>N470-M470</f>
        <v>1169.0999999999999</v>
      </c>
      <c r="P470" s="2" t="s">
        <v>30</v>
      </c>
      <c r="Q470" s="2" t="s">
        <v>50</v>
      </c>
      <c r="R470" s="2">
        <v>0</v>
      </c>
      <c r="S470" s="20">
        <f>Table1[[#This Row],[Net_revenue]]/Table1[[#This Row],[Gross_revenue]]*100%</f>
        <v>0.89999999999999991</v>
      </c>
      <c r="T470" s="18">
        <f>COUNTIFS(Table1[Customer ID], "&gt;1", Table1[Customer ID], 1)</f>
        <v>0</v>
      </c>
    </row>
    <row r="471" spans="1:20" hidden="1" x14ac:dyDescent="0.3">
      <c r="A471" s="2" t="s">
        <v>876</v>
      </c>
      <c r="B471" s="5">
        <v>45934</v>
      </c>
      <c r="C471" s="5" t="str">
        <f>TEXT(B471,"mmm")</f>
        <v>Oct</v>
      </c>
      <c r="D471" s="2" t="s">
        <v>303</v>
      </c>
      <c r="E471" s="2" t="s">
        <v>53</v>
      </c>
      <c r="F471" s="2" t="str" cm="1">
        <f t="array" ref="F4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471" s="2" t="str" cm="1">
        <f t="array" ref="G4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71" s="2" t="s">
        <v>28</v>
      </c>
      <c r="I471" s="2" t="s">
        <v>29</v>
      </c>
      <c r="J471" s="2">
        <v>1</v>
      </c>
      <c r="K471" s="8">
        <v>2799</v>
      </c>
      <c r="L471" s="3">
        <v>0</v>
      </c>
      <c r="M471" s="12">
        <f>K471*L471</f>
        <v>0</v>
      </c>
      <c r="N471" s="12">
        <f>K471*J471</f>
        <v>2799</v>
      </c>
      <c r="O471" s="12">
        <f>N471-M471</f>
        <v>2799</v>
      </c>
      <c r="P471" s="2" t="s">
        <v>17</v>
      </c>
      <c r="Q471" s="2" t="s">
        <v>18</v>
      </c>
      <c r="R471" s="2">
        <v>60</v>
      </c>
      <c r="S471" s="20">
        <f>Table1[[#This Row],[Net_revenue]]/Table1[[#This Row],[Gross_revenue]]*100%</f>
        <v>1</v>
      </c>
      <c r="T471" s="18">
        <f>COUNTIFS(Table1[Customer ID], "&gt;1", Table1[Customer ID], 1)</f>
        <v>0</v>
      </c>
    </row>
    <row r="472" spans="1:20" hidden="1" x14ac:dyDescent="0.3">
      <c r="A472" s="2" t="s">
        <v>877</v>
      </c>
      <c r="B472" s="5">
        <v>45711</v>
      </c>
      <c r="C472" s="5" t="str">
        <f>TEXT(B472,"mmm")</f>
        <v>Feb</v>
      </c>
      <c r="D472" s="2" t="s">
        <v>520</v>
      </c>
      <c r="E472" s="2" t="s">
        <v>56</v>
      </c>
      <c r="F472" s="2" t="str" cm="1">
        <f t="array" ref="F4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72" s="2" t="str" cm="1">
        <f t="array" ref="G4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72" s="2" t="s">
        <v>89</v>
      </c>
      <c r="I472" s="2" t="s">
        <v>29</v>
      </c>
      <c r="J472" s="2">
        <v>4</v>
      </c>
      <c r="K472" s="8">
        <v>449</v>
      </c>
      <c r="L472" s="3">
        <v>0.05</v>
      </c>
      <c r="M472" s="12">
        <f>K472*L472</f>
        <v>22.450000000000003</v>
      </c>
      <c r="N472" s="12">
        <f>K472*J472</f>
        <v>1796</v>
      </c>
      <c r="O472" s="12">
        <f>N472-M472</f>
        <v>1773.55</v>
      </c>
      <c r="P472" s="2" t="s">
        <v>45</v>
      </c>
      <c r="Q472" s="2" t="s">
        <v>18</v>
      </c>
      <c r="R472" s="2">
        <v>0</v>
      </c>
      <c r="S472" s="20">
        <f>Table1[[#This Row],[Net_revenue]]/Table1[[#This Row],[Gross_revenue]]*100%</f>
        <v>0.98749999999999993</v>
      </c>
      <c r="T472" s="18">
        <f>COUNTIFS(Table1[Customer ID], "&gt;1", Table1[Customer ID], 1)</f>
        <v>0</v>
      </c>
    </row>
    <row r="473" spans="1:20" hidden="1" x14ac:dyDescent="0.3">
      <c r="A473" s="2" t="s">
        <v>878</v>
      </c>
      <c r="B473" s="5">
        <v>45903</v>
      </c>
      <c r="C473" s="5" t="str">
        <f>TEXT(B473,"mmm")</f>
        <v>Sep</v>
      </c>
      <c r="D473" s="2" t="s">
        <v>879</v>
      </c>
      <c r="E473" s="2" t="s">
        <v>120</v>
      </c>
      <c r="F473" s="2" t="str" cm="1">
        <f t="array" ref="F4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73" s="2" t="str" cm="1">
        <f t="array" ref="G4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73" s="2" t="s">
        <v>89</v>
      </c>
      <c r="I473" s="2" t="s">
        <v>29</v>
      </c>
      <c r="J473" s="2">
        <v>1</v>
      </c>
      <c r="K473" s="8">
        <v>449</v>
      </c>
      <c r="L473" s="3">
        <v>0.15</v>
      </c>
      <c r="M473" s="12">
        <f>K473*L473</f>
        <v>67.349999999999994</v>
      </c>
      <c r="N473" s="12">
        <f>K473*J473</f>
        <v>449</v>
      </c>
      <c r="O473" s="12">
        <f>N473-M473</f>
        <v>381.65</v>
      </c>
      <c r="P473" s="2" t="s">
        <v>45</v>
      </c>
      <c r="Q473" s="2" t="s">
        <v>18</v>
      </c>
      <c r="R473" s="2">
        <v>80</v>
      </c>
      <c r="S473" s="20">
        <f>Table1[[#This Row],[Net_revenue]]/Table1[[#This Row],[Gross_revenue]]*100%</f>
        <v>0.85</v>
      </c>
      <c r="T473" s="18">
        <f>COUNTIFS(Table1[Customer ID], "&gt;1", Table1[Customer ID], 1)</f>
        <v>0</v>
      </c>
    </row>
    <row r="474" spans="1:20" hidden="1" x14ac:dyDescent="0.3">
      <c r="A474" s="2" t="s">
        <v>880</v>
      </c>
      <c r="B474" s="5">
        <v>46017</v>
      </c>
      <c r="C474" s="5" t="str">
        <f>TEXT(B474,"mmm")</f>
        <v>Dec</v>
      </c>
      <c r="D474" s="2" t="s">
        <v>549</v>
      </c>
      <c r="E474" s="2" t="s">
        <v>56</v>
      </c>
      <c r="F474" s="2" t="str" cm="1">
        <f t="array" ref="F4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74" s="2" t="str" cm="1">
        <f t="array" ref="G4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74" s="2" t="s">
        <v>80</v>
      </c>
      <c r="I474" s="2" t="s">
        <v>23</v>
      </c>
      <c r="J474" s="2">
        <v>1</v>
      </c>
      <c r="K474" s="8">
        <v>799</v>
      </c>
      <c r="L474" s="3">
        <v>0</v>
      </c>
      <c r="M474" s="12">
        <f>K474*L474</f>
        <v>0</v>
      </c>
      <c r="N474" s="12">
        <f>K474*J474</f>
        <v>799</v>
      </c>
      <c r="O474" s="12">
        <f>N474-M474</f>
        <v>799</v>
      </c>
      <c r="P474" s="2" t="s">
        <v>24</v>
      </c>
      <c r="Q474" s="2" t="s">
        <v>18</v>
      </c>
      <c r="R474" s="2">
        <v>0</v>
      </c>
      <c r="S474" s="20">
        <f>Table1[[#This Row],[Net_revenue]]/Table1[[#This Row],[Gross_revenue]]*100%</f>
        <v>1</v>
      </c>
      <c r="T474" s="18">
        <f>COUNTIFS(Table1[Customer ID], "&gt;1", Table1[Customer ID], 1)</f>
        <v>0</v>
      </c>
    </row>
    <row r="475" spans="1:20" hidden="1" x14ac:dyDescent="0.3">
      <c r="A475" s="2" t="s">
        <v>881</v>
      </c>
      <c r="B475" s="5">
        <v>45976</v>
      </c>
      <c r="C475" s="5" t="str">
        <f>TEXT(B475,"mmm")</f>
        <v>Nov</v>
      </c>
      <c r="D475" s="2" t="s">
        <v>526</v>
      </c>
      <c r="E475" s="2" t="s">
        <v>56</v>
      </c>
      <c r="F475" s="2" t="str" cm="1">
        <f t="array" ref="F4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75" s="2" t="str" cm="1">
        <f t="array" ref="G4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75" s="2" t="s">
        <v>15</v>
      </c>
      <c r="I475" s="2" t="s">
        <v>16</v>
      </c>
      <c r="J475" s="2">
        <v>3</v>
      </c>
      <c r="K475" s="8">
        <v>1799</v>
      </c>
      <c r="L475" s="3">
        <v>0.1</v>
      </c>
      <c r="M475" s="12">
        <f>K475*L475</f>
        <v>179.9</v>
      </c>
      <c r="N475" s="12">
        <f>K475*J475</f>
        <v>5397</v>
      </c>
      <c r="O475" s="12">
        <f>N475-M475</f>
        <v>5217.1000000000004</v>
      </c>
      <c r="P475" s="2" t="s">
        <v>45</v>
      </c>
      <c r="Q475" s="2" t="s">
        <v>18</v>
      </c>
      <c r="R475" s="2">
        <v>40</v>
      </c>
      <c r="S475" s="20">
        <f>Table1[[#This Row],[Net_revenue]]/Table1[[#This Row],[Gross_revenue]]*100%</f>
        <v>0.96666666666666679</v>
      </c>
      <c r="T475" s="18">
        <f>COUNTIFS(Table1[Customer ID], "&gt;1", Table1[Customer ID], 1)</f>
        <v>0</v>
      </c>
    </row>
    <row r="476" spans="1:20" hidden="1" x14ac:dyDescent="0.3">
      <c r="A476" s="2" t="s">
        <v>882</v>
      </c>
      <c r="B476" s="5">
        <v>45743</v>
      </c>
      <c r="C476" s="5" t="str">
        <f>TEXT(B476,"mmm")</f>
        <v>Mar</v>
      </c>
      <c r="D476" s="2" t="s">
        <v>84</v>
      </c>
      <c r="E476" s="2" t="s">
        <v>120</v>
      </c>
      <c r="F476" s="2" t="str" cm="1">
        <f t="array" ref="F4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76" s="2" t="str" cm="1">
        <f t="array" ref="G4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76" s="2" t="s">
        <v>28</v>
      </c>
      <c r="I476" s="2" t="s">
        <v>29</v>
      </c>
      <c r="J476" s="2">
        <v>4</v>
      </c>
      <c r="K476" s="8">
        <v>2799</v>
      </c>
      <c r="L476" s="3">
        <v>0.25</v>
      </c>
      <c r="M476" s="12">
        <f>K476*L476</f>
        <v>699.75</v>
      </c>
      <c r="N476" s="12">
        <f>K476*J476</f>
        <v>11196</v>
      </c>
      <c r="O476" s="12">
        <f>N476-M476</f>
        <v>10496.25</v>
      </c>
      <c r="P476" s="2" t="s">
        <v>30</v>
      </c>
      <c r="Q476" s="2" t="s">
        <v>18</v>
      </c>
      <c r="R476" s="2">
        <v>80</v>
      </c>
      <c r="S476" s="20">
        <f>Table1[[#This Row],[Net_revenue]]/Table1[[#This Row],[Gross_revenue]]*100%</f>
        <v>0.9375</v>
      </c>
      <c r="T476" s="18">
        <f>COUNTIFS(Table1[Customer ID], "&gt;1", Table1[Customer ID], 1)</f>
        <v>0</v>
      </c>
    </row>
    <row r="477" spans="1:20" hidden="1" x14ac:dyDescent="0.3">
      <c r="A477" s="2" t="s">
        <v>883</v>
      </c>
      <c r="B477" s="5">
        <v>45671</v>
      </c>
      <c r="C477" s="5" t="str">
        <f>TEXT(B477,"mmm")</f>
        <v>Jan</v>
      </c>
      <c r="D477" s="2" t="s">
        <v>884</v>
      </c>
      <c r="E477" s="2" t="s">
        <v>195</v>
      </c>
      <c r="F477" s="2" t="str" cm="1">
        <f t="array" ref="F4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77" s="2" t="str" cm="1">
        <f t="array" ref="G4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77" s="2" t="s">
        <v>44</v>
      </c>
      <c r="I477" s="2" t="s">
        <v>16</v>
      </c>
      <c r="J477" s="2">
        <v>1</v>
      </c>
      <c r="K477" s="8">
        <v>1599</v>
      </c>
      <c r="L477" s="3">
        <v>0.25</v>
      </c>
      <c r="M477" s="12">
        <f>K477*L477</f>
        <v>399.75</v>
      </c>
      <c r="N477" s="12">
        <f>K477*J477</f>
        <v>1599</v>
      </c>
      <c r="O477" s="12">
        <f>N477-M477</f>
        <v>1199.25</v>
      </c>
      <c r="P477" s="2" t="s">
        <v>17</v>
      </c>
      <c r="Q477" s="2" t="s">
        <v>18</v>
      </c>
      <c r="R477" s="2">
        <v>80</v>
      </c>
      <c r="S477" s="20">
        <f>Table1[[#This Row],[Net_revenue]]/Table1[[#This Row],[Gross_revenue]]*100%</f>
        <v>0.75</v>
      </c>
      <c r="T477" s="18">
        <f>COUNTIFS(Table1[Customer ID], "&gt;1", Table1[Customer ID], 1)</f>
        <v>0</v>
      </c>
    </row>
    <row r="478" spans="1:20" hidden="1" x14ac:dyDescent="0.3">
      <c r="A478" s="2" t="s">
        <v>885</v>
      </c>
      <c r="B478" s="5">
        <v>45681</v>
      </c>
      <c r="C478" s="5" t="str">
        <f>TEXT(B478,"mmm")</f>
        <v>Jan</v>
      </c>
      <c r="D478" s="2" t="s">
        <v>886</v>
      </c>
      <c r="E478" s="2" t="s">
        <v>40</v>
      </c>
      <c r="F478" s="2" t="str" cm="1">
        <f t="array" ref="F4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78" s="2" t="str" cm="1">
        <f t="array" ref="G4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78" s="2" t="s">
        <v>117</v>
      </c>
      <c r="I478" s="2" t="s">
        <v>23</v>
      </c>
      <c r="J478" s="2">
        <v>1</v>
      </c>
      <c r="K478" s="8">
        <v>2199</v>
      </c>
      <c r="L478" s="3">
        <v>0.25</v>
      </c>
      <c r="M478" s="12">
        <f>K478*L478</f>
        <v>549.75</v>
      </c>
      <c r="N478" s="12">
        <f>K478*J478</f>
        <v>2199</v>
      </c>
      <c r="O478" s="12">
        <f>N478-M478</f>
        <v>1649.25</v>
      </c>
      <c r="P478" s="2" t="s">
        <v>30</v>
      </c>
      <c r="Q478" s="2" t="s">
        <v>50</v>
      </c>
      <c r="R478" s="2">
        <v>80</v>
      </c>
      <c r="S478" s="20">
        <f>Table1[[#This Row],[Net_revenue]]/Table1[[#This Row],[Gross_revenue]]*100%</f>
        <v>0.75</v>
      </c>
      <c r="T478" s="18">
        <f>COUNTIFS(Table1[Customer ID], "&gt;1", Table1[Customer ID], 1)</f>
        <v>0</v>
      </c>
    </row>
    <row r="479" spans="1:20" hidden="1" x14ac:dyDescent="0.3">
      <c r="A479" s="2" t="s">
        <v>887</v>
      </c>
      <c r="B479" s="5">
        <v>45972</v>
      </c>
      <c r="C479" s="5" t="str">
        <f>TEXT(B479,"mmm")</f>
        <v>Nov</v>
      </c>
      <c r="D479" s="2" t="s">
        <v>789</v>
      </c>
      <c r="E479" s="2" t="s">
        <v>40</v>
      </c>
      <c r="F479" s="2" t="str" cm="1">
        <f t="array" ref="F4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79" s="2" t="str" cm="1">
        <f t="array" ref="G4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79" s="2" t="s">
        <v>68</v>
      </c>
      <c r="I479" s="2" t="s">
        <v>16</v>
      </c>
      <c r="J479" s="2">
        <v>2</v>
      </c>
      <c r="K479" s="8">
        <v>599</v>
      </c>
      <c r="L479" s="3">
        <v>0.2</v>
      </c>
      <c r="M479" s="12">
        <f>K479*L479</f>
        <v>119.80000000000001</v>
      </c>
      <c r="N479" s="12">
        <f>K479*J479</f>
        <v>1198</v>
      </c>
      <c r="O479" s="12">
        <f>N479-M479</f>
        <v>1078.2</v>
      </c>
      <c r="P479" s="2" t="s">
        <v>17</v>
      </c>
      <c r="Q479" s="2" t="s">
        <v>18</v>
      </c>
      <c r="R479" s="2">
        <v>80</v>
      </c>
      <c r="S479" s="20">
        <f>Table1[[#This Row],[Net_revenue]]/Table1[[#This Row],[Gross_revenue]]*100%</f>
        <v>0.9</v>
      </c>
      <c r="T479" s="18">
        <f>COUNTIFS(Table1[Customer ID], "&gt;1", Table1[Customer ID], 1)</f>
        <v>0</v>
      </c>
    </row>
    <row r="480" spans="1:20" hidden="1" x14ac:dyDescent="0.3">
      <c r="A480" s="2" t="s">
        <v>888</v>
      </c>
      <c r="B480" s="5">
        <v>45794</v>
      </c>
      <c r="C480" s="5" t="str">
        <f>TEXT(B480,"mmm")</f>
        <v>May</v>
      </c>
      <c r="D480" s="2" t="s">
        <v>731</v>
      </c>
      <c r="E480" s="2" t="s">
        <v>195</v>
      </c>
      <c r="F480" s="2" t="str" cm="1">
        <f t="array" ref="F4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80" s="2" t="str" cm="1">
        <f t="array" ref="G4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0" s="2" t="s">
        <v>49</v>
      </c>
      <c r="I480" s="2" t="s">
        <v>23</v>
      </c>
      <c r="J480" s="2">
        <v>1</v>
      </c>
      <c r="K480" s="8">
        <v>1299</v>
      </c>
      <c r="L480" s="3">
        <v>0.25</v>
      </c>
      <c r="M480" s="12">
        <f>K480*L480</f>
        <v>324.75</v>
      </c>
      <c r="N480" s="12">
        <f>K480*J480</f>
        <v>1299</v>
      </c>
      <c r="O480" s="12">
        <f>N480-M480</f>
        <v>974.25</v>
      </c>
      <c r="P480" s="2" t="s">
        <v>45</v>
      </c>
      <c r="Q480" s="2" t="s">
        <v>72</v>
      </c>
      <c r="R480" s="2">
        <v>40</v>
      </c>
      <c r="S480" s="20">
        <f>Table1[[#This Row],[Net_revenue]]/Table1[[#This Row],[Gross_revenue]]*100%</f>
        <v>0.75</v>
      </c>
      <c r="T480" s="18">
        <f>COUNTIFS(Table1[Customer ID], "&gt;1", Table1[Customer ID], 1)</f>
        <v>0</v>
      </c>
    </row>
    <row r="481" spans="1:20" hidden="1" x14ac:dyDescent="0.3">
      <c r="A481" s="2" t="s">
        <v>889</v>
      </c>
      <c r="B481" s="5">
        <v>45874</v>
      </c>
      <c r="C481" s="5" t="str">
        <f>TEXT(B481,"mmm")</f>
        <v>Aug</v>
      </c>
      <c r="D481" s="2" t="s">
        <v>890</v>
      </c>
      <c r="E481" s="2" t="s">
        <v>48</v>
      </c>
      <c r="F481" s="2" t="str" cm="1">
        <f t="array" ref="F4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81" s="2" t="str" cm="1">
        <f t="array" ref="G4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81" s="2" t="s">
        <v>117</v>
      </c>
      <c r="I481" s="2" t="s">
        <v>23</v>
      </c>
      <c r="J481" s="2">
        <v>1</v>
      </c>
      <c r="K481" s="8">
        <v>2199</v>
      </c>
      <c r="L481" s="3">
        <v>0.25</v>
      </c>
      <c r="M481" s="12">
        <f>K481*L481</f>
        <v>549.75</v>
      </c>
      <c r="N481" s="12">
        <f>K481*J481</f>
        <v>2199</v>
      </c>
      <c r="O481" s="12">
        <f>N481-M481</f>
        <v>1649.25</v>
      </c>
      <c r="P481" s="2" t="s">
        <v>30</v>
      </c>
      <c r="Q481" s="2" t="s">
        <v>50</v>
      </c>
      <c r="R481" s="2">
        <v>60</v>
      </c>
      <c r="S481" s="20">
        <f>Table1[[#This Row],[Net_revenue]]/Table1[[#This Row],[Gross_revenue]]*100%</f>
        <v>0.75</v>
      </c>
      <c r="T481" s="18">
        <f>COUNTIFS(Table1[Customer ID], "&gt;1", Table1[Customer ID], 1)</f>
        <v>0</v>
      </c>
    </row>
    <row r="482" spans="1:20" hidden="1" x14ac:dyDescent="0.3">
      <c r="A482" s="2" t="s">
        <v>891</v>
      </c>
      <c r="B482" s="5">
        <v>45701</v>
      </c>
      <c r="C482" s="5" t="str">
        <f>TEXT(B482,"mmm")</f>
        <v>Feb</v>
      </c>
      <c r="D482" s="2" t="s">
        <v>892</v>
      </c>
      <c r="E482" s="2" t="s">
        <v>21</v>
      </c>
      <c r="F482" s="2" t="str" cm="1">
        <f t="array" ref="F4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82" s="2" t="str" cm="1">
        <f t="array" ref="G4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2" s="2" t="s">
        <v>98</v>
      </c>
      <c r="I482" s="2" t="s">
        <v>37</v>
      </c>
      <c r="J482" s="2">
        <v>1</v>
      </c>
      <c r="K482" s="8">
        <v>299</v>
      </c>
      <c r="L482" s="3">
        <v>0</v>
      </c>
      <c r="M482" s="12">
        <f>K482*L482</f>
        <v>0</v>
      </c>
      <c r="N482" s="12">
        <f>K482*J482</f>
        <v>299</v>
      </c>
      <c r="O482" s="12">
        <f>N482-M482</f>
        <v>299</v>
      </c>
      <c r="P482" s="2" t="s">
        <v>17</v>
      </c>
      <c r="Q482" s="2" t="s">
        <v>18</v>
      </c>
      <c r="R482" s="2">
        <v>40</v>
      </c>
      <c r="S482" s="20">
        <f>Table1[[#This Row],[Net_revenue]]/Table1[[#This Row],[Gross_revenue]]*100%</f>
        <v>1</v>
      </c>
      <c r="T482" s="18">
        <f>COUNTIFS(Table1[Customer ID], "&gt;1", Table1[Customer ID], 1)</f>
        <v>0</v>
      </c>
    </row>
    <row r="483" spans="1:20" hidden="1" x14ac:dyDescent="0.3">
      <c r="A483" s="2" t="s">
        <v>893</v>
      </c>
      <c r="B483" s="5">
        <v>45844</v>
      </c>
      <c r="C483" s="5" t="str">
        <f>TEXT(B483,"mmm")</f>
        <v>Jul</v>
      </c>
      <c r="D483" s="2" t="s">
        <v>787</v>
      </c>
      <c r="E483" s="2" t="s">
        <v>195</v>
      </c>
      <c r="F483" s="2" t="str" cm="1">
        <f t="array" ref="F4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483" s="2" t="str" cm="1">
        <f t="array" ref="G4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3" s="2" t="s">
        <v>71</v>
      </c>
      <c r="I483" s="2" t="s">
        <v>29</v>
      </c>
      <c r="J483" s="2">
        <v>2</v>
      </c>
      <c r="K483" s="8">
        <v>5499</v>
      </c>
      <c r="L483" s="3">
        <v>0</v>
      </c>
      <c r="M483" s="12">
        <f>K483*L483</f>
        <v>0</v>
      </c>
      <c r="N483" s="12">
        <f>K483*J483</f>
        <v>10998</v>
      </c>
      <c r="O483" s="12">
        <f>N483-M483</f>
        <v>10998</v>
      </c>
      <c r="P483" s="2" t="s">
        <v>17</v>
      </c>
      <c r="Q483" s="2" t="s">
        <v>18</v>
      </c>
      <c r="R483" s="2">
        <v>40</v>
      </c>
      <c r="S483" s="20">
        <f>Table1[[#This Row],[Net_revenue]]/Table1[[#This Row],[Gross_revenue]]*100%</f>
        <v>1</v>
      </c>
      <c r="T483" s="18">
        <f>COUNTIFS(Table1[Customer ID], "&gt;1", Table1[Customer ID], 1)</f>
        <v>0</v>
      </c>
    </row>
    <row r="484" spans="1:20" hidden="1" x14ac:dyDescent="0.3">
      <c r="A484" s="2" t="s">
        <v>894</v>
      </c>
      <c r="B484" s="5">
        <v>46017</v>
      </c>
      <c r="C484" s="5" t="str">
        <f>TEXT(B484,"mmm")</f>
        <v>Dec</v>
      </c>
      <c r="D484" s="2" t="s">
        <v>895</v>
      </c>
      <c r="E484" s="2" t="s">
        <v>75</v>
      </c>
      <c r="F484" s="2" t="str" cm="1">
        <f t="array" ref="F4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484" s="2" t="str" cm="1">
        <f t="array" ref="G4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4" s="2" t="s">
        <v>49</v>
      </c>
      <c r="I484" s="2" t="s">
        <v>23</v>
      </c>
      <c r="J484" s="2">
        <v>1</v>
      </c>
      <c r="K484" s="8">
        <v>1299</v>
      </c>
      <c r="L484" s="3">
        <v>0.1</v>
      </c>
      <c r="M484" s="12">
        <f>K484*L484</f>
        <v>129.9</v>
      </c>
      <c r="N484" s="12">
        <f>K484*J484</f>
        <v>1299</v>
      </c>
      <c r="O484" s="12">
        <f>N484-M484</f>
        <v>1169.0999999999999</v>
      </c>
      <c r="P484" s="2" t="s">
        <v>24</v>
      </c>
      <c r="Q484" s="2" t="s">
        <v>18</v>
      </c>
      <c r="R484" s="2">
        <v>0</v>
      </c>
      <c r="S484" s="20">
        <f>Table1[[#This Row],[Net_revenue]]/Table1[[#This Row],[Gross_revenue]]*100%</f>
        <v>0.89999999999999991</v>
      </c>
      <c r="T484" s="18">
        <f>COUNTIFS(Table1[Customer ID], "&gt;1", Table1[Customer ID], 1)</f>
        <v>0</v>
      </c>
    </row>
    <row r="485" spans="1:20" hidden="1" x14ac:dyDescent="0.3">
      <c r="A485" s="2" t="s">
        <v>896</v>
      </c>
      <c r="B485" s="5">
        <v>45772</v>
      </c>
      <c r="C485" s="5" t="str">
        <f>TEXT(B485,"mmm")</f>
        <v>Apr</v>
      </c>
      <c r="D485" s="2" t="s">
        <v>897</v>
      </c>
      <c r="E485" s="2" t="s">
        <v>53</v>
      </c>
      <c r="F485" s="2" t="str" cm="1">
        <f t="array" ref="F4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485" s="2" t="str" cm="1">
        <f t="array" ref="G4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85" s="2" t="s">
        <v>89</v>
      </c>
      <c r="I485" s="2" t="s">
        <v>29</v>
      </c>
      <c r="J485" s="2">
        <v>1</v>
      </c>
      <c r="K485" s="8">
        <v>449</v>
      </c>
      <c r="L485" s="3">
        <v>0.25</v>
      </c>
      <c r="M485" s="12">
        <f>K485*L485</f>
        <v>112.25</v>
      </c>
      <c r="N485" s="12">
        <f>K485*J485</f>
        <v>449</v>
      </c>
      <c r="O485" s="12">
        <f>N485-M485</f>
        <v>336.75</v>
      </c>
      <c r="P485" s="2" t="s">
        <v>30</v>
      </c>
      <c r="Q485" s="2" t="s">
        <v>72</v>
      </c>
      <c r="R485" s="2">
        <v>0</v>
      </c>
      <c r="S485" s="20">
        <f>Table1[[#This Row],[Net_revenue]]/Table1[[#This Row],[Gross_revenue]]*100%</f>
        <v>0.75</v>
      </c>
      <c r="T485" s="18">
        <f>COUNTIFS(Table1[Customer ID], "&gt;1", Table1[Customer ID], 1)</f>
        <v>0</v>
      </c>
    </row>
    <row r="486" spans="1:20" hidden="1" x14ac:dyDescent="0.3">
      <c r="A486" s="2" t="s">
        <v>898</v>
      </c>
      <c r="B486" s="5">
        <v>45886</v>
      </c>
      <c r="C486" s="5" t="str">
        <f>TEXT(B486,"mmm")</f>
        <v>Aug</v>
      </c>
      <c r="D486" s="2" t="s">
        <v>537</v>
      </c>
      <c r="E486" s="2" t="s">
        <v>21</v>
      </c>
      <c r="F486" s="2" t="str" cm="1">
        <f t="array" ref="F4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86" s="2" t="str" cm="1">
        <f t="array" ref="G4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6" s="2" t="s">
        <v>15</v>
      </c>
      <c r="I486" s="2" t="s">
        <v>16</v>
      </c>
      <c r="J486" s="2">
        <v>5</v>
      </c>
      <c r="K486" s="8">
        <v>1799</v>
      </c>
      <c r="L486" s="3">
        <v>0.25</v>
      </c>
      <c r="M486" s="12">
        <f>K486*L486</f>
        <v>449.75</v>
      </c>
      <c r="N486" s="12">
        <f>K486*J486</f>
        <v>8995</v>
      </c>
      <c r="O486" s="12">
        <f>N486-M486</f>
        <v>8545.25</v>
      </c>
      <c r="P486" s="2" t="s">
        <v>24</v>
      </c>
      <c r="Q486" s="2" t="s">
        <v>18</v>
      </c>
      <c r="R486" s="2">
        <v>60</v>
      </c>
      <c r="S486" s="20">
        <f>Table1[[#This Row],[Net_revenue]]/Table1[[#This Row],[Gross_revenue]]*100%</f>
        <v>0.95</v>
      </c>
      <c r="T486" s="18">
        <f>COUNTIFS(Table1[Customer ID], "&gt;1", Table1[Customer ID], 1)</f>
        <v>0</v>
      </c>
    </row>
    <row r="487" spans="1:20" hidden="1" x14ac:dyDescent="0.3">
      <c r="A487" s="2" t="s">
        <v>899</v>
      </c>
      <c r="B487" s="5">
        <v>45797</v>
      </c>
      <c r="C487" s="5" t="str">
        <f>TEXT(B487,"mmm")</f>
        <v>May</v>
      </c>
      <c r="D487" s="2" t="s">
        <v>900</v>
      </c>
      <c r="E487" s="2" t="s">
        <v>14</v>
      </c>
      <c r="F487" s="2" t="str" cm="1">
        <f t="array" ref="F4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87" s="2" t="str" cm="1">
        <f t="array" ref="G4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87" s="2" t="s">
        <v>33</v>
      </c>
      <c r="I487" s="2" t="s">
        <v>16</v>
      </c>
      <c r="J487" s="2">
        <v>3</v>
      </c>
      <c r="K487" s="8">
        <v>899</v>
      </c>
      <c r="L487" s="3">
        <v>0.25</v>
      </c>
      <c r="M487" s="12">
        <f>K487*L487</f>
        <v>224.75</v>
      </c>
      <c r="N487" s="12">
        <f>K487*J487</f>
        <v>2697</v>
      </c>
      <c r="O487" s="12">
        <f>N487-M487</f>
        <v>2472.25</v>
      </c>
      <c r="P487" s="2" t="s">
        <v>45</v>
      </c>
      <c r="Q487" s="2" t="s">
        <v>18</v>
      </c>
      <c r="R487" s="2">
        <v>80</v>
      </c>
      <c r="S487" s="20">
        <f>Table1[[#This Row],[Net_revenue]]/Table1[[#This Row],[Gross_revenue]]*100%</f>
        <v>0.91666666666666663</v>
      </c>
      <c r="T487" s="18">
        <f>COUNTIFS(Table1[Customer ID], "&gt;1", Table1[Customer ID], 1)</f>
        <v>0</v>
      </c>
    </row>
    <row r="488" spans="1:20" hidden="1" x14ac:dyDescent="0.3">
      <c r="A488" s="2" t="s">
        <v>901</v>
      </c>
      <c r="B488" s="5">
        <v>45927</v>
      </c>
      <c r="C488" s="5" t="str">
        <f>TEXT(B488,"mmm")</f>
        <v>Sep</v>
      </c>
      <c r="D488" s="2" t="s">
        <v>902</v>
      </c>
      <c r="E488" s="2" t="s">
        <v>75</v>
      </c>
      <c r="F488" s="2" t="str" cm="1">
        <f t="array" ref="F4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488" s="2" t="str" cm="1">
        <f t="array" ref="G4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8" s="2" t="s">
        <v>28</v>
      </c>
      <c r="I488" s="2" t="s">
        <v>29</v>
      </c>
      <c r="J488" s="2">
        <v>1</v>
      </c>
      <c r="K488" s="8">
        <v>2799</v>
      </c>
      <c r="L488" s="3">
        <v>0.1</v>
      </c>
      <c r="M488" s="12">
        <f>K488*L488</f>
        <v>279.90000000000003</v>
      </c>
      <c r="N488" s="12">
        <f>K488*J488</f>
        <v>2799</v>
      </c>
      <c r="O488" s="12">
        <f>N488-M488</f>
        <v>2519.1</v>
      </c>
      <c r="P488" s="2" t="s">
        <v>30</v>
      </c>
      <c r="Q488" s="2" t="s">
        <v>18</v>
      </c>
      <c r="R488" s="2">
        <v>60</v>
      </c>
      <c r="S488" s="20">
        <f>Table1[[#This Row],[Net_revenue]]/Table1[[#This Row],[Gross_revenue]]*100%</f>
        <v>0.9</v>
      </c>
      <c r="T488" s="18">
        <f>COUNTIFS(Table1[Customer ID], "&gt;1", Table1[Customer ID], 1)</f>
        <v>0</v>
      </c>
    </row>
    <row r="489" spans="1:20" hidden="1" x14ac:dyDescent="0.3">
      <c r="A489" s="2" t="s">
        <v>903</v>
      </c>
      <c r="B489" s="5">
        <v>45956</v>
      </c>
      <c r="C489" s="5" t="str">
        <f>TEXT(B489,"mmm")</f>
        <v>Oct</v>
      </c>
      <c r="D489" s="2" t="s">
        <v>904</v>
      </c>
      <c r="E489" s="2" t="s">
        <v>75</v>
      </c>
      <c r="F489" s="2" t="str" cm="1">
        <f t="array" ref="F4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489" s="2" t="str" cm="1">
        <f t="array" ref="G4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89" s="2" t="s">
        <v>107</v>
      </c>
      <c r="I489" s="2" t="s">
        <v>95</v>
      </c>
      <c r="J489" s="2">
        <v>2</v>
      </c>
      <c r="K489" s="8">
        <v>1599</v>
      </c>
      <c r="L489" s="3">
        <v>0.05</v>
      </c>
      <c r="M489" s="12">
        <f>K489*L489</f>
        <v>79.95</v>
      </c>
      <c r="N489" s="12">
        <f>K489*J489</f>
        <v>3198</v>
      </c>
      <c r="O489" s="12">
        <f>N489-M489</f>
        <v>3118.05</v>
      </c>
      <c r="P489" s="2" t="s">
        <v>45</v>
      </c>
      <c r="Q489" s="2" t="s">
        <v>72</v>
      </c>
      <c r="R489" s="2">
        <v>80</v>
      </c>
      <c r="S489" s="20">
        <f>Table1[[#This Row],[Net_revenue]]/Table1[[#This Row],[Gross_revenue]]*100%</f>
        <v>0.97500000000000009</v>
      </c>
      <c r="T489" s="18">
        <f>COUNTIFS(Table1[Customer ID], "&gt;1", Table1[Customer ID], 1)</f>
        <v>0</v>
      </c>
    </row>
    <row r="490" spans="1:20" hidden="1" x14ac:dyDescent="0.3">
      <c r="A490" s="2" t="s">
        <v>905</v>
      </c>
      <c r="B490" s="5">
        <v>45975</v>
      </c>
      <c r="C490" s="5" t="str">
        <f>TEXT(B490,"mmm")</f>
        <v>Nov</v>
      </c>
      <c r="D490" s="2" t="s">
        <v>906</v>
      </c>
      <c r="E490" s="2" t="s">
        <v>27</v>
      </c>
      <c r="F490" s="2" t="str" cm="1">
        <f t="array" ref="F4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490" s="2" t="str" cm="1">
        <f t="array" ref="G4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90" s="2" t="s">
        <v>121</v>
      </c>
      <c r="I490" s="2" t="s">
        <v>95</v>
      </c>
      <c r="J490" s="2">
        <v>1</v>
      </c>
      <c r="K490" s="8">
        <v>1299</v>
      </c>
      <c r="L490" s="3">
        <v>0</v>
      </c>
      <c r="M490" s="12">
        <f>K490*L490</f>
        <v>0</v>
      </c>
      <c r="N490" s="12">
        <f>K490*J490</f>
        <v>1299</v>
      </c>
      <c r="O490" s="12">
        <f>N490-M490</f>
        <v>1299</v>
      </c>
      <c r="P490" s="2" t="s">
        <v>17</v>
      </c>
      <c r="Q490" s="2" t="s">
        <v>18</v>
      </c>
      <c r="R490" s="2">
        <v>0</v>
      </c>
      <c r="S490" s="20">
        <f>Table1[[#This Row],[Net_revenue]]/Table1[[#This Row],[Gross_revenue]]*100%</f>
        <v>1</v>
      </c>
      <c r="T490" s="18">
        <f>COUNTIFS(Table1[Customer ID], "&gt;1", Table1[Customer ID], 1)</f>
        <v>0</v>
      </c>
    </row>
    <row r="491" spans="1:20" hidden="1" x14ac:dyDescent="0.3">
      <c r="A491" s="2" t="s">
        <v>907</v>
      </c>
      <c r="B491" s="5">
        <v>45925</v>
      </c>
      <c r="C491" s="5" t="str">
        <f>TEXT(B491,"mmm")</f>
        <v>Sep</v>
      </c>
      <c r="D491" s="2" t="s">
        <v>454</v>
      </c>
      <c r="E491" s="2" t="s">
        <v>56</v>
      </c>
      <c r="F491" s="2" t="str" cm="1">
        <f t="array" ref="F4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491" s="2" t="str" cm="1">
        <f t="array" ref="G4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91" s="2" t="s">
        <v>44</v>
      </c>
      <c r="I491" s="2" t="s">
        <v>16</v>
      </c>
      <c r="J491" s="2">
        <v>1</v>
      </c>
      <c r="K491" s="8">
        <v>1599</v>
      </c>
      <c r="L491" s="3">
        <v>0</v>
      </c>
      <c r="M491" s="12">
        <f>K491*L491</f>
        <v>0</v>
      </c>
      <c r="N491" s="12">
        <f>K491*J491</f>
        <v>1599</v>
      </c>
      <c r="O491" s="12">
        <f>N491-M491</f>
        <v>1599</v>
      </c>
      <c r="P491" s="2" t="s">
        <v>45</v>
      </c>
      <c r="Q491" s="2" t="s">
        <v>18</v>
      </c>
      <c r="R491" s="2">
        <v>80</v>
      </c>
      <c r="S491" s="20">
        <f>Table1[[#This Row],[Net_revenue]]/Table1[[#This Row],[Gross_revenue]]*100%</f>
        <v>1</v>
      </c>
      <c r="T491" s="18">
        <f>COUNTIFS(Table1[Customer ID], "&gt;1", Table1[Customer ID], 1)</f>
        <v>0</v>
      </c>
    </row>
    <row r="492" spans="1:20" hidden="1" x14ac:dyDescent="0.3">
      <c r="A492" s="2" t="s">
        <v>908</v>
      </c>
      <c r="B492" s="5">
        <v>45756</v>
      </c>
      <c r="C492" s="5" t="str">
        <f>TEXT(B492,"mmm")</f>
        <v>Apr</v>
      </c>
      <c r="D492" s="2" t="s">
        <v>699</v>
      </c>
      <c r="E492" s="2" t="s">
        <v>75</v>
      </c>
      <c r="F492" s="2" t="str" cm="1">
        <f t="array" ref="F4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492" s="2" t="str" cm="1">
        <f t="array" ref="G4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92" s="2" t="s">
        <v>41</v>
      </c>
      <c r="I492" s="2" t="s">
        <v>16</v>
      </c>
      <c r="J492" s="2">
        <v>1</v>
      </c>
      <c r="K492" s="8">
        <v>2299</v>
      </c>
      <c r="L492" s="3">
        <v>0.2</v>
      </c>
      <c r="M492" s="12">
        <f>K492*L492</f>
        <v>459.8</v>
      </c>
      <c r="N492" s="12">
        <f>K492*J492</f>
        <v>2299</v>
      </c>
      <c r="O492" s="12">
        <f>N492-M492</f>
        <v>1839.2</v>
      </c>
      <c r="P492" s="2" t="s">
        <v>17</v>
      </c>
      <c r="Q492" s="2" t="s">
        <v>18</v>
      </c>
      <c r="R492" s="2">
        <v>80</v>
      </c>
      <c r="S492" s="20">
        <f>Table1[[#This Row],[Net_revenue]]/Table1[[#This Row],[Gross_revenue]]*100%</f>
        <v>0.8</v>
      </c>
      <c r="T492" s="18">
        <f>COUNTIFS(Table1[Customer ID], "&gt;1", Table1[Customer ID], 1)</f>
        <v>0</v>
      </c>
    </row>
    <row r="493" spans="1:20" hidden="1" x14ac:dyDescent="0.3">
      <c r="A493" s="2" t="s">
        <v>909</v>
      </c>
      <c r="B493" s="5">
        <v>45971</v>
      </c>
      <c r="C493" s="5" t="str">
        <f>TEXT(B493,"mmm")</f>
        <v>Nov</v>
      </c>
      <c r="D493" s="2" t="s">
        <v>102</v>
      </c>
      <c r="E493" s="2" t="s">
        <v>48</v>
      </c>
      <c r="F493" s="2" t="str" cm="1">
        <f t="array" ref="F4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93" s="2" t="str" cm="1">
        <f t="array" ref="G4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93" s="2" t="s">
        <v>28</v>
      </c>
      <c r="I493" s="2" t="s">
        <v>29</v>
      </c>
      <c r="J493" s="2">
        <v>2</v>
      </c>
      <c r="K493" s="8">
        <v>2799</v>
      </c>
      <c r="L493" s="3">
        <v>0.1</v>
      </c>
      <c r="M493" s="12">
        <f>K493*L493</f>
        <v>279.90000000000003</v>
      </c>
      <c r="N493" s="12">
        <f>K493*J493</f>
        <v>5598</v>
      </c>
      <c r="O493" s="12">
        <f>N493-M493</f>
        <v>5318.1</v>
      </c>
      <c r="P493" s="2" t="s">
        <v>45</v>
      </c>
      <c r="Q493" s="2" t="s">
        <v>18</v>
      </c>
      <c r="R493" s="2">
        <v>40</v>
      </c>
      <c r="S493" s="20">
        <f>Table1[[#This Row],[Net_revenue]]/Table1[[#This Row],[Gross_revenue]]*100%</f>
        <v>0.95000000000000007</v>
      </c>
      <c r="T493" s="18">
        <f>COUNTIFS(Table1[Customer ID], "&gt;1", Table1[Customer ID], 1)</f>
        <v>0</v>
      </c>
    </row>
    <row r="494" spans="1:20" hidden="1" x14ac:dyDescent="0.3">
      <c r="A494" s="2" t="s">
        <v>910</v>
      </c>
      <c r="B494" s="5">
        <v>45929</v>
      </c>
      <c r="C494" s="5" t="str">
        <f>TEXT(B494,"mmm")</f>
        <v>Sep</v>
      </c>
      <c r="D494" s="2" t="s">
        <v>178</v>
      </c>
      <c r="E494" s="2" t="s">
        <v>40</v>
      </c>
      <c r="F494" s="2" t="str" cm="1">
        <f t="array" ref="F4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494" s="2" t="str" cm="1">
        <f t="array" ref="G4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494" s="2" t="s">
        <v>94</v>
      </c>
      <c r="I494" s="2" t="s">
        <v>95</v>
      </c>
      <c r="J494" s="2">
        <v>1</v>
      </c>
      <c r="K494" s="8">
        <v>399</v>
      </c>
      <c r="L494" s="3">
        <v>0.25</v>
      </c>
      <c r="M494" s="12">
        <f>K494*L494</f>
        <v>99.75</v>
      </c>
      <c r="N494" s="12">
        <f>K494*J494</f>
        <v>399</v>
      </c>
      <c r="O494" s="12">
        <f>N494-M494</f>
        <v>299.25</v>
      </c>
      <c r="P494" s="2" t="s">
        <v>45</v>
      </c>
      <c r="Q494" s="2" t="s">
        <v>18</v>
      </c>
      <c r="R494" s="2">
        <v>60</v>
      </c>
      <c r="S494" s="20">
        <f>Table1[[#This Row],[Net_revenue]]/Table1[[#This Row],[Gross_revenue]]*100%</f>
        <v>0.75</v>
      </c>
      <c r="T494" s="18">
        <f>COUNTIFS(Table1[Customer ID], "&gt;1", Table1[Customer ID], 1)</f>
        <v>0</v>
      </c>
    </row>
    <row r="495" spans="1:20" hidden="1" x14ac:dyDescent="0.3">
      <c r="A495" s="2" t="s">
        <v>911</v>
      </c>
      <c r="B495" s="5">
        <v>45878</v>
      </c>
      <c r="C495" s="5" t="str">
        <f>TEXT(B495,"mmm")</f>
        <v>Aug</v>
      </c>
      <c r="D495" s="2" t="s">
        <v>912</v>
      </c>
      <c r="E495" s="2" t="s">
        <v>14</v>
      </c>
      <c r="F495" s="2" t="str" cm="1">
        <f t="array" ref="F4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95" s="2" t="str" cm="1">
        <f t="array" ref="G4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95" s="2" t="s">
        <v>80</v>
      </c>
      <c r="I495" s="2" t="s">
        <v>23</v>
      </c>
      <c r="J495" s="2">
        <v>1</v>
      </c>
      <c r="K495" s="8">
        <v>799</v>
      </c>
      <c r="L495" s="3">
        <v>0.1</v>
      </c>
      <c r="M495" s="12">
        <f>K495*L495</f>
        <v>79.900000000000006</v>
      </c>
      <c r="N495" s="12">
        <f>K495*J495</f>
        <v>799</v>
      </c>
      <c r="O495" s="12">
        <f>N495-M495</f>
        <v>719.1</v>
      </c>
      <c r="P495" s="2" t="s">
        <v>30</v>
      </c>
      <c r="Q495" s="2" t="s">
        <v>18</v>
      </c>
      <c r="R495" s="2">
        <v>60</v>
      </c>
      <c r="S495" s="20">
        <f>Table1[[#This Row],[Net_revenue]]/Table1[[#This Row],[Gross_revenue]]*100%</f>
        <v>0.9</v>
      </c>
      <c r="T495" s="18">
        <f>COUNTIFS(Table1[Customer ID], "&gt;1", Table1[Customer ID], 1)</f>
        <v>0</v>
      </c>
    </row>
    <row r="496" spans="1:20" hidden="1" x14ac:dyDescent="0.3">
      <c r="A496" s="2" t="s">
        <v>913</v>
      </c>
      <c r="B496" s="5">
        <v>45670</v>
      </c>
      <c r="C496" s="5" t="str">
        <f>TEXT(B496,"mmm")</f>
        <v>Jan</v>
      </c>
      <c r="D496" s="2" t="s">
        <v>154</v>
      </c>
      <c r="E496" s="2" t="s">
        <v>21</v>
      </c>
      <c r="F496" s="2" t="str" cm="1">
        <f t="array" ref="F4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96" s="2" t="str" cm="1">
        <f t="array" ref="G4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96" s="2" t="s">
        <v>41</v>
      </c>
      <c r="I496" s="2" t="s">
        <v>16</v>
      </c>
      <c r="J496" s="2">
        <v>1</v>
      </c>
      <c r="K496" s="8">
        <v>2299</v>
      </c>
      <c r="L496" s="3">
        <v>0.15</v>
      </c>
      <c r="M496" s="12">
        <f>K496*L496</f>
        <v>344.84999999999997</v>
      </c>
      <c r="N496" s="12">
        <f>K496*J496</f>
        <v>2299</v>
      </c>
      <c r="O496" s="12">
        <f>N496-M496</f>
        <v>1954.15</v>
      </c>
      <c r="P496" s="2" t="s">
        <v>45</v>
      </c>
      <c r="Q496" s="2" t="s">
        <v>18</v>
      </c>
      <c r="R496" s="2">
        <v>40</v>
      </c>
      <c r="S496" s="20">
        <f>Table1[[#This Row],[Net_revenue]]/Table1[[#This Row],[Gross_revenue]]*100%</f>
        <v>0.85000000000000009</v>
      </c>
      <c r="T496" s="18">
        <f>COUNTIFS(Table1[Customer ID], "&gt;1", Table1[Customer ID], 1)</f>
        <v>0</v>
      </c>
    </row>
    <row r="497" spans="1:20" hidden="1" x14ac:dyDescent="0.3">
      <c r="A497" s="2" t="s">
        <v>914</v>
      </c>
      <c r="B497" s="5">
        <v>45840</v>
      </c>
      <c r="C497" s="5" t="str">
        <f>TEXT(B497,"mmm")</f>
        <v>Jul</v>
      </c>
      <c r="D497" s="2" t="s">
        <v>341</v>
      </c>
      <c r="E497" s="2" t="s">
        <v>14</v>
      </c>
      <c r="F497" s="2" t="str" cm="1">
        <f t="array" ref="F4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497" s="2" t="str" cm="1">
        <f t="array" ref="G4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497" s="2" t="s">
        <v>183</v>
      </c>
      <c r="I497" s="2" t="s">
        <v>37</v>
      </c>
      <c r="J497" s="2">
        <v>1</v>
      </c>
      <c r="K497" s="8">
        <v>499</v>
      </c>
      <c r="L497" s="3">
        <v>0</v>
      </c>
      <c r="M497" s="12">
        <f>K497*L497</f>
        <v>0</v>
      </c>
      <c r="N497" s="12">
        <f>K497*J497</f>
        <v>499</v>
      </c>
      <c r="O497" s="12">
        <f>N497-M497</f>
        <v>499</v>
      </c>
      <c r="P497" s="2" t="s">
        <v>17</v>
      </c>
      <c r="Q497" s="2" t="s">
        <v>18</v>
      </c>
      <c r="R497" s="2">
        <v>40</v>
      </c>
      <c r="S497" s="20">
        <f>Table1[[#This Row],[Net_revenue]]/Table1[[#This Row],[Gross_revenue]]*100%</f>
        <v>1</v>
      </c>
      <c r="T497" s="18">
        <f>COUNTIFS(Table1[Customer ID], "&gt;1", Table1[Customer ID], 1)</f>
        <v>0</v>
      </c>
    </row>
    <row r="498" spans="1:20" hidden="1" x14ac:dyDescent="0.3">
      <c r="A498" s="2" t="s">
        <v>915</v>
      </c>
      <c r="B498" s="5">
        <v>45699</v>
      </c>
      <c r="C498" s="5" t="str">
        <f>TEXT(B498,"mmm")</f>
        <v>Feb</v>
      </c>
      <c r="D498" s="2" t="s">
        <v>67</v>
      </c>
      <c r="E498" s="2" t="s">
        <v>21</v>
      </c>
      <c r="F498" s="2" t="str" cm="1">
        <f t="array" ref="F4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498" s="2" t="str" cm="1">
        <f t="array" ref="G4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498" s="2" t="s">
        <v>15</v>
      </c>
      <c r="I498" s="2" t="s">
        <v>16</v>
      </c>
      <c r="J498" s="2">
        <v>1</v>
      </c>
      <c r="K498" s="8">
        <v>1799</v>
      </c>
      <c r="L498" s="3">
        <v>0.2</v>
      </c>
      <c r="M498" s="12">
        <f>K498*L498</f>
        <v>359.8</v>
      </c>
      <c r="N498" s="12">
        <f>K498*J498</f>
        <v>1799</v>
      </c>
      <c r="O498" s="12">
        <f>N498-M498</f>
        <v>1439.2</v>
      </c>
      <c r="P498" s="2" t="s">
        <v>30</v>
      </c>
      <c r="Q498" s="2" t="s">
        <v>18</v>
      </c>
      <c r="R498" s="2">
        <v>0</v>
      </c>
      <c r="S498" s="20">
        <f>Table1[[#This Row],[Net_revenue]]/Table1[[#This Row],[Gross_revenue]]*100%</f>
        <v>0.8</v>
      </c>
      <c r="T498" s="18">
        <f>COUNTIFS(Table1[Customer ID], "&gt;1", Table1[Customer ID], 1)</f>
        <v>0</v>
      </c>
    </row>
    <row r="499" spans="1:20" hidden="1" x14ac:dyDescent="0.3">
      <c r="A499" s="2" t="s">
        <v>916</v>
      </c>
      <c r="B499" s="5">
        <v>45873</v>
      </c>
      <c r="C499" s="5" t="str">
        <f>TEXT(B499,"mmm")</f>
        <v>Aug</v>
      </c>
      <c r="D499" s="2" t="s">
        <v>496</v>
      </c>
      <c r="E499" s="2" t="s">
        <v>48</v>
      </c>
      <c r="F499" s="2" t="str" cm="1">
        <f t="array" ref="F4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499" s="2" t="str" cm="1">
        <f t="array" ref="G4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499" s="2" t="s">
        <v>49</v>
      </c>
      <c r="I499" s="2" t="s">
        <v>23</v>
      </c>
      <c r="J499" s="2">
        <v>1</v>
      </c>
      <c r="K499" s="8">
        <v>1299</v>
      </c>
      <c r="L499" s="3">
        <v>0.1</v>
      </c>
      <c r="M499" s="12">
        <f>K499*L499</f>
        <v>129.9</v>
      </c>
      <c r="N499" s="12">
        <f>K499*J499</f>
        <v>1299</v>
      </c>
      <c r="O499" s="12">
        <f>N499-M499</f>
        <v>1169.0999999999999</v>
      </c>
      <c r="P499" s="2" t="s">
        <v>45</v>
      </c>
      <c r="Q499" s="2" t="s">
        <v>18</v>
      </c>
      <c r="R499" s="2">
        <v>40</v>
      </c>
      <c r="S499" s="20">
        <f>Table1[[#This Row],[Net_revenue]]/Table1[[#This Row],[Gross_revenue]]*100%</f>
        <v>0.89999999999999991</v>
      </c>
      <c r="T499" s="18">
        <f>COUNTIFS(Table1[Customer ID], "&gt;1", Table1[Customer ID], 1)</f>
        <v>0</v>
      </c>
    </row>
    <row r="500" spans="1:20" hidden="1" x14ac:dyDescent="0.3">
      <c r="A500" s="2" t="s">
        <v>917</v>
      </c>
      <c r="B500" s="5">
        <v>45664</v>
      </c>
      <c r="C500" s="5" t="str">
        <f>TEXT(B500,"mmm")</f>
        <v>Jan</v>
      </c>
      <c r="D500" s="2" t="s">
        <v>918</v>
      </c>
      <c r="E500" s="2" t="s">
        <v>27</v>
      </c>
      <c r="F500" s="2" t="str" cm="1">
        <f t="array" ref="F5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00" s="2" t="str" cm="1">
        <f t="array" ref="G5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00" s="2" t="s">
        <v>41</v>
      </c>
      <c r="I500" s="2" t="s">
        <v>16</v>
      </c>
      <c r="J500" s="2">
        <v>3</v>
      </c>
      <c r="K500" s="8">
        <v>2299</v>
      </c>
      <c r="L500" s="3">
        <v>0.25</v>
      </c>
      <c r="M500" s="12">
        <f>K500*L500</f>
        <v>574.75</v>
      </c>
      <c r="N500" s="12">
        <f>K500*J500</f>
        <v>6897</v>
      </c>
      <c r="O500" s="12">
        <f>N500-M500</f>
        <v>6322.25</v>
      </c>
      <c r="P500" s="2" t="s">
        <v>45</v>
      </c>
      <c r="Q500" s="2" t="s">
        <v>50</v>
      </c>
      <c r="R500" s="2">
        <v>80</v>
      </c>
      <c r="S500" s="20">
        <f>Table1[[#This Row],[Net_revenue]]/Table1[[#This Row],[Gross_revenue]]*100%</f>
        <v>0.91666666666666663</v>
      </c>
      <c r="T500" s="18">
        <f>COUNTIFS(Table1[Customer ID], "&gt;1", Table1[Customer ID], 1)</f>
        <v>0</v>
      </c>
    </row>
    <row r="501" spans="1:20" hidden="1" x14ac:dyDescent="0.3">
      <c r="A501" s="2" t="s">
        <v>919</v>
      </c>
      <c r="B501" s="5">
        <v>45731</v>
      </c>
      <c r="C501" s="5" t="str">
        <f>TEXT(B501,"mmm")</f>
        <v>Mar</v>
      </c>
      <c r="D501" s="2" t="s">
        <v>426</v>
      </c>
      <c r="E501" s="2" t="s">
        <v>21</v>
      </c>
      <c r="F501" s="2" t="str" cm="1">
        <f t="array" ref="F5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01" s="2" t="str" cm="1">
        <f t="array" ref="G5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01" s="2" t="s">
        <v>49</v>
      </c>
      <c r="I501" s="2" t="s">
        <v>23</v>
      </c>
      <c r="J501" s="2">
        <v>2</v>
      </c>
      <c r="K501" s="8">
        <v>1299</v>
      </c>
      <c r="L501" s="3">
        <v>0</v>
      </c>
      <c r="M501" s="12">
        <f>K501*L501</f>
        <v>0</v>
      </c>
      <c r="N501" s="12">
        <f>K501*J501</f>
        <v>2598</v>
      </c>
      <c r="O501" s="12">
        <f>N501-M501</f>
        <v>2598</v>
      </c>
      <c r="P501" s="2" t="s">
        <v>17</v>
      </c>
      <c r="Q501" s="2" t="s">
        <v>18</v>
      </c>
      <c r="R501" s="2">
        <v>40</v>
      </c>
      <c r="S501" s="20">
        <f>Table1[[#This Row],[Net_revenue]]/Table1[[#This Row],[Gross_revenue]]*100%</f>
        <v>1</v>
      </c>
      <c r="T501" s="18">
        <f>COUNTIFS(Table1[Customer ID], "&gt;1", Table1[Customer ID], 1)</f>
        <v>0</v>
      </c>
    </row>
    <row r="502" spans="1:20" hidden="1" x14ac:dyDescent="0.3">
      <c r="A502" s="2" t="s">
        <v>920</v>
      </c>
      <c r="B502" s="5">
        <v>45859</v>
      </c>
      <c r="C502" s="5" t="str">
        <f>TEXT(B502,"mmm")</f>
        <v>Jul</v>
      </c>
      <c r="D502" s="2" t="s">
        <v>668</v>
      </c>
      <c r="E502" s="2" t="s">
        <v>21</v>
      </c>
      <c r="F502" s="2" t="str" cm="1">
        <f t="array" ref="F5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02" s="2" t="str" cm="1">
        <f t="array" ref="G5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02" s="2" t="s">
        <v>41</v>
      </c>
      <c r="I502" s="2" t="s">
        <v>16</v>
      </c>
      <c r="J502" s="2">
        <v>1</v>
      </c>
      <c r="K502" s="8">
        <v>2299</v>
      </c>
      <c r="L502" s="3">
        <v>0</v>
      </c>
      <c r="M502" s="12">
        <f>K502*L502</f>
        <v>0</v>
      </c>
      <c r="N502" s="12">
        <f>K502*J502</f>
        <v>2299</v>
      </c>
      <c r="O502" s="12">
        <f>N502-M502</f>
        <v>2299</v>
      </c>
      <c r="P502" s="2" t="s">
        <v>45</v>
      </c>
      <c r="Q502" s="2" t="s">
        <v>18</v>
      </c>
      <c r="R502" s="2">
        <v>0</v>
      </c>
      <c r="S502" s="20">
        <f>Table1[[#This Row],[Net_revenue]]/Table1[[#This Row],[Gross_revenue]]*100%</f>
        <v>1</v>
      </c>
      <c r="T502" s="18">
        <f>COUNTIFS(Table1[Customer ID], "&gt;1", Table1[Customer ID], 1)</f>
        <v>0</v>
      </c>
    </row>
    <row r="503" spans="1:20" hidden="1" x14ac:dyDescent="0.3">
      <c r="A503" s="2" t="s">
        <v>921</v>
      </c>
      <c r="B503" s="5">
        <v>45771</v>
      </c>
      <c r="C503" s="5" t="str">
        <f>TEXT(B503,"mmm")</f>
        <v>Apr</v>
      </c>
      <c r="D503" s="2" t="s">
        <v>592</v>
      </c>
      <c r="E503" s="2" t="s">
        <v>53</v>
      </c>
      <c r="F503" s="2" t="str" cm="1">
        <f t="array" ref="F5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503" s="2" t="str" cm="1">
        <f t="array" ref="G5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03" s="2" t="s">
        <v>49</v>
      </c>
      <c r="I503" s="2" t="s">
        <v>23</v>
      </c>
      <c r="J503" s="2">
        <v>4</v>
      </c>
      <c r="K503" s="8">
        <v>1299</v>
      </c>
      <c r="L503" s="3">
        <v>0.2</v>
      </c>
      <c r="M503" s="12">
        <f>K503*L503</f>
        <v>259.8</v>
      </c>
      <c r="N503" s="12">
        <f>K503*J503</f>
        <v>5196</v>
      </c>
      <c r="O503" s="12">
        <f>N503-M503</f>
        <v>4936.2</v>
      </c>
      <c r="P503" s="2" t="s">
        <v>45</v>
      </c>
      <c r="Q503" s="2" t="s">
        <v>18</v>
      </c>
      <c r="R503" s="2">
        <v>40</v>
      </c>
      <c r="S503" s="20">
        <f>Table1[[#This Row],[Net_revenue]]/Table1[[#This Row],[Gross_revenue]]*100%</f>
        <v>0.95</v>
      </c>
      <c r="T503" s="18">
        <f>COUNTIFS(Table1[Customer ID], "&gt;1", Table1[Customer ID], 1)</f>
        <v>0</v>
      </c>
    </row>
    <row r="504" spans="1:20" hidden="1" x14ac:dyDescent="0.3">
      <c r="A504" s="2" t="s">
        <v>922</v>
      </c>
      <c r="B504" s="5">
        <v>45985</v>
      </c>
      <c r="C504" s="5" t="str">
        <f>TEXT(B504,"mmm")</f>
        <v>Nov</v>
      </c>
      <c r="D504" s="2" t="s">
        <v>923</v>
      </c>
      <c r="E504" s="2" t="s">
        <v>21</v>
      </c>
      <c r="F504" s="2" t="str" cm="1">
        <f t="array" ref="F5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04" s="2" t="str" cm="1">
        <f t="array" ref="G5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04" s="2" t="s">
        <v>107</v>
      </c>
      <c r="I504" s="2" t="s">
        <v>95</v>
      </c>
      <c r="J504" s="2">
        <v>1</v>
      </c>
      <c r="K504" s="8">
        <v>1599</v>
      </c>
      <c r="L504" s="3">
        <v>0.1</v>
      </c>
      <c r="M504" s="12">
        <f>K504*L504</f>
        <v>159.9</v>
      </c>
      <c r="N504" s="12">
        <f>K504*J504</f>
        <v>1599</v>
      </c>
      <c r="O504" s="12">
        <f>N504-M504</f>
        <v>1439.1</v>
      </c>
      <c r="P504" s="2" t="s">
        <v>17</v>
      </c>
      <c r="Q504" s="2" t="s">
        <v>18</v>
      </c>
      <c r="R504" s="2">
        <v>60</v>
      </c>
      <c r="S504" s="20">
        <f>Table1[[#This Row],[Net_revenue]]/Table1[[#This Row],[Gross_revenue]]*100%</f>
        <v>0.89999999999999991</v>
      </c>
      <c r="T504" s="18">
        <f>COUNTIFS(Table1[Customer ID], "&gt;1", Table1[Customer ID], 1)</f>
        <v>0</v>
      </c>
    </row>
    <row r="505" spans="1:20" hidden="1" x14ac:dyDescent="0.3">
      <c r="A505" s="2" t="s">
        <v>924</v>
      </c>
      <c r="B505" s="5">
        <v>45816</v>
      </c>
      <c r="C505" s="5" t="str">
        <f>TEXT(B505,"mmm")</f>
        <v>Jun</v>
      </c>
      <c r="D505" s="2" t="s">
        <v>405</v>
      </c>
      <c r="E505" s="2" t="s">
        <v>48</v>
      </c>
      <c r="F505" s="2" t="str" cm="1">
        <f t="array" ref="F5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05" s="2" t="str" cm="1">
        <f t="array" ref="G5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05" s="2" t="s">
        <v>121</v>
      </c>
      <c r="I505" s="2" t="s">
        <v>95</v>
      </c>
      <c r="J505" s="2">
        <v>2</v>
      </c>
      <c r="K505" s="8">
        <v>1299</v>
      </c>
      <c r="L505" s="3">
        <v>0.1</v>
      </c>
      <c r="M505" s="12">
        <f>K505*L505</f>
        <v>129.9</v>
      </c>
      <c r="N505" s="12">
        <f>K505*J505</f>
        <v>2598</v>
      </c>
      <c r="O505" s="12">
        <f>N505-M505</f>
        <v>2468.1</v>
      </c>
      <c r="P505" s="2" t="s">
        <v>45</v>
      </c>
      <c r="Q505" s="2" t="s">
        <v>18</v>
      </c>
      <c r="R505" s="2">
        <v>60</v>
      </c>
      <c r="S505" s="20">
        <f>Table1[[#This Row],[Net_revenue]]/Table1[[#This Row],[Gross_revenue]]*100%</f>
        <v>0.95</v>
      </c>
      <c r="T505" s="18">
        <f>COUNTIFS(Table1[Customer ID], "&gt;1", Table1[Customer ID], 1)</f>
        <v>0</v>
      </c>
    </row>
    <row r="506" spans="1:20" hidden="1" x14ac:dyDescent="0.3">
      <c r="A506" s="2" t="s">
        <v>925</v>
      </c>
      <c r="B506" s="5">
        <v>45989</v>
      </c>
      <c r="C506" s="5" t="str">
        <f>TEXT(B506,"mmm")</f>
        <v>Nov</v>
      </c>
      <c r="D506" s="2" t="s">
        <v>926</v>
      </c>
      <c r="E506" s="2" t="s">
        <v>56</v>
      </c>
      <c r="F506" s="2" t="str" cm="1">
        <f t="array" ref="F5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06" s="2" t="str" cm="1">
        <f t="array" ref="G5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06" s="2" t="s">
        <v>68</v>
      </c>
      <c r="I506" s="2" t="s">
        <v>16</v>
      </c>
      <c r="J506" s="2">
        <v>1</v>
      </c>
      <c r="K506" s="8">
        <v>599</v>
      </c>
      <c r="L506" s="3">
        <v>0.1</v>
      </c>
      <c r="M506" s="12">
        <f>K506*L506</f>
        <v>59.900000000000006</v>
      </c>
      <c r="N506" s="12">
        <f>K506*J506</f>
        <v>599</v>
      </c>
      <c r="O506" s="12">
        <f>N506-M506</f>
        <v>539.1</v>
      </c>
      <c r="P506" s="2" t="s">
        <v>45</v>
      </c>
      <c r="Q506" s="2" t="s">
        <v>18</v>
      </c>
      <c r="R506" s="2">
        <v>80</v>
      </c>
      <c r="S506" s="20">
        <f>Table1[[#This Row],[Net_revenue]]/Table1[[#This Row],[Gross_revenue]]*100%</f>
        <v>0.9</v>
      </c>
      <c r="T506" s="18">
        <f>COUNTIFS(Table1[Customer ID], "&gt;1", Table1[Customer ID], 1)</f>
        <v>0</v>
      </c>
    </row>
    <row r="507" spans="1:20" hidden="1" x14ac:dyDescent="0.3">
      <c r="A507" s="2" t="s">
        <v>927</v>
      </c>
      <c r="B507" s="5">
        <v>45692</v>
      </c>
      <c r="C507" s="5" t="str">
        <f>TEXT(B507,"mmm")</f>
        <v>Feb</v>
      </c>
      <c r="D507" s="2" t="s">
        <v>125</v>
      </c>
      <c r="E507" s="2" t="s">
        <v>48</v>
      </c>
      <c r="F507" s="2" t="str" cm="1">
        <f t="array" ref="F5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07" s="2" t="str" cm="1">
        <f t="array" ref="G5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07" s="2" t="s">
        <v>41</v>
      </c>
      <c r="I507" s="2" t="s">
        <v>16</v>
      </c>
      <c r="J507" s="2">
        <v>1</v>
      </c>
      <c r="K507" s="8">
        <v>2299</v>
      </c>
      <c r="L507" s="3">
        <v>0.1</v>
      </c>
      <c r="M507" s="12">
        <f>K507*L507</f>
        <v>229.9</v>
      </c>
      <c r="N507" s="12">
        <f>K507*J507</f>
        <v>2299</v>
      </c>
      <c r="O507" s="12">
        <f>N507-M507</f>
        <v>2069.1</v>
      </c>
      <c r="P507" s="2" t="s">
        <v>45</v>
      </c>
      <c r="Q507" s="2" t="s">
        <v>50</v>
      </c>
      <c r="R507" s="2">
        <v>80</v>
      </c>
      <c r="S507" s="20">
        <f>Table1[[#This Row],[Net_revenue]]/Table1[[#This Row],[Gross_revenue]]*100%</f>
        <v>0.89999999999999991</v>
      </c>
      <c r="T507" s="18">
        <f>COUNTIFS(Table1[Customer ID], "&gt;1", Table1[Customer ID], 1)</f>
        <v>0</v>
      </c>
    </row>
    <row r="508" spans="1:20" hidden="1" x14ac:dyDescent="0.3">
      <c r="A508" s="2" t="s">
        <v>928</v>
      </c>
      <c r="B508" s="5">
        <v>45890</v>
      </c>
      <c r="C508" s="5" t="str">
        <f>TEXT(B508,"mmm")</f>
        <v>Aug</v>
      </c>
      <c r="D508" s="2" t="s">
        <v>695</v>
      </c>
      <c r="E508" s="2" t="s">
        <v>48</v>
      </c>
      <c r="F508" s="2" t="str" cm="1">
        <f t="array" ref="F5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08" s="2" t="str" cm="1">
        <f t="array" ref="G5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08" s="2" t="s">
        <v>94</v>
      </c>
      <c r="I508" s="2" t="s">
        <v>95</v>
      </c>
      <c r="J508" s="2">
        <v>3</v>
      </c>
      <c r="K508" s="8">
        <v>399</v>
      </c>
      <c r="L508" s="3">
        <v>0.15</v>
      </c>
      <c r="M508" s="12">
        <f>K508*L508</f>
        <v>59.849999999999994</v>
      </c>
      <c r="N508" s="12">
        <f>K508*J508</f>
        <v>1197</v>
      </c>
      <c r="O508" s="12">
        <f>N508-M508</f>
        <v>1137.1500000000001</v>
      </c>
      <c r="P508" s="2" t="s">
        <v>30</v>
      </c>
      <c r="Q508" s="2" t="s">
        <v>18</v>
      </c>
      <c r="R508" s="2">
        <v>60</v>
      </c>
      <c r="S508" s="20">
        <f>Table1[[#This Row],[Net_revenue]]/Table1[[#This Row],[Gross_revenue]]*100%</f>
        <v>0.95000000000000007</v>
      </c>
      <c r="T508" s="18">
        <f>COUNTIFS(Table1[Customer ID], "&gt;1", Table1[Customer ID], 1)</f>
        <v>0</v>
      </c>
    </row>
    <row r="509" spans="1:20" hidden="1" x14ac:dyDescent="0.3">
      <c r="A509" s="2" t="s">
        <v>929</v>
      </c>
      <c r="B509" s="5">
        <v>45876</v>
      </c>
      <c r="C509" s="5" t="str">
        <f>TEXT(B509,"mmm")</f>
        <v>Aug</v>
      </c>
      <c r="D509" s="2" t="s">
        <v>930</v>
      </c>
      <c r="E509" s="2" t="s">
        <v>56</v>
      </c>
      <c r="F509" s="2" t="str" cm="1">
        <f t="array" ref="F5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09" s="2" t="str" cm="1">
        <f t="array" ref="G5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09" s="2" t="s">
        <v>94</v>
      </c>
      <c r="I509" s="2" t="s">
        <v>95</v>
      </c>
      <c r="J509" s="2">
        <v>1</v>
      </c>
      <c r="K509" s="8">
        <v>399</v>
      </c>
      <c r="L509" s="3">
        <v>0</v>
      </c>
      <c r="M509" s="12">
        <f>K509*L509</f>
        <v>0</v>
      </c>
      <c r="N509" s="12">
        <f>K509*J509</f>
        <v>399</v>
      </c>
      <c r="O509" s="12">
        <f>N509-M509</f>
        <v>399</v>
      </c>
      <c r="P509" s="2" t="s">
        <v>30</v>
      </c>
      <c r="Q509" s="2" t="s">
        <v>50</v>
      </c>
      <c r="R509" s="2">
        <v>0</v>
      </c>
      <c r="S509" s="20">
        <f>Table1[[#This Row],[Net_revenue]]/Table1[[#This Row],[Gross_revenue]]*100%</f>
        <v>1</v>
      </c>
      <c r="T509" s="18">
        <f>COUNTIFS(Table1[Customer ID], "&gt;1", Table1[Customer ID], 1)</f>
        <v>0</v>
      </c>
    </row>
    <row r="510" spans="1:20" hidden="1" x14ac:dyDescent="0.3">
      <c r="A510" s="2" t="s">
        <v>931</v>
      </c>
      <c r="B510" s="5">
        <v>45663</v>
      </c>
      <c r="C510" s="5" t="str">
        <f>TEXT(B510,"mmm")</f>
        <v>Jan</v>
      </c>
      <c r="D510" s="2" t="s">
        <v>249</v>
      </c>
      <c r="E510" s="2" t="s">
        <v>75</v>
      </c>
      <c r="F510" s="2" t="str" cm="1">
        <f t="array" ref="F5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10" s="2" t="str" cm="1">
        <f t="array" ref="G5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10" s="2" t="s">
        <v>89</v>
      </c>
      <c r="I510" s="2" t="s">
        <v>29</v>
      </c>
      <c r="J510" s="2">
        <v>3</v>
      </c>
      <c r="K510" s="8">
        <v>449</v>
      </c>
      <c r="L510" s="3">
        <v>0.25</v>
      </c>
      <c r="M510" s="12">
        <f>K510*L510</f>
        <v>112.25</v>
      </c>
      <c r="N510" s="12">
        <f>K510*J510</f>
        <v>1347</v>
      </c>
      <c r="O510" s="12">
        <f>N510-M510</f>
        <v>1234.75</v>
      </c>
      <c r="P510" s="2" t="s">
        <v>17</v>
      </c>
      <c r="Q510" s="2" t="s">
        <v>18</v>
      </c>
      <c r="R510" s="2">
        <v>60</v>
      </c>
      <c r="S510" s="20">
        <f>Table1[[#This Row],[Net_revenue]]/Table1[[#This Row],[Gross_revenue]]*100%</f>
        <v>0.91666666666666663</v>
      </c>
      <c r="T510" s="18">
        <f>COUNTIFS(Table1[Customer ID], "&gt;1", Table1[Customer ID], 1)</f>
        <v>0</v>
      </c>
    </row>
    <row r="511" spans="1:20" hidden="1" x14ac:dyDescent="0.3">
      <c r="A511" s="2" t="s">
        <v>932</v>
      </c>
      <c r="B511" s="5">
        <v>45779</v>
      </c>
      <c r="C511" s="5" t="str">
        <f>TEXT(B511,"mmm")</f>
        <v>May</v>
      </c>
      <c r="D511" s="2" t="s">
        <v>597</v>
      </c>
      <c r="E511" s="2" t="s">
        <v>120</v>
      </c>
      <c r="F511" s="2" t="str" cm="1">
        <f t="array" ref="F5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11" s="2" t="str" cm="1">
        <f t="array" ref="G5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11" s="2" t="s">
        <v>98</v>
      </c>
      <c r="I511" s="2" t="s">
        <v>37</v>
      </c>
      <c r="J511" s="2">
        <v>1</v>
      </c>
      <c r="K511" s="8">
        <v>299</v>
      </c>
      <c r="L511" s="3">
        <v>0.1</v>
      </c>
      <c r="M511" s="12">
        <f>K511*L511</f>
        <v>29.900000000000002</v>
      </c>
      <c r="N511" s="12">
        <f>K511*J511</f>
        <v>299</v>
      </c>
      <c r="O511" s="12">
        <f>N511-M511</f>
        <v>269.10000000000002</v>
      </c>
      <c r="P511" s="2" t="s">
        <v>17</v>
      </c>
      <c r="Q511" s="2" t="s">
        <v>18</v>
      </c>
      <c r="R511" s="2">
        <v>0</v>
      </c>
      <c r="S511" s="20">
        <f>Table1[[#This Row],[Net_revenue]]/Table1[[#This Row],[Gross_revenue]]*100%</f>
        <v>0.9</v>
      </c>
      <c r="T511" s="18">
        <f>COUNTIFS(Table1[Customer ID], "&gt;1", Table1[Customer ID], 1)</f>
        <v>0</v>
      </c>
    </row>
    <row r="512" spans="1:20" hidden="1" x14ac:dyDescent="0.3">
      <c r="A512" s="2" t="s">
        <v>933</v>
      </c>
      <c r="B512" s="5">
        <v>45975</v>
      </c>
      <c r="C512" s="5" t="str">
        <f>TEXT(B512,"mmm")</f>
        <v>Nov</v>
      </c>
      <c r="D512" s="2" t="s">
        <v>934</v>
      </c>
      <c r="E512" s="2" t="s">
        <v>75</v>
      </c>
      <c r="F512" s="2" t="str" cm="1">
        <f t="array" ref="F5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12" s="2" t="str" cm="1">
        <f t="array" ref="G5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12" s="2" t="s">
        <v>63</v>
      </c>
      <c r="I512" s="2" t="s">
        <v>23</v>
      </c>
      <c r="J512" s="2">
        <v>2</v>
      </c>
      <c r="K512" s="8">
        <v>2499</v>
      </c>
      <c r="L512" s="3">
        <v>0.25</v>
      </c>
      <c r="M512" s="12">
        <f>K512*L512</f>
        <v>624.75</v>
      </c>
      <c r="N512" s="12">
        <f>K512*J512</f>
        <v>4998</v>
      </c>
      <c r="O512" s="12">
        <f>N512-M512</f>
        <v>4373.25</v>
      </c>
      <c r="P512" s="2" t="s">
        <v>45</v>
      </c>
      <c r="Q512" s="2" t="s">
        <v>18</v>
      </c>
      <c r="R512" s="2">
        <v>60</v>
      </c>
      <c r="S512" s="20">
        <f>Table1[[#This Row],[Net_revenue]]/Table1[[#This Row],[Gross_revenue]]*100%</f>
        <v>0.875</v>
      </c>
      <c r="T512" s="18">
        <f>COUNTIFS(Table1[Customer ID], "&gt;1", Table1[Customer ID], 1)</f>
        <v>0</v>
      </c>
    </row>
    <row r="513" spans="1:20" hidden="1" x14ac:dyDescent="0.3">
      <c r="A513" s="2" t="s">
        <v>935</v>
      </c>
      <c r="B513" s="5">
        <v>45884</v>
      </c>
      <c r="C513" s="5" t="str">
        <f>TEXT(B513,"mmm")</f>
        <v>Aug</v>
      </c>
      <c r="D513" s="2" t="s">
        <v>936</v>
      </c>
      <c r="E513" s="2" t="s">
        <v>40</v>
      </c>
      <c r="F513" s="2" t="str" cm="1">
        <f t="array" ref="F5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13" s="2" t="str" cm="1">
        <f t="array" ref="G5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13" s="2" t="s">
        <v>65</v>
      </c>
      <c r="I513" s="2" t="s">
        <v>23</v>
      </c>
      <c r="J513" s="2">
        <v>1</v>
      </c>
      <c r="K513" s="8">
        <v>1899</v>
      </c>
      <c r="L513" s="3">
        <v>0.05</v>
      </c>
      <c r="M513" s="12">
        <f>K513*L513</f>
        <v>94.95</v>
      </c>
      <c r="N513" s="12">
        <f>K513*J513</f>
        <v>1899</v>
      </c>
      <c r="O513" s="12">
        <f>N513-M513</f>
        <v>1804.05</v>
      </c>
      <c r="P513" s="2" t="s">
        <v>30</v>
      </c>
      <c r="Q513" s="2" t="s">
        <v>18</v>
      </c>
      <c r="R513" s="2">
        <v>80</v>
      </c>
      <c r="S513" s="20">
        <f>Table1[[#This Row],[Net_revenue]]/Table1[[#This Row],[Gross_revenue]]*100%</f>
        <v>0.95</v>
      </c>
      <c r="T513" s="18">
        <f>COUNTIFS(Table1[Customer ID], "&gt;1", Table1[Customer ID], 1)</f>
        <v>0</v>
      </c>
    </row>
    <row r="514" spans="1:20" hidden="1" x14ac:dyDescent="0.3">
      <c r="A514" s="2" t="s">
        <v>937</v>
      </c>
      <c r="B514" s="5">
        <v>45766</v>
      </c>
      <c r="C514" s="5" t="str">
        <f>TEXT(B514,"mmm")</f>
        <v>Apr</v>
      </c>
      <c r="D514" s="2" t="s">
        <v>574</v>
      </c>
      <c r="E514" s="2" t="s">
        <v>27</v>
      </c>
      <c r="F514" s="2" t="str" cm="1">
        <f t="array" ref="F5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14" s="2" t="str" cm="1">
        <f t="array" ref="G5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14" s="2" t="s">
        <v>188</v>
      </c>
      <c r="I514" s="2" t="s">
        <v>95</v>
      </c>
      <c r="J514" s="2">
        <v>1</v>
      </c>
      <c r="K514" s="8">
        <v>699</v>
      </c>
      <c r="L514" s="3">
        <v>0</v>
      </c>
      <c r="M514" s="12">
        <f>K514*L514</f>
        <v>0</v>
      </c>
      <c r="N514" s="12">
        <f>K514*J514</f>
        <v>699</v>
      </c>
      <c r="O514" s="12">
        <f>N514-M514</f>
        <v>699</v>
      </c>
      <c r="P514" s="2" t="s">
        <v>30</v>
      </c>
      <c r="Q514" s="2" t="s">
        <v>18</v>
      </c>
      <c r="R514" s="2">
        <v>40</v>
      </c>
      <c r="S514" s="20">
        <f>Table1[[#This Row],[Net_revenue]]/Table1[[#This Row],[Gross_revenue]]*100%</f>
        <v>1</v>
      </c>
      <c r="T514" s="18">
        <f>COUNTIFS(Table1[Customer ID], "&gt;1", Table1[Customer ID], 1)</f>
        <v>0</v>
      </c>
    </row>
    <row r="515" spans="1:20" hidden="1" x14ac:dyDescent="0.3">
      <c r="A515" s="2" t="s">
        <v>938</v>
      </c>
      <c r="B515" s="5">
        <v>45994</v>
      </c>
      <c r="C515" s="5" t="str">
        <f>TEXT(B515,"mmm")</f>
        <v>Dec</v>
      </c>
      <c r="D515" s="2" t="s">
        <v>278</v>
      </c>
      <c r="E515" s="2" t="s">
        <v>27</v>
      </c>
      <c r="F515" s="2" t="str" cm="1">
        <f t="array" ref="F5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15" s="2" t="str" cm="1">
        <f t="array" ref="G5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15" s="2" t="s">
        <v>28</v>
      </c>
      <c r="I515" s="2" t="s">
        <v>29</v>
      </c>
      <c r="J515" s="2">
        <v>1</v>
      </c>
      <c r="K515" s="8">
        <v>2799</v>
      </c>
      <c r="L515" s="3">
        <v>0</v>
      </c>
      <c r="M515" s="12">
        <f>K515*L515</f>
        <v>0</v>
      </c>
      <c r="N515" s="12">
        <f>K515*J515</f>
        <v>2799</v>
      </c>
      <c r="O515" s="12">
        <f>N515-M515</f>
        <v>2799</v>
      </c>
      <c r="P515" s="2" t="s">
        <v>30</v>
      </c>
      <c r="Q515" s="2" t="s">
        <v>50</v>
      </c>
      <c r="R515" s="2">
        <v>60</v>
      </c>
      <c r="S515" s="20">
        <f>Table1[[#This Row],[Net_revenue]]/Table1[[#This Row],[Gross_revenue]]*100%</f>
        <v>1</v>
      </c>
      <c r="T515" s="18">
        <f>COUNTIFS(Table1[Customer ID], "&gt;1", Table1[Customer ID], 1)</f>
        <v>0</v>
      </c>
    </row>
    <row r="516" spans="1:20" hidden="1" x14ac:dyDescent="0.3">
      <c r="A516" s="2" t="s">
        <v>939</v>
      </c>
      <c r="B516" s="5">
        <v>45736</v>
      </c>
      <c r="C516" s="5" t="str">
        <f>TEXT(B516,"mmm")</f>
        <v>Mar</v>
      </c>
      <c r="D516" s="2" t="s">
        <v>940</v>
      </c>
      <c r="E516" s="2" t="s">
        <v>40</v>
      </c>
      <c r="F516" s="2" t="str" cm="1">
        <f t="array" ref="F5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16" s="2" t="str" cm="1">
        <f t="array" ref="G5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16" s="2" t="s">
        <v>41</v>
      </c>
      <c r="I516" s="2" t="s">
        <v>16</v>
      </c>
      <c r="J516" s="2">
        <v>5</v>
      </c>
      <c r="K516" s="8">
        <v>2299</v>
      </c>
      <c r="L516" s="3">
        <v>0.05</v>
      </c>
      <c r="M516" s="12">
        <f>K516*L516</f>
        <v>114.95</v>
      </c>
      <c r="N516" s="12">
        <f>K516*J516</f>
        <v>11495</v>
      </c>
      <c r="O516" s="12">
        <f>N516-M516</f>
        <v>11380.05</v>
      </c>
      <c r="P516" s="2" t="s">
        <v>45</v>
      </c>
      <c r="Q516" s="2" t="s">
        <v>50</v>
      </c>
      <c r="R516" s="2">
        <v>60</v>
      </c>
      <c r="S516" s="20">
        <f>Table1[[#This Row],[Net_revenue]]/Table1[[#This Row],[Gross_revenue]]*100%</f>
        <v>0.99</v>
      </c>
      <c r="T516" s="18">
        <f>COUNTIFS(Table1[Customer ID], "&gt;1", Table1[Customer ID], 1)</f>
        <v>0</v>
      </c>
    </row>
    <row r="517" spans="1:20" hidden="1" x14ac:dyDescent="0.3">
      <c r="A517" s="2" t="s">
        <v>941</v>
      </c>
      <c r="B517" s="5">
        <v>45804</v>
      </c>
      <c r="C517" s="5" t="str">
        <f>TEXT(B517,"mmm")</f>
        <v>May</v>
      </c>
      <c r="D517" s="2" t="s">
        <v>942</v>
      </c>
      <c r="E517" s="2" t="s">
        <v>21</v>
      </c>
      <c r="F517" s="2" t="str" cm="1">
        <f t="array" ref="F5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17" s="2" t="str" cm="1">
        <f t="array" ref="G5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17" s="2" t="s">
        <v>63</v>
      </c>
      <c r="I517" s="2" t="s">
        <v>23</v>
      </c>
      <c r="J517" s="2">
        <v>2</v>
      </c>
      <c r="K517" s="8">
        <v>2499</v>
      </c>
      <c r="L517" s="3">
        <v>0.1</v>
      </c>
      <c r="M517" s="12">
        <f>K517*L517</f>
        <v>249.9</v>
      </c>
      <c r="N517" s="12">
        <f>K517*J517</f>
        <v>4998</v>
      </c>
      <c r="O517" s="12">
        <f>N517-M517</f>
        <v>4748.1000000000004</v>
      </c>
      <c r="P517" s="2" t="s">
        <v>45</v>
      </c>
      <c r="Q517" s="2" t="s">
        <v>18</v>
      </c>
      <c r="R517" s="2">
        <v>80</v>
      </c>
      <c r="S517" s="20">
        <f>Table1[[#This Row],[Net_revenue]]/Table1[[#This Row],[Gross_revenue]]*100%</f>
        <v>0.95000000000000007</v>
      </c>
      <c r="T517" s="18">
        <f>COUNTIFS(Table1[Customer ID], "&gt;1", Table1[Customer ID], 1)</f>
        <v>0</v>
      </c>
    </row>
    <row r="518" spans="1:20" hidden="1" x14ac:dyDescent="0.3">
      <c r="A518" s="2" t="s">
        <v>943</v>
      </c>
      <c r="B518" s="5">
        <v>45920</v>
      </c>
      <c r="C518" s="5" t="str">
        <f>TEXT(B518,"mmm")</f>
        <v>Sep</v>
      </c>
      <c r="D518" s="2" t="s">
        <v>475</v>
      </c>
      <c r="E518" s="2" t="s">
        <v>27</v>
      </c>
      <c r="F518" s="2" t="str" cm="1">
        <f t="array" ref="F5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18" s="2" t="str" cm="1">
        <f t="array" ref="G5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18" s="2" t="s">
        <v>188</v>
      </c>
      <c r="I518" s="2" t="s">
        <v>95</v>
      </c>
      <c r="J518" s="2">
        <v>5</v>
      </c>
      <c r="K518" s="8">
        <v>699</v>
      </c>
      <c r="L518" s="3">
        <v>0</v>
      </c>
      <c r="M518" s="12">
        <f>K518*L518</f>
        <v>0</v>
      </c>
      <c r="N518" s="12">
        <f>K518*J518</f>
        <v>3495</v>
      </c>
      <c r="O518" s="12">
        <f>N518-M518</f>
        <v>3495</v>
      </c>
      <c r="P518" s="2" t="s">
        <v>45</v>
      </c>
      <c r="Q518" s="2" t="s">
        <v>18</v>
      </c>
      <c r="R518" s="2">
        <v>60</v>
      </c>
      <c r="S518" s="20">
        <f>Table1[[#This Row],[Net_revenue]]/Table1[[#This Row],[Gross_revenue]]*100%</f>
        <v>1</v>
      </c>
      <c r="T518" s="18">
        <f>COUNTIFS(Table1[Customer ID], "&gt;1", Table1[Customer ID], 1)</f>
        <v>0</v>
      </c>
    </row>
    <row r="519" spans="1:20" hidden="1" x14ac:dyDescent="0.3">
      <c r="A519" s="2" t="s">
        <v>944</v>
      </c>
      <c r="B519" s="5">
        <v>45689</v>
      </c>
      <c r="C519" s="5" t="str">
        <f>TEXT(B519,"mmm")</f>
        <v>Feb</v>
      </c>
      <c r="D519" s="2" t="s">
        <v>228</v>
      </c>
      <c r="E519" s="2" t="s">
        <v>56</v>
      </c>
      <c r="F519" s="2" t="str" cm="1">
        <f t="array" ref="F5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19" s="2" t="str" cm="1">
        <f t="array" ref="G5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19" s="2" t="s">
        <v>65</v>
      </c>
      <c r="I519" s="2" t="s">
        <v>23</v>
      </c>
      <c r="J519" s="2">
        <v>2</v>
      </c>
      <c r="K519" s="8">
        <v>1899</v>
      </c>
      <c r="L519" s="3">
        <v>0</v>
      </c>
      <c r="M519" s="12">
        <f>K519*L519</f>
        <v>0</v>
      </c>
      <c r="N519" s="12">
        <f>K519*J519</f>
        <v>3798</v>
      </c>
      <c r="O519" s="12">
        <f>N519-M519</f>
        <v>3798</v>
      </c>
      <c r="P519" s="2" t="s">
        <v>24</v>
      </c>
      <c r="Q519" s="2" t="s">
        <v>18</v>
      </c>
      <c r="R519" s="2">
        <v>0</v>
      </c>
      <c r="S519" s="20">
        <f>Table1[[#This Row],[Net_revenue]]/Table1[[#This Row],[Gross_revenue]]*100%</f>
        <v>1</v>
      </c>
      <c r="T519" s="18">
        <f>COUNTIFS(Table1[Customer ID], "&gt;1", Table1[Customer ID], 1)</f>
        <v>0</v>
      </c>
    </row>
    <row r="520" spans="1:20" hidden="1" x14ac:dyDescent="0.3">
      <c r="A520" s="2" t="s">
        <v>945</v>
      </c>
      <c r="B520" s="5">
        <v>45809</v>
      </c>
      <c r="C520" s="5" t="str">
        <f>TEXT(B520,"mmm")</f>
        <v>Jun</v>
      </c>
      <c r="D520" s="2" t="s">
        <v>946</v>
      </c>
      <c r="E520" s="2" t="s">
        <v>120</v>
      </c>
      <c r="F520" s="2" t="str" cm="1">
        <f t="array" ref="F5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20" s="2" t="str" cm="1">
        <f t="array" ref="G5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20" s="2" t="s">
        <v>28</v>
      </c>
      <c r="I520" s="2" t="s">
        <v>29</v>
      </c>
      <c r="J520" s="2">
        <v>2</v>
      </c>
      <c r="K520" s="8">
        <v>2799</v>
      </c>
      <c r="L520" s="3">
        <v>0</v>
      </c>
      <c r="M520" s="12">
        <f>K520*L520</f>
        <v>0</v>
      </c>
      <c r="N520" s="12">
        <f>K520*J520</f>
        <v>5598</v>
      </c>
      <c r="O520" s="12">
        <f>N520-M520</f>
        <v>5598</v>
      </c>
      <c r="P520" s="2" t="s">
        <v>45</v>
      </c>
      <c r="Q520" s="2" t="s">
        <v>72</v>
      </c>
      <c r="R520" s="2">
        <v>0</v>
      </c>
      <c r="S520" s="20">
        <f>Table1[[#This Row],[Net_revenue]]/Table1[[#This Row],[Gross_revenue]]*100%</f>
        <v>1</v>
      </c>
      <c r="T520" s="18">
        <f>COUNTIFS(Table1[Customer ID], "&gt;1", Table1[Customer ID], 1)</f>
        <v>0</v>
      </c>
    </row>
    <row r="521" spans="1:20" hidden="1" x14ac:dyDescent="0.3">
      <c r="A521" s="2" t="s">
        <v>947</v>
      </c>
      <c r="B521" s="5">
        <v>45870</v>
      </c>
      <c r="C521" s="5" t="str">
        <f>TEXT(B521,"mmm")</f>
        <v>Aug</v>
      </c>
      <c r="D521" s="2" t="s">
        <v>948</v>
      </c>
      <c r="E521" s="2" t="s">
        <v>27</v>
      </c>
      <c r="F521" s="2" t="str" cm="1">
        <f t="array" ref="F5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21" s="2" t="str" cm="1">
        <f t="array" ref="G5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21" s="2" t="s">
        <v>63</v>
      </c>
      <c r="I521" s="2" t="s">
        <v>23</v>
      </c>
      <c r="J521" s="2">
        <v>2</v>
      </c>
      <c r="K521" s="8">
        <v>2499</v>
      </c>
      <c r="L521" s="3">
        <v>0.15</v>
      </c>
      <c r="M521" s="12">
        <f>K521*L521</f>
        <v>374.84999999999997</v>
      </c>
      <c r="N521" s="12">
        <f>K521*J521</f>
        <v>4998</v>
      </c>
      <c r="O521" s="12">
        <f>N521-M521</f>
        <v>4623.1499999999996</v>
      </c>
      <c r="P521" s="2" t="s">
        <v>24</v>
      </c>
      <c r="Q521" s="2" t="s">
        <v>18</v>
      </c>
      <c r="R521" s="2">
        <v>40</v>
      </c>
      <c r="S521" s="20">
        <f>Table1[[#This Row],[Net_revenue]]/Table1[[#This Row],[Gross_revenue]]*100%</f>
        <v>0.92499999999999993</v>
      </c>
      <c r="T521" s="18">
        <f>COUNTIFS(Table1[Customer ID], "&gt;1", Table1[Customer ID], 1)</f>
        <v>0</v>
      </c>
    </row>
    <row r="522" spans="1:20" hidden="1" x14ac:dyDescent="0.3">
      <c r="A522" s="2" t="s">
        <v>949</v>
      </c>
      <c r="B522" s="5">
        <v>45754</v>
      </c>
      <c r="C522" s="5" t="str">
        <f>TEXT(B522,"mmm")</f>
        <v>Apr</v>
      </c>
      <c r="D522" s="2" t="s">
        <v>902</v>
      </c>
      <c r="E522" s="2" t="s">
        <v>40</v>
      </c>
      <c r="F522" s="2" t="str" cm="1">
        <f t="array" ref="F5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22" s="2" t="str" cm="1">
        <f t="array" ref="G5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22" s="2" t="s">
        <v>41</v>
      </c>
      <c r="I522" s="2" t="s">
        <v>16</v>
      </c>
      <c r="J522" s="2">
        <v>4</v>
      </c>
      <c r="K522" s="8">
        <v>2299</v>
      </c>
      <c r="L522" s="3">
        <v>0.05</v>
      </c>
      <c r="M522" s="12">
        <f>K522*L522</f>
        <v>114.95</v>
      </c>
      <c r="N522" s="12">
        <f>K522*J522</f>
        <v>9196</v>
      </c>
      <c r="O522" s="12">
        <f>N522-M522</f>
        <v>9081.0499999999993</v>
      </c>
      <c r="P522" s="2" t="s">
        <v>24</v>
      </c>
      <c r="Q522" s="2" t="s">
        <v>72</v>
      </c>
      <c r="R522" s="2">
        <v>40</v>
      </c>
      <c r="S522" s="20">
        <f>Table1[[#This Row],[Net_revenue]]/Table1[[#This Row],[Gross_revenue]]*100%</f>
        <v>0.98749999999999993</v>
      </c>
      <c r="T522" s="18">
        <f>COUNTIFS(Table1[Customer ID], "&gt;1", Table1[Customer ID], 1)</f>
        <v>0</v>
      </c>
    </row>
    <row r="523" spans="1:20" hidden="1" x14ac:dyDescent="0.3">
      <c r="A523" s="2" t="s">
        <v>950</v>
      </c>
      <c r="B523" s="5">
        <v>45934</v>
      </c>
      <c r="C523" s="5" t="str">
        <f>TEXT(B523,"mmm")</f>
        <v>Oct</v>
      </c>
      <c r="D523" s="2" t="s">
        <v>428</v>
      </c>
      <c r="E523" s="2" t="s">
        <v>14</v>
      </c>
      <c r="F523" s="2" t="str" cm="1">
        <f t="array" ref="F5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23" s="2" t="str" cm="1">
        <f t="array" ref="G5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23" s="2" t="s">
        <v>22</v>
      </c>
      <c r="I523" s="2" t="s">
        <v>23</v>
      </c>
      <c r="J523" s="2">
        <v>1</v>
      </c>
      <c r="K523" s="8">
        <v>3999</v>
      </c>
      <c r="L523" s="3">
        <v>0.1</v>
      </c>
      <c r="M523" s="12">
        <f>K523*L523</f>
        <v>399.90000000000003</v>
      </c>
      <c r="N523" s="12">
        <f>K523*J523</f>
        <v>3999</v>
      </c>
      <c r="O523" s="12">
        <f>N523-M523</f>
        <v>3599.1</v>
      </c>
      <c r="P523" s="2" t="s">
        <v>30</v>
      </c>
      <c r="Q523" s="2" t="s">
        <v>18</v>
      </c>
      <c r="R523" s="2">
        <v>0</v>
      </c>
      <c r="S523" s="20">
        <f>Table1[[#This Row],[Net_revenue]]/Table1[[#This Row],[Gross_revenue]]*100%</f>
        <v>0.9</v>
      </c>
      <c r="T523" s="18">
        <f>COUNTIFS(Table1[Customer ID], "&gt;1", Table1[Customer ID], 1)</f>
        <v>0</v>
      </c>
    </row>
    <row r="524" spans="1:20" hidden="1" x14ac:dyDescent="0.3">
      <c r="A524" s="2" t="s">
        <v>951</v>
      </c>
      <c r="B524" s="5">
        <v>45723</v>
      </c>
      <c r="C524" s="5" t="str">
        <f>TEXT(B524,"mmm")</f>
        <v>Mar</v>
      </c>
      <c r="D524" s="2" t="s">
        <v>590</v>
      </c>
      <c r="E524" s="2" t="s">
        <v>195</v>
      </c>
      <c r="F524" s="2" t="str" cm="1">
        <f t="array" ref="F5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524" s="2" t="str" cm="1">
        <f t="array" ref="G5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24" s="2" t="s">
        <v>98</v>
      </c>
      <c r="I524" s="2" t="s">
        <v>37</v>
      </c>
      <c r="J524" s="2">
        <v>1</v>
      </c>
      <c r="K524" s="8">
        <v>299</v>
      </c>
      <c r="L524" s="3">
        <v>0</v>
      </c>
      <c r="M524" s="12">
        <f>K524*L524</f>
        <v>0</v>
      </c>
      <c r="N524" s="12">
        <f>K524*J524</f>
        <v>299</v>
      </c>
      <c r="O524" s="12">
        <f>N524-M524</f>
        <v>299</v>
      </c>
      <c r="P524" s="2" t="s">
        <v>17</v>
      </c>
      <c r="Q524" s="2" t="s">
        <v>18</v>
      </c>
      <c r="R524" s="2">
        <v>80</v>
      </c>
      <c r="S524" s="20">
        <f>Table1[[#This Row],[Net_revenue]]/Table1[[#This Row],[Gross_revenue]]*100%</f>
        <v>1</v>
      </c>
      <c r="T524" s="18">
        <f>COUNTIFS(Table1[Customer ID], "&gt;1", Table1[Customer ID], 1)</f>
        <v>0</v>
      </c>
    </row>
    <row r="525" spans="1:20" hidden="1" x14ac:dyDescent="0.3">
      <c r="A525" s="2" t="s">
        <v>952</v>
      </c>
      <c r="B525" s="5">
        <v>45829</v>
      </c>
      <c r="C525" s="5" t="str">
        <f>TEXT(B525,"mmm")</f>
        <v>Jun</v>
      </c>
      <c r="D525" s="2" t="s">
        <v>953</v>
      </c>
      <c r="E525" s="2" t="s">
        <v>21</v>
      </c>
      <c r="F525" s="2" t="str" cm="1">
        <f t="array" ref="F5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25" s="2" t="str" cm="1">
        <f t="array" ref="G5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25" s="2" t="s">
        <v>89</v>
      </c>
      <c r="I525" s="2" t="s">
        <v>29</v>
      </c>
      <c r="J525" s="2">
        <v>1</v>
      </c>
      <c r="K525" s="8">
        <v>449</v>
      </c>
      <c r="L525" s="3">
        <v>0.15</v>
      </c>
      <c r="M525" s="12">
        <f>K525*L525</f>
        <v>67.349999999999994</v>
      </c>
      <c r="N525" s="12">
        <f>K525*J525</f>
        <v>449</v>
      </c>
      <c r="O525" s="12">
        <f>N525-M525</f>
        <v>381.65</v>
      </c>
      <c r="P525" s="2" t="s">
        <v>45</v>
      </c>
      <c r="Q525" s="2" t="s">
        <v>18</v>
      </c>
      <c r="R525" s="2">
        <v>60</v>
      </c>
      <c r="S525" s="20">
        <f>Table1[[#This Row],[Net_revenue]]/Table1[[#This Row],[Gross_revenue]]*100%</f>
        <v>0.85</v>
      </c>
      <c r="T525" s="18">
        <f>COUNTIFS(Table1[Customer ID], "&gt;1", Table1[Customer ID], 1)</f>
        <v>0</v>
      </c>
    </row>
    <row r="526" spans="1:20" hidden="1" x14ac:dyDescent="0.3">
      <c r="A526" s="2" t="s">
        <v>954</v>
      </c>
      <c r="B526" s="5">
        <v>45973</v>
      </c>
      <c r="C526" s="5" t="str">
        <f>TEXT(B526,"mmm")</f>
        <v>Nov</v>
      </c>
      <c r="D526" s="2" t="s">
        <v>955</v>
      </c>
      <c r="E526" s="2" t="s">
        <v>48</v>
      </c>
      <c r="F526" s="2" t="str" cm="1">
        <f t="array" ref="F5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26" s="2" t="str" cm="1">
        <f t="array" ref="G5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26" s="2" t="s">
        <v>44</v>
      </c>
      <c r="I526" s="2" t="s">
        <v>16</v>
      </c>
      <c r="J526" s="2">
        <v>1</v>
      </c>
      <c r="K526" s="8">
        <v>1599</v>
      </c>
      <c r="L526" s="3">
        <v>0.25</v>
      </c>
      <c r="M526" s="12">
        <f>K526*L526</f>
        <v>399.75</v>
      </c>
      <c r="N526" s="12">
        <f>K526*J526</f>
        <v>1599</v>
      </c>
      <c r="O526" s="12">
        <f>N526-M526</f>
        <v>1199.25</v>
      </c>
      <c r="P526" s="2" t="s">
        <v>45</v>
      </c>
      <c r="Q526" s="2" t="s">
        <v>18</v>
      </c>
      <c r="R526" s="2">
        <v>80</v>
      </c>
      <c r="S526" s="20">
        <f>Table1[[#This Row],[Net_revenue]]/Table1[[#This Row],[Gross_revenue]]*100%</f>
        <v>0.75</v>
      </c>
      <c r="T526" s="18">
        <f>COUNTIFS(Table1[Customer ID], "&gt;1", Table1[Customer ID], 1)</f>
        <v>0</v>
      </c>
    </row>
    <row r="527" spans="1:20" hidden="1" x14ac:dyDescent="0.3">
      <c r="A527" s="2" t="s">
        <v>956</v>
      </c>
      <c r="B527" s="5">
        <v>45806</v>
      </c>
      <c r="C527" s="5" t="str">
        <f>TEXT(B527,"mmm")</f>
        <v>May</v>
      </c>
      <c r="D527" s="2" t="s">
        <v>957</v>
      </c>
      <c r="E527" s="2" t="s">
        <v>48</v>
      </c>
      <c r="F527" s="2" t="str" cm="1">
        <f t="array" ref="F5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27" s="2" t="str" cm="1">
        <f t="array" ref="G5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27" s="2" t="s">
        <v>80</v>
      </c>
      <c r="I527" s="2" t="s">
        <v>23</v>
      </c>
      <c r="J527" s="2">
        <v>1</v>
      </c>
      <c r="K527" s="8">
        <v>799</v>
      </c>
      <c r="L527" s="3">
        <v>0</v>
      </c>
      <c r="M527" s="12">
        <f>K527*L527</f>
        <v>0</v>
      </c>
      <c r="N527" s="12">
        <f>K527*J527</f>
        <v>799</v>
      </c>
      <c r="O527" s="12">
        <f>N527-M527</f>
        <v>799</v>
      </c>
      <c r="P527" s="2" t="s">
        <v>45</v>
      </c>
      <c r="Q527" s="2" t="s">
        <v>18</v>
      </c>
      <c r="R527" s="2">
        <v>60</v>
      </c>
      <c r="S527" s="20">
        <f>Table1[[#This Row],[Net_revenue]]/Table1[[#This Row],[Gross_revenue]]*100%</f>
        <v>1</v>
      </c>
      <c r="T527" s="18">
        <f>COUNTIFS(Table1[Customer ID], "&gt;1", Table1[Customer ID], 1)</f>
        <v>0</v>
      </c>
    </row>
    <row r="528" spans="1:20" hidden="1" x14ac:dyDescent="0.3">
      <c r="A528" s="2" t="s">
        <v>958</v>
      </c>
      <c r="B528" s="5">
        <v>46009</v>
      </c>
      <c r="C528" s="5" t="str">
        <f>TEXT(B528,"mmm")</f>
        <v>Dec</v>
      </c>
      <c r="D528" s="2" t="s">
        <v>286</v>
      </c>
      <c r="E528" s="2" t="s">
        <v>56</v>
      </c>
      <c r="F528" s="2" t="str" cm="1">
        <f t="array" ref="F5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28" s="2" t="str" cm="1">
        <f t="array" ref="G5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28" s="2" t="s">
        <v>217</v>
      </c>
      <c r="I528" s="2" t="s">
        <v>29</v>
      </c>
      <c r="J528" s="2">
        <v>1</v>
      </c>
      <c r="K528" s="8">
        <v>3299</v>
      </c>
      <c r="L528" s="3">
        <v>0</v>
      </c>
      <c r="M528" s="12">
        <f>K528*L528</f>
        <v>0</v>
      </c>
      <c r="N528" s="12">
        <f>K528*J528</f>
        <v>3299</v>
      </c>
      <c r="O528" s="12">
        <f>N528-M528</f>
        <v>3299</v>
      </c>
      <c r="P528" s="2" t="s">
        <v>45</v>
      </c>
      <c r="Q528" s="2" t="s">
        <v>18</v>
      </c>
      <c r="R528" s="2">
        <v>40</v>
      </c>
      <c r="S528" s="20">
        <f>Table1[[#This Row],[Net_revenue]]/Table1[[#This Row],[Gross_revenue]]*100%</f>
        <v>1</v>
      </c>
      <c r="T528" s="18">
        <f>COUNTIFS(Table1[Customer ID], "&gt;1", Table1[Customer ID], 1)</f>
        <v>0</v>
      </c>
    </row>
    <row r="529" spans="1:20" hidden="1" x14ac:dyDescent="0.3">
      <c r="A529" s="2" t="s">
        <v>959</v>
      </c>
      <c r="B529" s="5">
        <v>45666</v>
      </c>
      <c r="C529" s="5" t="str">
        <f>TEXT(B529,"mmm")</f>
        <v>Jan</v>
      </c>
      <c r="D529" s="2" t="s">
        <v>960</v>
      </c>
      <c r="E529" s="2" t="s">
        <v>40</v>
      </c>
      <c r="F529" s="2" t="str" cm="1">
        <f t="array" ref="F5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29" s="2" t="str" cm="1">
        <f t="array" ref="G5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29" s="2" t="s">
        <v>188</v>
      </c>
      <c r="I529" s="2" t="s">
        <v>95</v>
      </c>
      <c r="J529" s="2">
        <v>1</v>
      </c>
      <c r="K529" s="8">
        <v>699</v>
      </c>
      <c r="L529" s="3">
        <v>0</v>
      </c>
      <c r="M529" s="12">
        <f>K529*L529</f>
        <v>0</v>
      </c>
      <c r="N529" s="12">
        <f>K529*J529</f>
        <v>699</v>
      </c>
      <c r="O529" s="12">
        <f>N529-M529</f>
        <v>699</v>
      </c>
      <c r="P529" s="2" t="s">
        <v>45</v>
      </c>
      <c r="Q529" s="2" t="s">
        <v>18</v>
      </c>
      <c r="R529" s="2">
        <v>40</v>
      </c>
      <c r="S529" s="20">
        <f>Table1[[#This Row],[Net_revenue]]/Table1[[#This Row],[Gross_revenue]]*100%</f>
        <v>1</v>
      </c>
      <c r="T529" s="18">
        <f>COUNTIFS(Table1[Customer ID], "&gt;1", Table1[Customer ID], 1)</f>
        <v>0</v>
      </c>
    </row>
    <row r="530" spans="1:20" hidden="1" x14ac:dyDescent="0.3">
      <c r="A530" s="2" t="s">
        <v>961</v>
      </c>
      <c r="B530" s="5">
        <v>45765</v>
      </c>
      <c r="C530" s="5" t="str">
        <f>TEXT(B530,"mmm")</f>
        <v>Apr</v>
      </c>
      <c r="D530" s="2" t="s">
        <v>119</v>
      </c>
      <c r="E530" s="2" t="s">
        <v>21</v>
      </c>
      <c r="F530" s="2" t="str" cm="1">
        <f t="array" ref="F5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30" s="2" t="str" cm="1">
        <f t="array" ref="G5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0" s="2" t="s">
        <v>65</v>
      </c>
      <c r="I530" s="2" t="s">
        <v>23</v>
      </c>
      <c r="J530" s="2">
        <v>1</v>
      </c>
      <c r="K530" s="8">
        <v>1899</v>
      </c>
      <c r="L530" s="3">
        <v>0.2</v>
      </c>
      <c r="M530" s="12">
        <f>K530*L530</f>
        <v>379.8</v>
      </c>
      <c r="N530" s="12">
        <f>K530*J530</f>
        <v>1899</v>
      </c>
      <c r="O530" s="12">
        <f>N530-M530</f>
        <v>1519.2</v>
      </c>
      <c r="P530" s="2" t="s">
        <v>45</v>
      </c>
      <c r="Q530" s="2" t="s">
        <v>72</v>
      </c>
      <c r="R530" s="2">
        <v>40</v>
      </c>
      <c r="S530" s="20">
        <f>Table1[[#This Row],[Net_revenue]]/Table1[[#This Row],[Gross_revenue]]*100%</f>
        <v>0.8</v>
      </c>
      <c r="T530" s="18">
        <f>COUNTIFS(Table1[Customer ID], "&gt;1", Table1[Customer ID], 1)</f>
        <v>0</v>
      </c>
    </row>
    <row r="531" spans="1:20" hidden="1" x14ac:dyDescent="0.3">
      <c r="A531" s="2" t="s">
        <v>962</v>
      </c>
      <c r="B531" s="5">
        <v>45722</v>
      </c>
      <c r="C531" s="5" t="str">
        <f>TEXT(B531,"mmm")</f>
        <v>Mar</v>
      </c>
      <c r="D531" s="2" t="s">
        <v>963</v>
      </c>
      <c r="E531" s="2" t="s">
        <v>27</v>
      </c>
      <c r="F531" s="2" t="str" cm="1">
        <f t="array" ref="F5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31" s="2" t="str" cm="1">
        <f t="array" ref="G5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31" s="2" t="s">
        <v>71</v>
      </c>
      <c r="I531" s="2" t="s">
        <v>29</v>
      </c>
      <c r="J531" s="2">
        <v>2</v>
      </c>
      <c r="K531" s="8">
        <v>5499</v>
      </c>
      <c r="L531" s="3">
        <v>0.15</v>
      </c>
      <c r="M531" s="12">
        <f>K531*L531</f>
        <v>824.85</v>
      </c>
      <c r="N531" s="12">
        <f>K531*J531</f>
        <v>10998</v>
      </c>
      <c r="O531" s="12">
        <f>N531-M531</f>
        <v>10173.15</v>
      </c>
      <c r="P531" s="2" t="s">
        <v>45</v>
      </c>
      <c r="Q531" s="2" t="s">
        <v>18</v>
      </c>
      <c r="R531" s="2">
        <v>0</v>
      </c>
      <c r="S531" s="20">
        <f>Table1[[#This Row],[Net_revenue]]/Table1[[#This Row],[Gross_revenue]]*100%</f>
        <v>0.92499999999999993</v>
      </c>
      <c r="T531" s="18">
        <f>COUNTIFS(Table1[Customer ID], "&gt;1", Table1[Customer ID], 1)</f>
        <v>0</v>
      </c>
    </row>
    <row r="532" spans="1:20" hidden="1" x14ac:dyDescent="0.3">
      <c r="A532" s="2" t="s">
        <v>964</v>
      </c>
      <c r="B532" s="5">
        <v>45907</v>
      </c>
      <c r="C532" s="5" t="str">
        <f>TEXT(B532,"mmm")</f>
        <v>Sep</v>
      </c>
      <c r="D532" s="2" t="s">
        <v>965</v>
      </c>
      <c r="E532" s="2" t="s">
        <v>40</v>
      </c>
      <c r="F532" s="2" t="str" cm="1">
        <f t="array" ref="F5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32" s="2" t="str" cm="1">
        <f t="array" ref="G5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32" s="2" t="s">
        <v>68</v>
      </c>
      <c r="I532" s="2" t="s">
        <v>16</v>
      </c>
      <c r="J532" s="2">
        <v>3</v>
      </c>
      <c r="K532" s="8">
        <v>599</v>
      </c>
      <c r="L532" s="3">
        <v>0.1</v>
      </c>
      <c r="M532" s="12">
        <f>K532*L532</f>
        <v>59.900000000000006</v>
      </c>
      <c r="N532" s="12">
        <f>K532*J532</f>
        <v>1797</v>
      </c>
      <c r="O532" s="12">
        <f>N532-M532</f>
        <v>1737.1</v>
      </c>
      <c r="P532" s="2" t="s">
        <v>24</v>
      </c>
      <c r="Q532" s="2" t="s">
        <v>18</v>
      </c>
      <c r="R532" s="2">
        <v>0</v>
      </c>
      <c r="S532" s="20">
        <f>Table1[[#This Row],[Net_revenue]]/Table1[[#This Row],[Gross_revenue]]*100%</f>
        <v>0.96666666666666656</v>
      </c>
      <c r="T532" s="18">
        <f>COUNTIFS(Table1[Customer ID], "&gt;1", Table1[Customer ID], 1)</f>
        <v>0</v>
      </c>
    </row>
    <row r="533" spans="1:20" hidden="1" x14ac:dyDescent="0.3">
      <c r="A533" s="2" t="s">
        <v>966</v>
      </c>
      <c r="B533" s="5">
        <v>45994</v>
      </c>
      <c r="C533" s="5" t="str">
        <f>TEXT(B533,"mmm")</f>
        <v>Dec</v>
      </c>
      <c r="D533" s="2" t="s">
        <v>562</v>
      </c>
      <c r="E533" s="2" t="s">
        <v>40</v>
      </c>
      <c r="F533" s="2" t="str" cm="1">
        <f t="array" ref="F5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33" s="2" t="str" cm="1">
        <f t="array" ref="G5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33" s="2" t="s">
        <v>63</v>
      </c>
      <c r="I533" s="2" t="s">
        <v>23</v>
      </c>
      <c r="J533" s="2">
        <v>2</v>
      </c>
      <c r="K533" s="8">
        <v>2499</v>
      </c>
      <c r="L533" s="3">
        <v>0.1</v>
      </c>
      <c r="M533" s="12">
        <f>K533*L533</f>
        <v>249.9</v>
      </c>
      <c r="N533" s="12">
        <f>K533*J533</f>
        <v>4998</v>
      </c>
      <c r="O533" s="12">
        <f>N533-M533</f>
        <v>4748.1000000000004</v>
      </c>
      <c r="P533" s="2" t="s">
        <v>30</v>
      </c>
      <c r="Q533" s="2" t="s">
        <v>50</v>
      </c>
      <c r="R533" s="2">
        <v>80</v>
      </c>
      <c r="S533" s="20">
        <f>Table1[[#This Row],[Net_revenue]]/Table1[[#This Row],[Gross_revenue]]*100%</f>
        <v>0.95000000000000007</v>
      </c>
      <c r="T533" s="18">
        <f>COUNTIFS(Table1[Customer ID], "&gt;1", Table1[Customer ID], 1)</f>
        <v>0</v>
      </c>
    </row>
    <row r="534" spans="1:20" hidden="1" x14ac:dyDescent="0.3">
      <c r="A534" s="2" t="s">
        <v>967</v>
      </c>
      <c r="B534" s="5">
        <v>46020</v>
      </c>
      <c r="C534" s="5" t="str">
        <f>TEXT(B534,"mmm")</f>
        <v>Dec</v>
      </c>
      <c r="D534" s="2" t="s">
        <v>892</v>
      </c>
      <c r="E534" s="2" t="s">
        <v>75</v>
      </c>
      <c r="F534" s="2" t="str" cm="1">
        <f t="array" ref="F5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34" s="2" t="str" cm="1">
        <f t="array" ref="G5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4" s="2" t="s">
        <v>15</v>
      </c>
      <c r="I534" s="2" t="s">
        <v>16</v>
      </c>
      <c r="J534" s="2">
        <v>1</v>
      </c>
      <c r="K534" s="8">
        <v>1799</v>
      </c>
      <c r="L534" s="3">
        <v>0</v>
      </c>
      <c r="M534" s="12">
        <f>K534*L534</f>
        <v>0</v>
      </c>
      <c r="N534" s="12">
        <f>K534*J534</f>
        <v>1799</v>
      </c>
      <c r="O534" s="12">
        <f>N534-M534</f>
        <v>1799</v>
      </c>
      <c r="P534" s="2" t="s">
        <v>30</v>
      </c>
      <c r="Q534" s="2" t="s">
        <v>18</v>
      </c>
      <c r="R534" s="2">
        <v>0</v>
      </c>
      <c r="S534" s="20">
        <f>Table1[[#This Row],[Net_revenue]]/Table1[[#This Row],[Gross_revenue]]*100%</f>
        <v>1</v>
      </c>
      <c r="T534" s="18">
        <f>COUNTIFS(Table1[Customer ID], "&gt;1", Table1[Customer ID], 1)</f>
        <v>0</v>
      </c>
    </row>
    <row r="535" spans="1:20" hidden="1" x14ac:dyDescent="0.3">
      <c r="A535" s="2" t="s">
        <v>968</v>
      </c>
      <c r="B535" s="5">
        <v>45877</v>
      </c>
      <c r="C535" s="5" t="str">
        <f>TEXT(B535,"mmm")</f>
        <v>Aug</v>
      </c>
      <c r="D535" s="2" t="s">
        <v>479</v>
      </c>
      <c r="E535" s="2" t="s">
        <v>195</v>
      </c>
      <c r="F535" s="2" t="str" cm="1">
        <f t="array" ref="F5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535" s="2" t="str" cm="1">
        <f t="array" ref="G5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5" s="2" t="s">
        <v>71</v>
      </c>
      <c r="I535" s="2" t="s">
        <v>29</v>
      </c>
      <c r="J535" s="2">
        <v>1</v>
      </c>
      <c r="K535" s="8">
        <v>5499</v>
      </c>
      <c r="L535" s="3">
        <v>0.25</v>
      </c>
      <c r="M535" s="12">
        <f>K535*L535</f>
        <v>1374.75</v>
      </c>
      <c r="N535" s="12">
        <f>K535*J535</f>
        <v>5499</v>
      </c>
      <c r="O535" s="12">
        <f>N535-M535</f>
        <v>4124.25</v>
      </c>
      <c r="P535" s="2" t="s">
        <v>45</v>
      </c>
      <c r="Q535" s="2" t="s">
        <v>18</v>
      </c>
      <c r="R535" s="2">
        <v>40</v>
      </c>
      <c r="S535" s="20">
        <f>Table1[[#This Row],[Net_revenue]]/Table1[[#This Row],[Gross_revenue]]*100%</f>
        <v>0.75</v>
      </c>
      <c r="T535" s="18">
        <f>COUNTIFS(Table1[Customer ID], "&gt;1", Table1[Customer ID], 1)</f>
        <v>0</v>
      </c>
    </row>
    <row r="536" spans="1:20" hidden="1" x14ac:dyDescent="0.3">
      <c r="A536" s="2" t="s">
        <v>969</v>
      </c>
      <c r="B536" s="5">
        <v>45830</v>
      </c>
      <c r="C536" s="5" t="str">
        <f>TEXT(B536,"mmm")</f>
        <v>Jun</v>
      </c>
      <c r="D536" s="2" t="s">
        <v>970</v>
      </c>
      <c r="E536" s="2" t="s">
        <v>21</v>
      </c>
      <c r="F536" s="2" t="str" cm="1">
        <f t="array" ref="F5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36" s="2" t="str" cm="1">
        <f t="array" ref="G5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6" s="2" t="s">
        <v>15</v>
      </c>
      <c r="I536" s="2" t="s">
        <v>16</v>
      </c>
      <c r="J536" s="2">
        <v>1</v>
      </c>
      <c r="K536" s="8">
        <v>1799</v>
      </c>
      <c r="L536" s="3">
        <v>0.2</v>
      </c>
      <c r="M536" s="12">
        <f>K536*L536</f>
        <v>359.8</v>
      </c>
      <c r="N536" s="12">
        <f>K536*J536</f>
        <v>1799</v>
      </c>
      <c r="O536" s="12">
        <f>N536-M536</f>
        <v>1439.2</v>
      </c>
      <c r="P536" s="2" t="s">
        <v>30</v>
      </c>
      <c r="Q536" s="2" t="s">
        <v>18</v>
      </c>
      <c r="R536" s="2">
        <v>40</v>
      </c>
      <c r="S536" s="20">
        <f>Table1[[#This Row],[Net_revenue]]/Table1[[#This Row],[Gross_revenue]]*100%</f>
        <v>0.8</v>
      </c>
      <c r="T536" s="18">
        <f>COUNTIFS(Table1[Customer ID], "&gt;1", Table1[Customer ID], 1)</f>
        <v>0</v>
      </c>
    </row>
    <row r="537" spans="1:20" hidden="1" x14ac:dyDescent="0.3">
      <c r="A537" s="2" t="s">
        <v>971</v>
      </c>
      <c r="B537" s="5">
        <v>45758</v>
      </c>
      <c r="C537" s="5" t="str">
        <f>TEXT(B537,"mmm")</f>
        <v>Apr</v>
      </c>
      <c r="D537" s="2" t="s">
        <v>329</v>
      </c>
      <c r="E537" s="2" t="s">
        <v>56</v>
      </c>
      <c r="F537" s="2" t="str" cm="1">
        <f t="array" ref="F5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37" s="2" t="str" cm="1">
        <f t="array" ref="G5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37" s="2" t="s">
        <v>15</v>
      </c>
      <c r="I537" s="2" t="s">
        <v>16</v>
      </c>
      <c r="J537" s="2">
        <v>1</v>
      </c>
      <c r="K537" s="8">
        <v>1799</v>
      </c>
      <c r="L537" s="3">
        <v>0.05</v>
      </c>
      <c r="M537" s="12">
        <f>K537*L537</f>
        <v>89.95</v>
      </c>
      <c r="N537" s="12">
        <f>K537*J537</f>
        <v>1799</v>
      </c>
      <c r="O537" s="12">
        <f>N537-M537</f>
        <v>1709.05</v>
      </c>
      <c r="P537" s="2" t="s">
        <v>45</v>
      </c>
      <c r="Q537" s="2" t="s">
        <v>18</v>
      </c>
      <c r="R537" s="2">
        <v>80</v>
      </c>
      <c r="S537" s="20">
        <f>Table1[[#This Row],[Net_revenue]]/Table1[[#This Row],[Gross_revenue]]*100%</f>
        <v>0.95</v>
      </c>
      <c r="T537" s="18">
        <f>COUNTIFS(Table1[Customer ID], "&gt;1", Table1[Customer ID], 1)</f>
        <v>0</v>
      </c>
    </row>
    <row r="538" spans="1:20" hidden="1" x14ac:dyDescent="0.3">
      <c r="A538" s="2" t="s">
        <v>972</v>
      </c>
      <c r="B538" s="5">
        <v>45845</v>
      </c>
      <c r="C538" s="5" t="str">
        <f>TEXT(B538,"mmm")</f>
        <v>Jul</v>
      </c>
      <c r="D538" s="2" t="s">
        <v>264</v>
      </c>
      <c r="E538" s="2" t="s">
        <v>21</v>
      </c>
      <c r="F538" s="2" t="str" cm="1">
        <f t="array" ref="F5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38" s="2" t="str" cm="1">
        <f t="array" ref="G5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8" s="2" t="s">
        <v>134</v>
      </c>
      <c r="I538" s="2" t="s">
        <v>29</v>
      </c>
      <c r="J538" s="2">
        <v>4</v>
      </c>
      <c r="K538" s="8">
        <v>1499</v>
      </c>
      <c r="L538" s="3">
        <v>0.1</v>
      </c>
      <c r="M538" s="12">
        <f>K538*L538</f>
        <v>149.9</v>
      </c>
      <c r="N538" s="12">
        <f>K538*J538</f>
        <v>5996</v>
      </c>
      <c r="O538" s="12">
        <f>N538-M538</f>
        <v>5846.1</v>
      </c>
      <c r="P538" s="2" t="s">
        <v>45</v>
      </c>
      <c r="Q538" s="2" t="s">
        <v>72</v>
      </c>
      <c r="R538" s="2">
        <v>40</v>
      </c>
      <c r="S538" s="20">
        <f>Table1[[#This Row],[Net_revenue]]/Table1[[#This Row],[Gross_revenue]]*100%</f>
        <v>0.97500000000000009</v>
      </c>
      <c r="T538" s="18">
        <f>COUNTIFS(Table1[Customer ID], "&gt;1", Table1[Customer ID], 1)</f>
        <v>0</v>
      </c>
    </row>
    <row r="539" spans="1:20" hidden="1" x14ac:dyDescent="0.3">
      <c r="A539" s="2" t="s">
        <v>973</v>
      </c>
      <c r="B539" s="5">
        <v>45792</v>
      </c>
      <c r="C539" s="5" t="str">
        <f>TEXT(B539,"mmm")</f>
        <v>May</v>
      </c>
      <c r="D539" s="2" t="s">
        <v>974</v>
      </c>
      <c r="E539" s="2" t="s">
        <v>21</v>
      </c>
      <c r="F539" s="2" t="str" cm="1">
        <f t="array" ref="F5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39" s="2" t="str" cm="1">
        <f t="array" ref="G5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39" s="2" t="s">
        <v>22</v>
      </c>
      <c r="I539" s="2" t="s">
        <v>23</v>
      </c>
      <c r="J539" s="2">
        <v>2</v>
      </c>
      <c r="K539" s="8">
        <v>3999</v>
      </c>
      <c r="L539" s="3">
        <v>0.15</v>
      </c>
      <c r="M539" s="12">
        <f>K539*L539</f>
        <v>599.85</v>
      </c>
      <c r="N539" s="12">
        <f>K539*J539</f>
        <v>7998</v>
      </c>
      <c r="O539" s="12">
        <f>N539-M539</f>
        <v>7398.15</v>
      </c>
      <c r="P539" s="2" t="s">
        <v>45</v>
      </c>
      <c r="Q539" s="2" t="s">
        <v>18</v>
      </c>
      <c r="R539" s="2">
        <v>80</v>
      </c>
      <c r="S539" s="20">
        <f>Table1[[#This Row],[Net_revenue]]/Table1[[#This Row],[Gross_revenue]]*100%</f>
        <v>0.92499999999999993</v>
      </c>
      <c r="T539" s="18">
        <f>COUNTIFS(Table1[Customer ID], "&gt;1", Table1[Customer ID], 1)</f>
        <v>0</v>
      </c>
    </row>
    <row r="540" spans="1:20" hidden="1" x14ac:dyDescent="0.3">
      <c r="A540" s="2" t="s">
        <v>975</v>
      </c>
      <c r="B540" s="5">
        <v>45968</v>
      </c>
      <c r="C540" s="5" t="str">
        <f>TEXT(B540,"mmm")</f>
        <v>Nov</v>
      </c>
      <c r="D540" s="2" t="s">
        <v>976</v>
      </c>
      <c r="E540" s="2" t="s">
        <v>120</v>
      </c>
      <c r="F540" s="2" t="str" cm="1">
        <f t="array" ref="F5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40" s="2" t="str" cm="1">
        <f t="array" ref="G5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0" s="2" t="s">
        <v>41</v>
      </c>
      <c r="I540" s="2" t="s">
        <v>16</v>
      </c>
      <c r="J540" s="2">
        <v>1</v>
      </c>
      <c r="K540" s="8">
        <v>2299</v>
      </c>
      <c r="L540" s="3">
        <v>0.05</v>
      </c>
      <c r="M540" s="12">
        <f>K540*L540</f>
        <v>114.95</v>
      </c>
      <c r="N540" s="12">
        <f>K540*J540</f>
        <v>2299</v>
      </c>
      <c r="O540" s="12">
        <f>N540-M540</f>
        <v>2184.0500000000002</v>
      </c>
      <c r="P540" s="2" t="s">
        <v>17</v>
      </c>
      <c r="Q540" s="2" t="s">
        <v>18</v>
      </c>
      <c r="R540" s="2">
        <v>40</v>
      </c>
      <c r="S540" s="20">
        <f>Table1[[#This Row],[Net_revenue]]/Table1[[#This Row],[Gross_revenue]]*100%</f>
        <v>0.95000000000000007</v>
      </c>
      <c r="T540" s="18">
        <f>COUNTIFS(Table1[Customer ID], "&gt;1", Table1[Customer ID], 1)</f>
        <v>0</v>
      </c>
    </row>
    <row r="541" spans="1:20" hidden="1" x14ac:dyDescent="0.3">
      <c r="A541" s="2" t="s">
        <v>977</v>
      </c>
      <c r="B541" s="5">
        <v>45862</v>
      </c>
      <c r="C541" s="5" t="str">
        <f>TEXT(B541,"mmm")</f>
        <v>Jul</v>
      </c>
      <c r="D541" s="2" t="s">
        <v>840</v>
      </c>
      <c r="E541" s="2" t="s">
        <v>75</v>
      </c>
      <c r="F541" s="2" t="str" cm="1">
        <f t="array" ref="F5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41" s="2" t="str" cm="1">
        <f t="array" ref="G5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1" s="2" t="s">
        <v>107</v>
      </c>
      <c r="I541" s="2" t="s">
        <v>95</v>
      </c>
      <c r="J541" s="2">
        <v>2</v>
      </c>
      <c r="K541" s="8">
        <v>1599</v>
      </c>
      <c r="L541" s="3">
        <v>0</v>
      </c>
      <c r="M541" s="12">
        <f>K541*L541</f>
        <v>0</v>
      </c>
      <c r="N541" s="12">
        <f>K541*J541</f>
        <v>3198</v>
      </c>
      <c r="O541" s="12">
        <f>N541-M541</f>
        <v>3198</v>
      </c>
      <c r="P541" s="2" t="s">
        <v>45</v>
      </c>
      <c r="Q541" s="2" t="s">
        <v>72</v>
      </c>
      <c r="R541" s="2">
        <v>0</v>
      </c>
      <c r="S541" s="20">
        <f>Table1[[#This Row],[Net_revenue]]/Table1[[#This Row],[Gross_revenue]]*100%</f>
        <v>1</v>
      </c>
      <c r="T541" s="18">
        <f>COUNTIFS(Table1[Customer ID], "&gt;1", Table1[Customer ID], 1)</f>
        <v>0</v>
      </c>
    </row>
    <row r="542" spans="1:20" hidden="1" x14ac:dyDescent="0.3">
      <c r="A542" s="2" t="s">
        <v>978</v>
      </c>
      <c r="B542" s="5">
        <v>45681</v>
      </c>
      <c r="C542" s="5" t="str">
        <f>TEXT(B542,"mmm")</f>
        <v>Jan</v>
      </c>
      <c r="D542" s="2" t="s">
        <v>20</v>
      </c>
      <c r="E542" s="2" t="s">
        <v>21</v>
      </c>
      <c r="F542" s="2" t="str" cm="1">
        <f t="array" ref="F5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42" s="2" t="str" cm="1">
        <f t="array" ref="G5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2" s="2" t="s">
        <v>80</v>
      </c>
      <c r="I542" s="2" t="s">
        <v>23</v>
      </c>
      <c r="J542" s="2">
        <v>1</v>
      </c>
      <c r="K542" s="8">
        <v>799</v>
      </c>
      <c r="L542" s="3">
        <v>0.1</v>
      </c>
      <c r="M542" s="12">
        <f>K542*L542</f>
        <v>79.900000000000006</v>
      </c>
      <c r="N542" s="12">
        <f>K542*J542</f>
        <v>799</v>
      </c>
      <c r="O542" s="12">
        <f>N542-M542</f>
        <v>719.1</v>
      </c>
      <c r="P542" s="2" t="s">
        <v>30</v>
      </c>
      <c r="Q542" s="2" t="s">
        <v>18</v>
      </c>
      <c r="R542" s="2">
        <v>80</v>
      </c>
      <c r="S542" s="20">
        <f>Table1[[#This Row],[Net_revenue]]/Table1[[#This Row],[Gross_revenue]]*100%</f>
        <v>0.9</v>
      </c>
      <c r="T542" s="18">
        <f>COUNTIFS(Table1[Customer ID], "&gt;1", Table1[Customer ID], 1)</f>
        <v>0</v>
      </c>
    </row>
    <row r="543" spans="1:20" hidden="1" x14ac:dyDescent="0.3">
      <c r="A543" s="2" t="s">
        <v>979</v>
      </c>
      <c r="B543" s="5">
        <v>45829</v>
      </c>
      <c r="C543" s="5" t="str">
        <f>TEXT(B543,"mmm")</f>
        <v>Jun</v>
      </c>
      <c r="D543" s="2" t="s">
        <v>498</v>
      </c>
      <c r="E543" s="2" t="s">
        <v>195</v>
      </c>
      <c r="F543" s="2" t="str" cm="1">
        <f t="array" ref="F5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543" s="2" t="str" cm="1">
        <f t="array" ref="G5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3" s="2" t="s">
        <v>117</v>
      </c>
      <c r="I543" s="2" t="s">
        <v>23</v>
      </c>
      <c r="J543" s="2">
        <v>1</v>
      </c>
      <c r="K543" s="8">
        <v>2199</v>
      </c>
      <c r="L543" s="3">
        <v>0.25</v>
      </c>
      <c r="M543" s="12">
        <f>K543*L543</f>
        <v>549.75</v>
      </c>
      <c r="N543" s="12">
        <f>K543*J543</f>
        <v>2199</v>
      </c>
      <c r="O543" s="12">
        <f>N543-M543</f>
        <v>1649.25</v>
      </c>
      <c r="P543" s="2" t="s">
        <v>45</v>
      </c>
      <c r="Q543" s="2" t="s">
        <v>18</v>
      </c>
      <c r="R543" s="2">
        <v>40</v>
      </c>
      <c r="S543" s="20">
        <f>Table1[[#This Row],[Net_revenue]]/Table1[[#This Row],[Gross_revenue]]*100%</f>
        <v>0.75</v>
      </c>
      <c r="T543" s="18">
        <f>COUNTIFS(Table1[Customer ID], "&gt;1", Table1[Customer ID], 1)</f>
        <v>0</v>
      </c>
    </row>
    <row r="544" spans="1:20" hidden="1" x14ac:dyDescent="0.3">
      <c r="A544" s="2" t="s">
        <v>980</v>
      </c>
      <c r="B544" s="5">
        <v>45827</v>
      </c>
      <c r="C544" s="5" t="str">
        <f>TEXT(B544,"mmm")</f>
        <v>Jun</v>
      </c>
      <c r="D544" s="2" t="s">
        <v>791</v>
      </c>
      <c r="E544" s="2" t="s">
        <v>40</v>
      </c>
      <c r="F544" s="2" t="str" cm="1">
        <f t="array" ref="F5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44" s="2" t="str" cm="1">
        <f t="array" ref="G5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44" s="2" t="s">
        <v>41</v>
      </c>
      <c r="I544" s="2" t="s">
        <v>16</v>
      </c>
      <c r="J544" s="2">
        <v>1</v>
      </c>
      <c r="K544" s="8">
        <v>2299</v>
      </c>
      <c r="L544" s="3">
        <v>0</v>
      </c>
      <c r="M544" s="12">
        <f>K544*L544</f>
        <v>0</v>
      </c>
      <c r="N544" s="12">
        <f>K544*J544</f>
        <v>2299</v>
      </c>
      <c r="O544" s="12">
        <f>N544-M544</f>
        <v>2299</v>
      </c>
      <c r="P544" s="2" t="s">
        <v>45</v>
      </c>
      <c r="Q544" s="2" t="s">
        <v>18</v>
      </c>
      <c r="R544" s="2">
        <v>60</v>
      </c>
      <c r="S544" s="20">
        <f>Table1[[#This Row],[Net_revenue]]/Table1[[#This Row],[Gross_revenue]]*100%</f>
        <v>1</v>
      </c>
      <c r="T544" s="18">
        <f>COUNTIFS(Table1[Customer ID], "&gt;1", Table1[Customer ID], 1)</f>
        <v>0</v>
      </c>
    </row>
    <row r="545" spans="1:20" hidden="1" x14ac:dyDescent="0.3">
      <c r="A545" s="2" t="s">
        <v>981</v>
      </c>
      <c r="B545" s="5">
        <v>45839</v>
      </c>
      <c r="C545" s="5" t="str">
        <f>TEXT(B545,"mmm")</f>
        <v>Jul</v>
      </c>
      <c r="D545" s="2" t="s">
        <v>262</v>
      </c>
      <c r="E545" s="2" t="s">
        <v>27</v>
      </c>
      <c r="F545" s="2" t="str" cm="1">
        <f t="array" ref="F5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45" s="2" t="str" cm="1">
        <f t="array" ref="G5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45" s="2" t="s">
        <v>217</v>
      </c>
      <c r="I545" s="2" t="s">
        <v>29</v>
      </c>
      <c r="J545" s="2">
        <v>1</v>
      </c>
      <c r="K545" s="8">
        <v>3299</v>
      </c>
      <c r="L545" s="3">
        <v>0</v>
      </c>
      <c r="M545" s="12">
        <f>K545*L545</f>
        <v>0</v>
      </c>
      <c r="N545" s="12">
        <f>K545*J545</f>
        <v>3299</v>
      </c>
      <c r="O545" s="12">
        <f>N545-M545</f>
        <v>3299</v>
      </c>
      <c r="P545" s="2" t="s">
        <v>17</v>
      </c>
      <c r="Q545" s="2" t="s">
        <v>18</v>
      </c>
      <c r="R545" s="2">
        <v>0</v>
      </c>
      <c r="S545" s="20">
        <f>Table1[[#This Row],[Net_revenue]]/Table1[[#This Row],[Gross_revenue]]*100%</f>
        <v>1</v>
      </c>
      <c r="T545" s="18">
        <f>COUNTIFS(Table1[Customer ID], "&gt;1", Table1[Customer ID], 1)</f>
        <v>0</v>
      </c>
    </row>
    <row r="546" spans="1:20" hidden="1" x14ac:dyDescent="0.3">
      <c r="A546" s="2" t="s">
        <v>982</v>
      </c>
      <c r="B546" s="5">
        <v>45764</v>
      </c>
      <c r="C546" s="5" t="str">
        <f>TEXT(B546,"mmm")</f>
        <v>Apr</v>
      </c>
      <c r="D546" s="2" t="s">
        <v>743</v>
      </c>
      <c r="E546" s="2" t="s">
        <v>120</v>
      </c>
      <c r="F546" s="2" t="str" cm="1">
        <f t="array" ref="F5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46" s="2" t="str" cm="1">
        <f t="array" ref="G5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6" s="2" t="s">
        <v>41</v>
      </c>
      <c r="I546" s="2" t="s">
        <v>16</v>
      </c>
      <c r="J546" s="2">
        <v>5</v>
      </c>
      <c r="K546" s="8">
        <v>2299</v>
      </c>
      <c r="L546" s="3">
        <v>0.1</v>
      </c>
      <c r="M546" s="12">
        <f>K546*L546</f>
        <v>229.9</v>
      </c>
      <c r="N546" s="12">
        <f>K546*J546</f>
        <v>11495</v>
      </c>
      <c r="O546" s="12">
        <f>N546-M546</f>
        <v>11265.1</v>
      </c>
      <c r="P546" s="2" t="s">
        <v>17</v>
      </c>
      <c r="Q546" s="2" t="s">
        <v>50</v>
      </c>
      <c r="R546" s="2">
        <v>60</v>
      </c>
      <c r="S546" s="20">
        <f>Table1[[#This Row],[Net_revenue]]/Table1[[#This Row],[Gross_revenue]]*100%</f>
        <v>0.98</v>
      </c>
      <c r="T546" s="18">
        <f>COUNTIFS(Table1[Customer ID], "&gt;1", Table1[Customer ID], 1)</f>
        <v>0</v>
      </c>
    </row>
    <row r="547" spans="1:20" hidden="1" x14ac:dyDescent="0.3">
      <c r="A547" s="2" t="s">
        <v>983</v>
      </c>
      <c r="B547" s="5">
        <v>45981</v>
      </c>
      <c r="C547" s="5" t="str">
        <f>TEXT(B547,"mmm")</f>
        <v>Nov</v>
      </c>
      <c r="D547" s="2" t="s">
        <v>292</v>
      </c>
      <c r="E547" s="2" t="s">
        <v>75</v>
      </c>
      <c r="F547" s="2" t="str" cm="1">
        <f t="array" ref="F5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47" s="2" t="str" cm="1">
        <f t="array" ref="G5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7" s="2" t="s">
        <v>41</v>
      </c>
      <c r="I547" s="2" t="s">
        <v>16</v>
      </c>
      <c r="J547" s="2">
        <v>2</v>
      </c>
      <c r="K547" s="8">
        <v>2299</v>
      </c>
      <c r="L547" s="3">
        <v>0.15</v>
      </c>
      <c r="M547" s="12">
        <f>K547*L547</f>
        <v>344.84999999999997</v>
      </c>
      <c r="N547" s="12">
        <f>K547*J547</f>
        <v>4598</v>
      </c>
      <c r="O547" s="12">
        <f>N547-M547</f>
        <v>4253.1499999999996</v>
      </c>
      <c r="P547" s="2" t="s">
        <v>45</v>
      </c>
      <c r="Q547" s="2" t="s">
        <v>18</v>
      </c>
      <c r="R547" s="2">
        <v>60</v>
      </c>
      <c r="S547" s="20">
        <f>Table1[[#This Row],[Net_revenue]]/Table1[[#This Row],[Gross_revenue]]*100%</f>
        <v>0.92499999999999993</v>
      </c>
      <c r="T547" s="18">
        <f>COUNTIFS(Table1[Customer ID], "&gt;1", Table1[Customer ID], 1)</f>
        <v>0</v>
      </c>
    </row>
    <row r="548" spans="1:20" hidden="1" x14ac:dyDescent="0.3">
      <c r="A548" s="2" t="s">
        <v>984</v>
      </c>
      <c r="B548" s="5">
        <v>45698</v>
      </c>
      <c r="C548" s="5" t="str">
        <f>TEXT(B548,"mmm")</f>
        <v>Feb</v>
      </c>
      <c r="D548" s="2" t="s">
        <v>985</v>
      </c>
      <c r="E548" s="2" t="s">
        <v>75</v>
      </c>
      <c r="F548" s="2" t="str" cm="1">
        <f t="array" ref="F5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48" s="2" t="str" cm="1">
        <f t="array" ref="G5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8" s="2" t="s">
        <v>71</v>
      </c>
      <c r="I548" s="2" t="s">
        <v>29</v>
      </c>
      <c r="J548" s="2">
        <v>1</v>
      </c>
      <c r="K548" s="8">
        <v>5499</v>
      </c>
      <c r="L548" s="3">
        <v>0.1</v>
      </c>
      <c r="M548" s="12">
        <f>K548*L548</f>
        <v>549.9</v>
      </c>
      <c r="N548" s="12">
        <f>K548*J548</f>
        <v>5499</v>
      </c>
      <c r="O548" s="12">
        <f>N548-M548</f>
        <v>4949.1000000000004</v>
      </c>
      <c r="P548" s="2" t="s">
        <v>17</v>
      </c>
      <c r="Q548" s="2" t="s">
        <v>18</v>
      </c>
      <c r="R548" s="2">
        <v>40</v>
      </c>
      <c r="S548" s="20">
        <f>Table1[[#This Row],[Net_revenue]]/Table1[[#This Row],[Gross_revenue]]*100%</f>
        <v>0.9</v>
      </c>
      <c r="T548" s="18">
        <f>COUNTIFS(Table1[Customer ID], "&gt;1", Table1[Customer ID], 1)</f>
        <v>0</v>
      </c>
    </row>
    <row r="549" spans="1:20" hidden="1" x14ac:dyDescent="0.3">
      <c r="A549" s="2" t="s">
        <v>986</v>
      </c>
      <c r="B549" s="5">
        <v>45808</v>
      </c>
      <c r="C549" s="5" t="str">
        <f>TEXT(B549,"mmm")</f>
        <v>May</v>
      </c>
      <c r="D549" s="2" t="s">
        <v>987</v>
      </c>
      <c r="E549" s="2" t="s">
        <v>21</v>
      </c>
      <c r="F549" s="2" t="str" cm="1">
        <f t="array" ref="F5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49" s="2" t="str" cm="1">
        <f t="array" ref="G5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49" s="2" t="s">
        <v>36</v>
      </c>
      <c r="I549" s="2" t="s">
        <v>37</v>
      </c>
      <c r="J549" s="2">
        <v>2</v>
      </c>
      <c r="K549" s="8">
        <v>349</v>
      </c>
      <c r="L549" s="3">
        <v>0.1</v>
      </c>
      <c r="M549" s="12">
        <f>K549*L549</f>
        <v>34.9</v>
      </c>
      <c r="N549" s="12">
        <f>K549*J549</f>
        <v>698</v>
      </c>
      <c r="O549" s="12">
        <f>N549-M549</f>
        <v>663.1</v>
      </c>
      <c r="P549" s="2" t="s">
        <v>30</v>
      </c>
      <c r="Q549" s="2" t="s">
        <v>18</v>
      </c>
      <c r="R549" s="2">
        <v>0</v>
      </c>
      <c r="S549" s="20">
        <f>Table1[[#This Row],[Net_revenue]]/Table1[[#This Row],[Gross_revenue]]*100%</f>
        <v>0.95000000000000007</v>
      </c>
      <c r="T549" s="18">
        <f>COUNTIFS(Table1[Customer ID], "&gt;1", Table1[Customer ID], 1)</f>
        <v>0</v>
      </c>
    </row>
    <row r="550" spans="1:20" hidden="1" x14ac:dyDescent="0.3">
      <c r="A550" s="2" t="s">
        <v>988</v>
      </c>
      <c r="B550" s="5">
        <v>45800</v>
      </c>
      <c r="C550" s="5" t="str">
        <f>TEXT(B550,"mmm")</f>
        <v>May</v>
      </c>
      <c r="D550" s="2" t="s">
        <v>192</v>
      </c>
      <c r="E550" s="2" t="s">
        <v>40</v>
      </c>
      <c r="F550" s="2" t="str" cm="1">
        <f t="array" ref="F5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50" s="2" t="str" cm="1">
        <f t="array" ref="G5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50" s="2" t="s">
        <v>98</v>
      </c>
      <c r="I550" s="2" t="s">
        <v>37</v>
      </c>
      <c r="J550" s="2">
        <v>1</v>
      </c>
      <c r="K550" s="8">
        <v>299</v>
      </c>
      <c r="L550" s="3">
        <v>0</v>
      </c>
      <c r="M550" s="12">
        <f>K550*L550</f>
        <v>0</v>
      </c>
      <c r="N550" s="12">
        <f>K550*J550</f>
        <v>299</v>
      </c>
      <c r="O550" s="12">
        <f>N550-M550</f>
        <v>299</v>
      </c>
      <c r="P550" s="2" t="s">
        <v>30</v>
      </c>
      <c r="Q550" s="2" t="s">
        <v>18</v>
      </c>
      <c r="R550" s="2">
        <v>40</v>
      </c>
      <c r="S550" s="20">
        <f>Table1[[#This Row],[Net_revenue]]/Table1[[#This Row],[Gross_revenue]]*100%</f>
        <v>1</v>
      </c>
      <c r="T550" s="18">
        <f>COUNTIFS(Table1[Customer ID], "&gt;1", Table1[Customer ID], 1)</f>
        <v>0</v>
      </c>
    </row>
    <row r="551" spans="1:20" hidden="1" x14ac:dyDescent="0.3">
      <c r="A551" s="2" t="s">
        <v>989</v>
      </c>
      <c r="B551" s="5">
        <v>45702</v>
      </c>
      <c r="C551" s="5" t="str">
        <f>TEXT(B551,"mmm")</f>
        <v>Feb</v>
      </c>
      <c r="D551" s="2" t="s">
        <v>923</v>
      </c>
      <c r="E551" s="2" t="s">
        <v>27</v>
      </c>
      <c r="F551" s="2" t="str" cm="1">
        <f t="array" ref="F5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51" s="2" t="str" cm="1">
        <f t="array" ref="G5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51" s="2" t="s">
        <v>107</v>
      </c>
      <c r="I551" s="2" t="s">
        <v>95</v>
      </c>
      <c r="J551" s="2">
        <v>1</v>
      </c>
      <c r="K551" s="8">
        <v>1599</v>
      </c>
      <c r="L551" s="3">
        <v>0.25</v>
      </c>
      <c r="M551" s="12">
        <f>K551*L551</f>
        <v>399.75</v>
      </c>
      <c r="N551" s="12">
        <f>K551*J551</f>
        <v>1599</v>
      </c>
      <c r="O551" s="12">
        <f>N551-M551</f>
        <v>1199.25</v>
      </c>
      <c r="P551" s="2" t="s">
        <v>30</v>
      </c>
      <c r="Q551" s="2" t="s">
        <v>18</v>
      </c>
      <c r="R551" s="2">
        <v>40</v>
      </c>
      <c r="S551" s="20">
        <f>Table1[[#This Row],[Net_revenue]]/Table1[[#This Row],[Gross_revenue]]*100%</f>
        <v>0.75</v>
      </c>
      <c r="T551" s="18">
        <f>COUNTIFS(Table1[Customer ID], "&gt;1", Table1[Customer ID], 1)</f>
        <v>0</v>
      </c>
    </row>
    <row r="552" spans="1:20" hidden="1" x14ac:dyDescent="0.3">
      <c r="A552" s="2" t="s">
        <v>990</v>
      </c>
      <c r="B552" s="5">
        <v>45666</v>
      </c>
      <c r="C552" s="5" t="str">
        <f>TEXT(B552,"mmm")</f>
        <v>Jan</v>
      </c>
      <c r="D552" s="2" t="s">
        <v>624</v>
      </c>
      <c r="E552" s="2" t="s">
        <v>48</v>
      </c>
      <c r="F552" s="2" t="str" cm="1">
        <f t="array" ref="F5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52" s="2" t="str" cm="1">
        <f t="array" ref="G5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52" s="2" t="s">
        <v>71</v>
      </c>
      <c r="I552" s="2" t="s">
        <v>29</v>
      </c>
      <c r="J552" s="2">
        <v>3</v>
      </c>
      <c r="K552" s="8">
        <v>5499</v>
      </c>
      <c r="L552" s="3">
        <v>0</v>
      </c>
      <c r="M552" s="12">
        <f>K552*L552</f>
        <v>0</v>
      </c>
      <c r="N552" s="12">
        <f>K552*J552</f>
        <v>16497</v>
      </c>
      <c r="O552" s="12">
        <f>N552-M552</f>
        <v>16497</v>
      </c>
      <c r="P552" s="2" t="s">
        <v>17</v>
      </c>
      <c r="Q552" s="2" t="s">
        <v>18</v>
      </c>
      <c r="R552" s="2">
        <v>40</v>
      </c>
      <c r="S552" s="20">
        <f>Table1[[#This Row],[Net_revenue]]/Table1[[#This Row],[Gross_revenue]]*100%</f>
        <v>1</v>
      </c>
      <c r="T552" s="18">
        <f>COUNTIFS(Table1[Customer ID], "&gt;1", Table1[Customer ID], 1)</f>
        <v>0</v>
      </c>
    </row>
    <row r="553" spans="1:20" hidden="1" x14ac:dyDescent="0.3">
      <c r="A553" s="2" t="s">
        <v>991</v>
      </c>
      <c r="B553" s="5">
        <v>45720</v>
      </c>
      <c r="C553" s="5" t="str">
        <f>TEXT(B553,"mmm")</f>
        <v>Mar</v>
      </c>
      <c r="D553" s="2" t="s">
        <v>209</v>
      </c>
      <c r="E553" s="2" t="s">
        <v>56</v>
      </c>
      <c r="F553" s="2" t="str" cm="1">
        <f t="array" ref="F5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53" s="2" t="str" cm="1">
        <f t="array" ref="G5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53" s="2" t="s">
        <v>68</v>
      </c>
      <c r="I553" s="2" t="s">
        <v>16</v>
      </c>
      <c r="J553" s="2">
        <v>4</v>
      </c>
      <c r="K553" s="8">
        <v>599</v>
      </c>
      <c r="L553" s="3">
        <v>0</v>
      </c>
      <c r="M553" s="12">
        <f>K553*L553</f>
        <v>0</v>
      </c>
      <c r="N553" s="12">
        <f>K553*J553</f>
        <v>2396</v>
      </c>
      <c r="O553" s="12">
        <f>N553-M553</f>
        <v>2396</v>
      </c>
      <c r="P553" s="2" t="s">
        <v>45</v>
      </c>
      <c r="Q553" s="2" t="s">
        <v>18</v>
      </c>
      <c r="R553" s="2">
        <v>40</v>
      </c>
      <c r="S553" s="20">
        <f>Table1[[#This Row],[Net_revenue]]/Table1[[#This Row],[Gross_revenue]]*100%</f>
        <v>1</v>
      </c>
      <c r="T553" s="18">
        <f>COUNTIFS(Table1[Customer ID], "&gt;1", Table1[Customer ID], 1)</f>
        <v>0</v>
      </c>
    </row>
    <row r="554" spans="1:20" hidden="1" x14ac:dyDescent="0.3">
      <c r="A554" s="2" t="s">
        <v>992</v>
      </c>
      <c r="B554" s="5">
        <v>45889</v>
      </c>
      <c r="C554" s="5" t="str">
        <f>TEXT(B554,"mmm")</f>
        <v>Aug</v>
      </c>
      <c r="D554" s="2" t="s">
        <v>649</v>
      </c>
      <c r="E554" s="2" t="s">
        <v>21</v>
      </c>
      <c r="F554" s="2" t="str" cm="1">
        <f t="array" ref="F5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54" s="2" t="str" cm="1">
        <f t="array" ref="G5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54" s="2" t="s">
        <v>63</v>
      </c>
      <c r="I554" s="2" t="s">
        <v>23</v>
      </c>
      <c r="J554" s="2">
        <v>4</v>
      </c>
      <c r="K554" s="8">
        <v>2499</v>
      </c>
      <c r="L554" s="3">
        <v>0.2</v>
      </c>
      <c r="M554" s="12">
        <f>K554*L554</f>
        <v>499.8</v>
      </c>
      <c r="N554" s="12">
        <f>K554*J554</f>
        <v>9996</v>
      </c>
      <c r="O554" s="12">
        <f>N554-M554</f>
        <v>9496.2000000000007</v>
      </c>
      <c r="P554" s="2" t="s">
        <v>17</v>
      </c>
      <c r="Q554" s="2" t="s">
        <v>18</v>
      </c>
      <c r="R554" s="2">
        <v>60</v>
      </c>
      <c r="S554" s="20">
        <f>Table1[[#This Row],[Net_revenue]]/Table1[[#This Row],[Gross_revenue]]*100%</f>
        <v>0.95000000000000007</v>
      </c>
      <c r="T554" s="18">
        <f>COUNTIFS(Table1[Customer ID], "&gt;1", Table1[Customer ID], 1)</f>
        <v>0</v>
      </c>
    </row>
    <row r="555" spans="1:20" hidden="1" x14ac:dyDescent="0.3">
      <c r="A555" s="2" t="s">
        <v>993</v>
      </c>
      <c r="B555" s="5">
        <v>45874</v>
      </c>
      <c r="C555" s="5" t="str">
        <f>TEXT(B555,"mmm")</f>
        <v>Aug</v>
      </c>
      <c r="D555" s="2" t="s">
        <v>994</v>
      </c>
      <c r="E555" s="2" t="s">
        <v>27</v>
      </c>
      <c r="F555" s="2" t="str" cm="1">
        <f t="array" ref="F5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55" s="2" t="str" cm="1">
        <f t="array" ref="G5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55" s="2" t="s">
        <v>188</v>
      </c>
      <c r="I555" s="2" t="s">
        <v>95</v>
      </c>
      <c r="J555" s="2">
        <v>2</v>
      </c>
      <c r="K555" s="8">
        <v>699</v>
      </c>
      <c r="L555" s="3">
        <v>0.25</v>
      </c>
      <c r="M555" s="12">
        <f>K555*L555</f>
        <v>174.75</v>
      </c>
      <c r="N555" s="12">
        <f>K555*J555</f>
        <v>1398</v>
      </c>
      <c r="O555" s="12">
        <f>N555-M555</f>
        <v>1223.25</v>
      </c>
      <c r="P555" s="2" t="s">
        <v>30</v>
      </c>
      <c r="Q555" s="2" t="s">
        <v>50</v>
      </c>
      <c r="R555" s="2">
        <v>60</v>
      </c>
      <c r="S555" s="20">
        <f>Table1[[#This Row],[Net_revenue]]/Table1[[#This Row],[Gross_revenue]]*100%</f>
        <v>0.875</v>
      </c>
      <c r="T555" s="18">
        <f>COUNTIFS(Table1[Customer ID], "&gt;1", Table1[Customer ID], 1)</f>
        <v>0</v>
      </c>
    </row>
    <row r="556" spans="1:20" hidden="1" x14ac:dyDescent="0.3">
      <c r="A556" s="2" t="s">
        <v>995</v>
      </c>
      <c r="B556" s="5">
        <v>45772</v>
      </c>
      <c r="C556" s="5" t="str">
        <f>TEXT(B556,"mmm")</f>
        <v>Apr</v>
      </c>
      <c r="D556" s="2" t="s">
        <v>517</v>
      </c>
      <c r="E556" s="2" t="s">
        <v>14</v>
      </c>
      <c r="F556" s="2" t="str" cm="1">
        <f t="array" ref="F5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56" s="2" t="str" cm="1">
        <f t="array" ref="G5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56" s="2" t="s">
        <v>44</v>
      </c>
      <c r="I556" s="2" t="s">
        <v>16</v>
      </c>
      <c r="J556" s="2">
        <v>1</v>
      </c>
      <c r="K556" s="8">
        <v>1599</v>
      </c>
      <c r="L556" s="3">
        <v>0</v>
      </c>
      <c r="M556" s="12">
        <f>K556*L556</f>
        <v>0</v>
      </c>
      <c r="N556" s="12">
        <f>K556*J556</f>
        <v>1599</v>
      </c>
      <c r="O556" s="12">
        <f>N556-M556</f>
        <v>1599</v>
      </c>
      <c r="P556" s="2" t="s">
        <v>45</v>
      </c>
      <c r="Q556" s="2" t="s">
        <v>50</v>
      </c>
      <c r="R556" s="2">
        <v>60</v>
      </c>
      <c r="S556" s="20">
        <f>Table1[[#This Row],[Net_revenue]]/Table1[[#This Row],[Gross_revenue]]*100%</f>
        <v>1</v>
      </c>
      <c r="T556" s="18">
        <f>COUNTIFS(Table1[Customer ID], "&gt;1", Table1[Customer ID], 1)</f>
        <v>0</v>
      </c>
    </row>
    <row r="557" spans="1:20" hidden="1" x14ac:dyDescent="0.3">
      <c r="A557" s="2" t="s">
        <v>996</v>
      </c>
      <c r="B557" s="5">
        <v>45769</v>
      </c>
      <c r="C557" s="5" t="str">
        <f>TEXT(B557,"mmm")</f>
        <v>Apr</v>
      </c>
      <c r="D557" s="2" t="s">
        <v>695</v>
      </c>
      <c r="E557" s="2" t="s">
        <v>14</v>
      </c>
      <c r="F557" s="2" t="str" cm="1">
        <f t="array" ref="F5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57" s="2" t="str" cm="1">
        <f t="array" ref="G5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57" s="2" t="s">
        <v>217</v>
      </c>
      <c r="I557" s="2" t="s">
        <v>29</v>
      </c>
      <c r="J557" s="2">
        <v>2</v>
      </c>
      <c r="K557" s="8">
        <v>3299</v>
      </c>
      <c r="L557" s="3">
        <v>0.05</v>
      </c>
      <c r="M557" s="12">
        <f>K557*L557</f>
        <v>164.95000000000002</v>
      </c>
      <c r="N557" s="12">
        <f>K557*J557</f>
        <v>6598</v>
      </c>
      <c r="O557" s="12">
        <f>N557-M557</f>
        <v>6433.05</v>
      </c>
      <c r="P557" s="2" t="s">
        <v>30</v>
      </c>
      <c r="Q557" s="2" t="s">
        <v>18</v>
      </c>
      <c r="R557" s="2">
        <v>80</v>
      </c>
      <c r="S557" s="20">
        <f>Table1[[#This Row],[Net_revenue]]/Table1[[#This Row],[Gross_revenue]]*100%</f>
        <v>0.97499999999999998</v>
      </c>
      <c r="T557" s="18">
        <f>COUNTIFS(Table1[Customer ID], "&gt;1", Table1[Customer ID], 1)</f>
        <v>0</v>
      </c>
    </row>
    <row r="558" spans="1:20" hidden="1" x14ac:dyDescent="0.3">
      <c r="A558" s="2" t="s">
        <v>997</v>
      </c>
      <c r="B558" s="5">
        <v>45929</v>
      </c>
      <c r="C558" s="5" t="str">
        <f>TEXT(B558,"mmm")</f>
        <v>Sep</v>
      </c>
      <c r="D558" s="2" t="s">
        <v>998</v>
      </c>
      <c r="E558" s="2" t="s">
        <v>120</v>
      </c>
      <c r="F558" s="2" t="str" cm="1">
        <f t="array" ref="F5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58" s="2" t="str" cm="1">
        <f t="array" ref="G5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58" s="2" t="s">
        <v>183</v>
      </c>
      <c r="I558" s="2" t="s">
        <v>37</v>
      </c>
      <c r="J558" s="2">
        <v>2</v>
      </c>
      <c r="K558" s="8">
        <v>499</v>
      </c>
      <c r="L558" s="3">
        <v>0.25</v>
      </c>
      <c r="M558" s="12">
        <f>K558*L558</f>
        <v>124.75</v>
      </c>
      <c r="N558" s="12">
        <f>K558*J558</f>
        <v>998</v>
      </c>
      <c r="O558" s="12">
        <f>N558-M558</f>
        <v>873.25</v>
      </c>
      <c r="P558" s="2" t="s">
        <v>45</v>
      </c>
      <c r="Q558" s="2" t="s">
        <v>18</v>
      </c>
      <c r="R558" s="2">
        <v>60</v>
      </c>
      <c r="S558" s="20">
        <f>Table1[[#This Row],[Net_revenue]]/Table1[[#This Row],[Gross_revenue]]*100%</f>
        <v>0.875</v>
      </c>
      <c r="T558" s="18">
        <f>COUNTIFS(Table1[Customer ID], "&gt;1", Table1[Customer ID], 1)</f>
        <v>0</v>
      </c>
    </row>
    <row r="559" spans="1:20" hidden="1" x14ac:dyDescent="0.3">
      <c r="A559" s="2" t="s">
        <v>999</v>
      </c>
      <c r="B559" s="5">
        <v>46020</v>
      </c>
      <c r="C559" s="5" t="str">
        <f>TEXT(B559,"mmm")</f>
        <v>Dec</v>
      </c>
      <c r="D559" s="2" t="s">
        <v>1000</v>
      </c>
      <c r="E559" s="2" t="s">
        <v>21</v>
      </c>
      <c r="F559" s="2" t="str" cm="1">
        <f t="array" ref="F5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59" s="2" t="str" cm="1">
        <f t="array" ref="G5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59" s="2" t="s">
        <v>80</v>
      </c>
      <c r="I559" s="2" t="s">
        <v>23</v>
      </c>
      <c r="J559" s="2">
        <v>1</v>
      </c>
      <c r="K559" s="8">
        <v>799</v>
      </c>
      <c r="L559" s="3">
        <v>0.1</v>
      </c>
      <c r="M559" s="12">
        <f>K559*L559</f>
        <v>79.900000000000006</v>
      </c>
      <c r="N559" s="12">
        <f>K559*J559</f>
        <v>799</v>
      </c>
      <c r="O559" s="12">
        <f>N559-M559</f>
        <v>719.1</v>
      </c>
      <c r="P559" s="2" t="s">
        <v>45</v>
      </c>
      <c r="Q559" s="2" t="s">
        <v>18</v>
      </c>
      <c r="R559" s="2">
        <v>60</v>
      </c>
      <c r="S559" s="20">
        <f>Table1[[#This Row],[Net_revenue]]/Table1[[#This Row],[Gross_revenue]]*100%</f>
        <v>0.9</v>
      </c>
      <c r="T559" s="18">
        <f>COUNTIFS(Table1[Customer ID], "&gt;1", Table1[Customer ID], 1)</f>
        <v>0</v>
      </c>
    </row>
    <row r="560" spans="1:20" hidden="1" x14ac:dyDescent="0.3">
      <c r="A560" s="2" t="s">
        <v>1001</v>
      </c>
      <c r="B560" s="5">
        <v>45902</v>
      </c>
      <c r="C560" s="5" t="str">
        <f>TEXT(B560,"mmm")</f>
        <v>Sep</v>
      </c>
      <c r="D560" s="2" t="s">
        <v>1002</v>
      </c>
      <c r="E560" s="2" t="s">
        <v>21</v>
      </c>
      <c r="F560" s="2" t="str" cm="1">
        <f t="array" ref="F5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60" s="2" t="str" cm="1">
        <f t="array" ref="G5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60" s="2" t="s">
        <v>217</v>
      </c>
      <c r="I560" s="2" t="s">
        <v>29</v>
      </c>
      <c r="J560" s="2">
        <v>1</v>
      </c>
      <c r="K560" s="8">
        <v>3299</v>
      </c>
      <c r="L560" s="3">
        <v>0.1</v>
      </c>
      <c r="M560" s="12">
        <f>K560*L560</f>
        <v>329.90000000000003</v>
      </c>
      <c r="N560" s="12">
        <f>K560*J560</f>
        <v>3299</v>
      </c>
      <c r="O560" s="12">
        <f>N560-M560</f>
        <v>2969.1</v>
      </c>
      <c r="P560" s="2" t="s">
        <v>30</v>
      </c>
      <c r="Q560" s="2" t="s">
        <v>18</v>
      </c>
      <c r="R560" s="2">
        <v>80</v>
      </c>
      <c r="S560" s="20">
        <f>Table1[[#This Row],[Net_revenue]]/Table1[[#This Row],[Gross_revenue]]*100%</f>
        <v>0.9</v>
      </c>
      <c r="T560" s="18">
        <f>COUNTIFS(Table1[Customer ID], "&gt;1", Table1[Customer ID], 1)</f>
        <v>0</v>
      </c>
    </row>
    <row r="561" spans="1:20" hidden="1" x14ac:dyDescent="0.3">
      <c r="A561" s="2" t="s">
        <v>1003</v>
      </c>
      <c r="B561" s="5">
        <v>45958</v>
      </c>
      <c r="C561" s="5" t="str">
        <f>TEXT(B561,"mmm")</f>
        <v>Oct</v>
      </c>
      <c r="D561" s="2" t="s">
        <v>832</v>
      </c>
      <c r="E561" s="2" t="s">
        <v>14</v>
      </c>
      <c r="F561" s="2" t="str" cm="1">
        <f t="array" ref="F5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61" s="2" t="str" cm="1">
        <f t="array" ref="G5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61" s="2" t="s">
        <v>94</v>
      </c>
      <c r="I561" s="2" t="s">
        <v>95</v>
      </c>
      <c r="J561" s="2">
        <v>1</v>
      </c>
      <c r="K561" s="8">
        <v>399</v>
      </c>
      <c r="L561" s="3">
        <v>0</v>
      </c>
      <c r="M561" s="12">
        <f>K561*L561</f>
        <v>0</v>
      </c>
      <c r="N561" s="12">
        <f>K561*J561</f>
        <v>399</v>
      </c>
      <c r="O561" s="12">
        <f>N561-M561</f>
        <v>399</v>
      </c>
      <c r="P561" s="2" t="s">
        <v>45</v>
      </c>
      <c r="Q561" s="2" t="s">
        <v>18</v>
      </c>
      <c r="R561" s="2">
        <v>60</v>
      </c>
      <c r="S561" s="20">
        <f>Table1[[#This Row],[Net_revenue]]/Table1[[#This Row],[Gross_revenue]]*100%</f>
        <v>1</v>
      </c>
      <c r="T561" s="18">
        <f>COUNTIFS(Table1[Customer ID], "&gt;1", Table1[Customer ID], 1)</f>
        <v>0</v>
      </c>
    </row>
    <row r="562" spans="1:20" hidden="1" x14ac:dyDescent="0.3">
      <c r="A562" s="2" t="s">
        <v>1004</v>
      </c>
      <c r="B562" s="5">
        <v>45822</v>
      </c>
      <c r="C562" s="5" t="str">
        <f>TEXT(B562,"mmm")</f>
        <v>Jun</v>
      </c>
      <c r="D562" s="2" t="s">
        <v>509</v>
      </c>
      <c r="E562" s="2" t="s">
        <v>56</v>
      </c>
      <c r="F562" s="2" t="str" cm="1">
        <f t="array" ref="F5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62" s="2" t="str" cm="1">
        <f t="array" ref="G5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62" s="2" t="s">
        <v>71</v>
      </c>
      <c r="I562" s="2" t="s">
        <v>29</v>
      </c>
      <c r="J562" s="2">
        <v>2</v>
      </c>
      <c r="K562" s="8">
        <v>5499</v>
      </c>
      <c r="L562" s="3">
        <v>0.2</v>
      </c>
      <c r="M562" s="12">
        <f>K562*L562</f>
        <v>1099.8</v>
      </c>
      <c r="N562" s="12">
        <f>K562*J562</f>
        <v>10998</v>
      </c>
      <c r="O562" s="12">
        <f>N562-M562</f>
        <v>9898.2000000000007</v>
      </c>
      <c r="P562" s="2" t="s">
        <v>17</v>
      </c>
      <c r="Q562" s="2" t="s">
        <v>18</v>
      </c>
      <c r="R562" s="2">
        <v>60</v>
      </c>
      <c r="S562" s="20">
        <f>Table1[[#This Row],[Net_revenue]]/Table1[[#This Row],[Gross_revenue]]*100%</f>
        <v>0.9</v>
      </c>
      <c r="T562" s="18">
        <f>COUNTIFS(Table1[Customer ID], "&gt;1", Table1[Customer ID], 1)</f>
        <v>0</v>
      </c>
    </row>
    <row r="563" spans="1:20" hidden="1" x14ac:dyDescent="0.3">
      <c r="A563" s="2" t="s">
        <v>1005</v>
      </c>
      <c r="B563" s="5">
        <v>45692</v>
      </c>
      <c r="C563" s="5" t="str">
        <f>TEXT(B563,"mmm")</f>
        <v>Feb</v>
      </c>
      <c r="D563" s="2" t="s">
        <v>1006</v>
      </c>
      <c r="E563" s="2" t="s">
        <v>21</v>
      </c>
      <c r="F563" s="2" t="str" cm="1">
        <f t="array" ref="F5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63" s="2" t="str" cm="1">
        <f t="array" ref="G5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63" s="2" t="s">
        <v>63</v>
      </c>
      <c r="I563" s="2" t="s">
        <v>23</v>
      </c>
      <c r="J563" s="2">
        <v>1</v>
      </c>
      <c r="K563" s="8">
        <v>2499</v>
      </c>
      <c r="L563" s="3">
        <v>0.1</v>
      </c>
      <c r="M563" s="12">
        <f>K563*L563</f>
        <v>249.9</v>
      </c>
      <c r="N563" s="12">
        <f>K563*J563</f>
        <v>2499</v>
      </c>
      <c r="O563" s="12">
        <f>N563-M563</f>
        <v>2249.1</v>
      </c>
      <c r="P563" s="2" t="s">
        <v>45</v>
      </c>
      <c r="Q563" s="2" t="s">
        <v>72</v>
      </c>
      <c r="R563" s="2">
        <v>80</v>
      </c>
      <c r="S563" s="20">
        <f>Table1[[#This Row],[Net_revenue]]/Table1[[#This Row],[Gross_revenue]]*100%</f>
        <v>0.89999999999999991</v>
      </c>
      <c r="T563" s="18">
        <f>COUNTIFS(Table1[Customer ID], "&gt;1", Table1[Customer ID], 1)</f>
        <v>0</v>
      </c>
    </row>
    <row r="564" spans="1:20" hidden="1" x14ac:dyDescent="0.3">
      <c r="A564" s="2" t="s">
        <v>1007</v>
      </c>
      <c r="B564" s="5">
        <v>45771</v>
      </c>
      <c r="C564" s="5" t="str">
        <f>TEXT(B564,"mmm")</f>
        <v>Apr</v>
      </c>
      <c r="D564" s="2" t="s">
        <v>579</v>
      </c>
      <c r="E564" s="2" t="s">
        <v>120</v>
      </c>
      <c r="F564" s="2" t="str" cm="1">
        <f t="array" ref="F5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64" s="2" t="str" cm="1">
        <f t="array" ref="G5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64" s="2" t="s">
        <v>71</v>
      </c>
      <c r="I564" s="2" t="s">
        <v>29</v>
      </c>
      <c r="J564" s="2">
        <v>2</v>
      </c>
      <c r="K564" s="8">
        <v>5499</v>
      </c>
      <c r="L564" s="3">
        <v>0.1</v>
      </c>
      <c r="M564" s="12">
        <f>K564*L564</f>
        <v>549.9</v>
      </c>
      <c r="N564" s="12">
        <f>K564*J564</f>
        <v>10998</v>
      </c>
      <c r="O564" s="12">
        <f>N564-M564</f>
        <v>10448.1</v>
      </c>
      <c r="P564" s="2" t="s">
        <v>17</v>
      </c>
      <c r="Q564" s="2" t="s">
        <v>18</v>
      </c>
      <c r="R564" s="2">
        <v>0</v>
      </c>
      <c r="S564" s="20">
        <f>Table1[[#This Row],[Net_revenue]]/Table1[[#This Row],[Gross_revenue]]*100%</f>
        <v>0.95000000000000007</v>
      </c>
      <c r="T564" s="18">
        <f>COUNTIFS(Table1[Customer ID], "&gt;1", Table1[Customer ID], 1)</f>
        <v>0</v>
      </c>
    </row>
    <row r="565" spans="1:20" hidden="1" x14ac:dyDescent="0.3">
      <c r="A565" s="2" t="s">
        <v>1008</v>
      </c>
      <c r="B565" s="5">
        <v>45874</v>
      </c>
      <c r="C565" s="5" t="str">
        <f>TEXT(B565,"mmm")</f>
        <v>Aug</v>
      </c>
      <c r="D565" s="2" t="s">
        <v>736</v>
      </c>
      <c r="E565" s="2" t="s">
        <v>48</v>
      </c>
      <c r="F565" s="2" t="str" cm="1">
        <f t="array" ref="F5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65" s="2" t="str" cm="1">
        <f t="array" ref="G5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65" s="2" t="s">
        <v>65</v>
      </c>
      <c r="I565" s="2" t="s">
        <v>23</v>
      </c>
      <c r="J565" s="2">
        <v>1</v>
      </c>
      <c r="K565" s="8">
        <v>1899</v>
      </c>
      <c r="L565" s="3">
        <v>0.25</v>
      </c>
      <c r="M565" s="12">
        <f>K565*L565</f>
        <v>474.75</v>
      </c>
      <c r="N565" s="12">
        <f>K565*J565</f>
        <v>1899</v>
      </c>
      <c r="O565" s="12">
        <f>N565-M565</f>
        <v>1424.25</v>
      </c>
      <c r="P565" s="2" t="s">
        <v>17</v>
      </c>
      <c r="Q565" s="2" t="s">
        <v>18</v>
      </c>
      <c r="R565" s="2">
        <v>0</v>
      </c>
      <c r="S565" s="20">
        <f>Table1[[#This Row],[Net_revenue]]/Table1[[#This Row],[Gross_revenue]]*100%</f>
        <v>0.75</v>
      </c>
      <c r="T565" s="18">
        <f>COUNTIFS(Table1[Customer ID], "&gt;1", Table1[Customer ID], 1)</f>
        <v>0</v>
      </c>
    </row>
    <row r="566" spans="1:20" hidden="1" x14ac:dyDescent="0.3">
      <c r="A566" s="2" t="s">
        <v>1009</v>
      </c>
      <c r="B566" s="5">
        <v>45882</v>
      </c>
      <c r="C566" s="5" t="str">
        <f>TEXT(B566,"mmm")</f>
        <v>Aug</v>
      </c>
      <c r="D566" s="2" t="s">
        <v>1010</v>
      </c>
      <c r="E566" s="2" t="s">
        <v>27</v>
      </c>
      <c r="F566" s="2" t="str" cm="1">
        <f t="array" ref="F5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66" s="2" t="str" cm="1">
        <f t="array" ref="G5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66" s="2" t="s">
        <v>217</v>
      </c>
      <c r="I566" s="2" t="s">
        <v>29</v>
      </c>
      <c r="J566" s="2">
        <v>1</v>
      </c>
      <c r="K566" s="8">
        <v>3299</v>
      </c>
      <c r="L566" s="3">
        <v>0.05</v>
      </c>
      <c r="M566" s="12">
        <f>K566*L566</f>
        <v>164.95000000000002</v>
      </c>
      <c r="N566" s="12">
        <f>K566*J566</f>
        <v>3299</v>
      </c>
      <c r="O566" s="12">
        <f>N566-M566</f>
        <v>3134.05</v>
      </c>
      <c r="P566" s="2" t="s">
        <v>17</v>
      </c>
      <c r="Q566" s="2" t="s">
        <v>18</v>
      </c>
      <c r="R566" s="2">
        <v>80</v>
      </c>
      <c r="S566" s="20">
        <f>Table1[[#This Row],[Net_revenue]]/Table1[[#This Row],[Gross_revenue]]*100%</f>
        <v>0.95000000000000007</v>
      </c>
      <c r="T566" s="18">
        <f>COUNTIFS(Table1[Customer ID], "&gt;1", Table1[Customer ID], 1)</f>
        <v>0</v>
      </c>
    </row>
    <row r="567" spans="1:20" hidden="1" x14ac:dyDescent="0.3">
      <c r="A567" s="2" t="s">
        <v>1011</v>
      </c>
      <c r="B567" s="5">
        <v>45739</v>
      </c>
      <c r="C567" s="5" t="str">
        <f>TEXT(B567,"mmm")</f>
        <v>Mar</v>
      </c>
      <c r="D567" s="2" t="s">
        <v>1012</v>
      </c>
      <c r="E567" s="2" t="s">
        <v>195</v>
      </c>
      <c r="F567" s="2" t="str" cm="1">
        <f t="array" ref="F5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567" s="2" t="str" cm="1">
        <f t="array" ref="G5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67" s="2" t="s">
        <v>134</v>
      </c>
      <c r="I567" s="2" t="s">
        <v>29</v>
      </c>
      <c r="J567" s="2">
        <v>1</v>
      </c>
      <c r="K567" s="8">
        <v>1499</v>
      </c>
      <c r="L567" s="3">
        <v>0.2</v>
      </c>
      <c r="M567" s="12">
        <f>K567*L567</f>
        <v>299.8</v>
      </c>
      <c r="N567" s="12">
        <f>K567*J567</f>
        <v>1499</v>
      </c>
      <c r="O567" s="12">
        <f>N567-M567</f>
        <v>1199.2</v>
      </c>
      <c r="P567" s="2" t="s">
        <v>30</v>
      </c>
      <c r="Q567" s="2" t="s">
        <v>18</v>
      </c>
      <c r="R567" s="2">
        <v>40</v>
      </c>
      <c r="S567" s="20">
        <f>Table1[[#This Row],[Net_revenue]]/Table1[[#This Row],[Gross_revenue]]*100%</f>
        <v>0.8</v>
      </c>
      <c r="T567" s="18">
        <f>COUNTIFS(Table1[Customer ID], "&gt;1", Table1[Customer ID], 1)</f>
        <v>0</v>
      </c>
    </row>
    <row r="568" spans="1:20" hidden="1" x14ac:dyDescent="0.3">
      <c r="A568" s="2" t="s">
        <v>1013</v>
      </c>
      <c r="B568" s="5">
        <v>45877</v>
      </c>
      <c r="C568" s="5" t="str">
        <f>TEXT(B568,"mmm")</f>
        <v>Aug</v>
      </c>
      <c r="D568" s="2" t="s">
        <v>241</v>
      </c>
      <c r="E568" s="2" t="s">
        <v>53</v>
      </c>
      <c r="F568" s="2" t="str" cm="1">
        <f t="array" ref="F5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568" s="2" t="str" cm="1">
        <f t="array" ref="G5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68" s="2" t="s">
        <v>121</v>
      </c>
      <c r="I568" s="2" t="s">
        <v>95</v>
      </c>
      <c r="J568" s="2">
        <v>2</v>
      </c>
      <c r="K568" s="8">
        <v>1299</v>
      </c>
      <c r="L568" s="3">
        <v>0.1</v>
      </c>
      <c r="M568" s="12">
        <f>K568*L568</f>
        <v>129.9</v>
      </c>
      <c r="N568" s="12">
        <f>K568*J568</f>
        <v>2598</v>
      </c>
      <c r="O568" s="12">
        <f>N568-M568</f>
        <v>2468.1</v>
      </c>
      <c r="P568" s="2" t="s">
        <v>17</v>
      </c>
      <c r="Q568" s="2" t="s">
        <v>50</v>
      </c>
      <c r="R568" s="2">
        <v>80</v>
      </c>
      <c r="S568" s="20">
        <f>Table1[[#This Row],[Net_revenue]]/Table1[[#This Row],[Gross_revenue]]*100%</f>
        <v>0.95</v>
      </c>
      <c r="T568" s="18">
        <f>COUNTIFS(Table1[Customer ID], "&gt;1", Table1[Customer ID], 1)</f>
        <v>0</v>
      </c>
    </row>
    <row r="569" spans="1:20" hidden="1" x14ac:dyDescent="0.3">
      <c r="A569" s="2" t="s">
        <v>1014</v>
      </c>
      <c r="B569" s="5">
        <v>45742</v>
      </c>
      <c r="C569" s="5" t="str">
        <f>TEXT(B569,"mmm")</f>
        <v>Mar</v>
      </c>
      <c r="D569" s="2" t="s">
        <v>1015</v>
      </c>
      <c r="E569" s="2" t="s">
        <v>48</v>
      </c>
      <c r="F569" s="2" t="str" cm="1">
        <f t="array" ref="F5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69" s="2" t="str" cm="1">
        <f t="array" ref="G5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69" s="2" t="s">
        <v>63</v>
      </c>
      <c r="I569" s="2" t="s">
        <v>23</v>
      </c>
      <c r="J569" s="2">
        <v>1</v>
      </c>
      <c r="K569" s="8">
        <v>2499</v>
      </c>
      <c r="L569" s="3">
        <v>0.1</v>
      </c>
      <c r="M569" s="12">
        <f>K569*L569</f>
        <v>249.9</v>
      </c>
      <c r="N569" s="12">
        <f>K569*J569</f>
        <v>2499</v>
      </c>
      <c r="O569" s="12">
        <f>N569-M569</f>
        <v>2249.1</v>
      </c>
      <c r="P569" s="2" t="s">
        <v>45</v>
      </c>
      <c r="Q569" s="2" t="s">
        <v>18</v>
      </c>
      <c r="R569" s="2">
        <v>80</v>
      </c>
      <c r="S569" s="20">
        <f>Table1[[#This Row],[Net_revenue]]/Table1[[#This Row],[Gross_revenue]]*100%</f>
        <v>0.89999999999999991</v>
      </c>
      <c r="T569" s="18">
        <f>COUNTIFS(Table1[Customer ID], "&gt;1", Table1[Customer ID], 1)</f>
        <v>0</v>
      </c>
    </row>
    <row r="570" spans="1:20" hidden="1" x14ac:dyDescent="0.3">
      <c r="A570" s="2" t="s">
        <v>1016</v>
      </c>
      <c r="B570" s="5">
        <v>45930</v>
      </c>
      <c r="C570" s="5" t="str">
        <f>TEXT(B570,"mmm")</f>
        <v>Sep</v>
      </c>
      <c r="D570" s="2" t="s">
        <v>389</v>
      </c>
      <c r="E570" s="2" t="s">
        <v>27</v>
      </c>
      <c r="F570" s="2" t="str" cm="1">
        <f t="array" ref="F5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70" s="2" t="str" cm="1">
        <f t="array" ref="G5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70" s="2" t="s">
        <v>41</v>
      </c>
      <c r="I570" s="2" t="s">
        <v>16</v>
      </c>
      <c r="J570" s="2">
        <v>1</v>
      </c>
      <c r="K570" s="8">
        <v>2299</v>
      </c>
      <c r="L570" s="3">
        <v>0</v>
      </c>
      <c r="M570" s="12">
        <f>K570*L570</f>
        <v>0</v>
      </c>
      <c r="N570" s="12">
        <f>K570*J570</f>
        <v>2299</v>
      </c>
      <c r="O570" s="12">
        <f>N570-M570</f>
        <v>2299</v>
      </c>
      <c r="P570" s="2" t="s">
        <v>30</v>
      </c>
      <c r="Q570" s="2" t="s">
        <v>18</v>
      </c>
      <c r="R570" s="2">
        <v>80</v>
      </c>
      <c r="S570" s="20">
        <f>Table1[[#This Row],[Net_revenue]]/Table1[[#This Row],[Gross_revenue]]*100%</f>
        <v>1</v>
      </c>
      <c r="T570" s="18">
        <f>COUNTIFS(Table1[Customer ID], "&gt;1", Table1[Customer ID], 1)</f>
        <v>0</v>
      </c>
    </row>
    <row r="571" spans="1:20" hidden="1" x14ac:dyDescent="0.3">
      <c r="A571" s="2" t="s">
        <v>1017</v>
      </c>
      <c r="B571" s="5">
        <v>46005</v>
      </c>
      <c r="C571" s="5" t="str">
        <f>TEXT(B571,"mmm")</f>
        <v>Dec</v>
      </c>
      <c r="D571" s="2" t="s">
        <v>168</v>
      </c>
      <c r="E571" s="2" t="s">
        <v>56</v>
      </c>
      <c r="F571" s="2" t="str" cm="1">
        <f t="array" ref="F5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71" s="2" t="str" cm="1">
        <f t="array" ref="G5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71" s="2" t="s">
        <v>183</v>
      </c>
      <c r="I571" s="2" t="s">
        <v>37</v>
      </c>
      <c r="J571" s="2">
        <v>2</v>
      </c>
      <c r="K571" s="8">
        <v>499</v>
      </c>
      <c r="L571" s="3">
        <v>0.1</v>
      </c>
      <c r="M571" s="12">
        <f>K571*L571</f>
        <v>49.900000000000006</v>
      </c>
      <c r="N571" s="12">
        <f>K571*J571</f>
        <v>998</v>
      </c>
      <c r="O571" s="12">
        <f>N571-M571</f>
        <v>948.1</v>
      </c>
      <c r="P571" s="2" t="s">
        <v>30</v>
      </c>
      <c r="Q571" s="2" t="s">
        <v>72</v>
      </c>
      <c r="R571" s="2">
        <v>40</v>
      </c>
      <c r="S571" s="20">
        <f>Table1[[#This Row],[Net_revenue]]/Table1[[#This Row],[Gross_revenue]]*100%</f>
        <v>0.95000000000000007</v>
      </c>
      <c r="T571" s="18">
        <f>COUNTIFS(Table1[Customer ID], "&gt;1", Table1[Customer ID], 1)</f>
        <v>0</v>
      </c>
    </row>
    <row r="572" spans="1:20" hidden="1" x14ac:dyDescent="0.3">
      <c r="A572" s="2" t="s">
        <v>1018</v>
      </c>
      <c r="B572" s="5">
        <v>45987</v>
      </c>
      <c r="C572" s="5" t="str">
        <f>TEXT(B572,"mmm")</f>
        <v>Nov</v>
      </c>
      <c r="D572" s="2" t="s">
        <v>1019</v>
      </c>
      <c r="E572" s="2" t="s">
        <v>40</v>
      </c>
      <c r="F572" s="2" t="str" cm="1">
        <f t="array" ref="F5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72" s="2" t="str" cm="1">
        <f t="array" ref="G5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72" s="2" t="s">
        <v>15</v>
      </c>
      <c r="I572" s="2" t="s">
        <v>16</v>
      </c>
      <c r="J572" s="2">
        <v>1</v>
      </c>
      <c r="K572" s="8">
        <v>1799</v>
      </c>
      <c r="L572" s="3">
        <v>0.15</v>
      </c>
      <c r="M572" s="12">
        <f>K572*L572</f>
        <v>269.84999999999997</v>
      </c>
      <c r="N572" s="12">
        <f>K572*J572</f>
        <v>1799</v>
      </c>
      <c r="O572" s="12">
        <f>N572-M572</f>
        <v>1529.15</v>
      </c>
      <c r="P572" s="2" t="s">
        <v>45</v>
      </c>
      <c r="Q572" s="2" t="s">
        <v>50</v>
      </c>
      <c r="R572" s="2">
        <v>0</v>
      </c>
      <c r="S572" s="20">
        <f>Table1[[#This Row],[Net_revenue]]/Table1[[#This Row],[Gross_revenue]]*100%</f>
        <v>0.85000000000000009</v>
      </c>
      <c r="T572" s="18">
        <f>COUNTIFS(Table1[Customer ID], "&gt;1", Table1[Customer ID], 1)</f>
        <v>0</v>
      </c>
    </row>
    <row r="573" spans="1:20" hidden="1" x14ac:dyDescent="0.3">
      <c r="A573" s="2" t="s">
        <v>1020</v>
      </c>
      <c r="B573" s="5">
        <v>45937</v>
      </c>
      <c r="C573" s="5" t="str">
        <f>TEXT(B573,"mmm")</f>
        <v>Oct</v>
      </c>
      <c r="D573" s="2" t="s">
        <v>814</v>
      </c>
      <c r="E573" s="2" t="s">
        <v>56</v>
      </c>
      <c r="F573" s="2" t="str" cm="1">
        <f t="array" ref="F5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73" s="2" t="str" cm="1">
        <f t="array" ref="G5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73" s="2" t="s">
        <v>65</v>
      </c>
      <c r="I573" s="2" t="s">
        <v>23</v>
      </c>
      <c r="J573" s="2">
        <v>1</v>
      </c>
      <c r="K573" s="8">
        <v>1899</v>
      </c>
      <c r="L573" s="3">
        <v>0</v>
      </c>
      <c r="M573" s="12">
        <f>K573*L573</f>
        <v>0</v>
      </c>
      <c r="N573" s="12">
        <f>K573*J573</f>
        <v>1899</v>
      </c>
      <c r="O573" s="12">
        <f>N573-M573</f>
        <v>1899</v>
      </c>
      <c r="P573" s="2" t="s">
        <v>17</v>
      </c>
      <c r="Q573" s="2" t="s">
        <v>18</v>
      </c>
      <c r="R573" s="2">
        <v>80</v>
      </c>
      <c r="S573" s="20">
        <f>Table1[[#This Row],[Net_revenue]]/Table1[[#This Row],[Gross_revenue]]*100%</f>
        <v>1</v>
      </c>
      <c r="T573" s="18">
        <f>COUNTIFS(Table1[Customer ID], "&gt;1", Table1[Customer ID], 1)</f>
        <v>0</v>
      </c>
    </row>
    <row r="574" spans="1:20" hidden="1" x14ac:dyDescent="0.3">
      <c r="A574" s="2" t="s">
        <v>1021</v>
      </c>
      <c r="B574" s="5">
        <v>45667</v>
      </c>
      <c r="C574" s="5" t="str">
        <f>TEXT(B574,"mmm")</f>
        <v>Jan</v>
      </c>
      <c r="D574" s="2" t="s">
        <v>1022</v>
      </c>
      <c r="E574" s="2" t="s">
        <v>40</v>
      </c>
      <c r="F574" s="2" t="str" cm="1">
        <f t="array" ref="F5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74" s="2" t="str" cm="1">
        <f t="array" ref="G5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74" s="2" t="s">
        <v>98</v>
      </c>
      <c r="I574" s="2" t="s">
        <v>37</v>
      </c>
      <c r="J574" s="2">
        <v>2</v>
      </c>
      <c r="K574" s="8">
        <v>299</v>
      </c>
      <c r="L574" s="3">
        <v>0.15</v>
      </c>
      <c r="M574" s="12">
        <f>K574*L574</f>
        <v>44.85</v>
      </c>
      <c r="N574" s="12">
        <f>K574*J574</f>
        <v>598</v>
      </c>
      <c r="O574" s="12">
        <f>N574-M574</f>
        <v>553.15</v>
      </c>
      <c r="P574" s="2" t="s">
        <v>24</v>
      </c>
      <c r="Q574" s="2" t="s">
        <v>18</v>
      </c>
      <c r="R574" s="2">
        <v>40</v>
      </c>
      <c r="S574" s="20">
        <f>Table1[[#This Row],[Net_revenue]]/Table1[[#This Row],[Gross_revenue]]*100%</f>
        <v>0.92499999999999993</v>
      </c>
      <c r="T574" s="18">
        <f>COUNTIFS(Table1[Customer ID], "&gt;1", Table1[Customer ID], 1)</f>
        <v>0</v>
      </c>
    </row>
    <row r="575" spans="1:20" hidden="1" x14ac:dyDescent="0.3">
      <c r="A575" s="2" t="s">
        <v>1023</v>
      </c>
      <c r="B575" s="5">
        <v>45933</v>
      </c>
      <c r="C575" s="5" t="str">
        <f>TEXT(B575,"mmm")</f>
        <v>Oct</v>
      </c>
      <c r="D575" s="2" t="s">
        <v>1024</v>
      </c>
      <c r="E575" s="2" t="s">
        <v>75</v>
      </c>
      <c r="F575" s="2" t="str" cm="1">
        <f t="array" ref="F5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75" s="2" t="str" cm="1">
        <f t="array" ref="G5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75" s="2" t="s">
        <v>49</v>
      </c>
      <c r="I575" s="2" t="s">
        <v>23</v>
      </c>
      <c r="J575" s="2">
        <v>3</v>
      </c>
      <c r="K575" s="8">
        <v>1299</v>
      </c>
      <c r="L575" s="3">
        <v>0</v>
      </c>
      <c r="M575" s="12">
        <f>K575*L575</f>
        <v>0</v>
      </c>
      <c r="N575" s="12">
        <f>K575*J575</f>
        <v>3897</v>
      </c>
      <c r="O575" s="12">
        <f>N575-M575</f>
        <v>3897</v>
      </c>
      <c r="P575" s="2" t="s">
        <v>17</v>
      </c>
      <c r="Q575" s="2" t="s">
        <v>18</v>
      </c>
      <c r="R575" s="2">
        <v>40</v>
      </c>
      <c r="S575" s="20">
        <f>Table1[[#This Row],[Net_revenue]]/Table1[[#This Row],[Gross_revenue]]*100%</f>
        <v>1</v>
      </c>
      <c r="T575" s="18">
        <f>COUNTIFS(Table1[Customer ID], "&gt;1", Table1[Customer ID], 1)</f>
        <v>0</v>
      </c>
    </row>
    <row r="576" spans="1:20" hidden="1" x14ac:dyDescent="0.3">
      <c r="A576" s="2" t="s">
        <v>1025</v>
      </c>
      <c r="B576" s="5">
        <v>45818</v>
      </c>
      <c r="C576" s="5" t="str">
        <f>TEXT(B576,"mmm")</f>
        <v>Jun</v>
      </c>
      <c r="D576" s="2" t="s">
        <v>1026</v>
      </c>
      <c r="E576" s="2" t="s">
        <v>40</v>
      </c>
      <c r="F576" s="2" t="str" cm="1">
        <f t="array" ref="F5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76" s="2" t="str" cm="1">
        <f t="array" ref="G5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76" s="2" t="s">
        <v>22</v>
      </c>
      <c r="I576" s="2" t="s">
        <v>23</v>
      </c>
      <c r="J576" s="2">
        <v>5</v>
      </c>
      <c r="K576" s="8">
        <v>3999</v>
      </c>
      <c r="L576" s="3">
        <v>0.1</v>
      </c>
      <c r="M576" s="12">
        <f>K576*L576</f>
        <v>399.90000000000003</v>
      </c>
      <c r="N576" s="12">
        <f>K576*J576</f>
        <v>19995</v>
      </c>
      <c r="O576" s="12">
        <f>N576-M576</f>
        <v>19595.099999999999</v>
      </c>
      <c r="P576" s="2" t="s">
        <v>17</v>
      </c>
      <c r="Q576" s="2" t="s">
        <v>18</v>
      </c>
      <c r="R576" s="2">
        <v>60</v>
      </c>
      <c r="S576" s="20">
        <f>Table1[[#This Row],[Net_revenue]]/Table1[[#This Row],[Gross_revenue]]*100%</f>
        <v>0.98</v>
      </c>
      <c r="T576" s="18">
        <f>COUNTIFS(Table1[Customer ID], "&gt;1", Table1[Customer ID], 1)</f>
        <v>0</v>
      </c>
    </row>
    <row r="577" spans="1:20" hidden="1" x14ac:dyDescent="0.3">
      <c r="A577" s="2" t="s">
        <v>1027</v>
      </c>
      <c r="B577" s="5">
        <v>46004</v>
      </c>
      <c r="C577" s="5" t="str">
        <f>TEXT(B577,"mmm")</f>
        <v>Dec</v>
      </c>
      <c r="D577" s="2" t="s">
        <v>142</v>
      </c>
      <c r="E577" s="2" t="s">
        <v>48</v>
      </c>
      <c r="F577" s="2" t="str" cm="1">
        <f t="array" ref="F5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77" s="2" t="str" cm="1">
        <f t="array" ref="G5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77" s="2" t="s">
        <v>121</v>
      </c>
      <c r="I577" s="2" t="s">
        <v>95</v>
      </c>
      <c r="J577" s="2">
        <v>1</v>
      </c>
      <c r="K577" s="8">
        <v>1299</v>
      </c>
      <c r="L577" s="3">
        <v>0.25</v>
      </c>
      <c r="M577" s="12">
        <f>K577*L577</f>
        <v>324.75</v>
      </c>
      <c r="N577" s="12">
        <f>K577*J577</f>
        <v>1299</v>
      </c>
      <c r="O577" s="12">
        <f>N577-M577</f>
        <v>974.25</v>
      </c>
      <c r="P577" s="2" t="s">
        <v>24</v>
      </c>
      <c r="Q577" s="2" t="s">
        <v>18</v>
      </c>
      <c r="R577" s="2">
        <v>80</v>
      </c>
      <c r="S577" s="20">
        <f>Table1[[#This Row],[Net_revenue]]/Table1[[#This Row],[Gross_revenue]]*100%</f>
        <v>0.75</v>
      </c>
      <c r="T577" s="18">
        <f>COUNTIFS(Table1[Customer ID], "&gt;1", Table1[Customer ID], 1)</f>
        <v>0</v>
      </c>
    </row>
    <row r="578" spans="1:20" hidden="1" x14ac:dyDescent="0.3">
      <c r="A578" s="2" t="s">
        <v>1028</v>
      </c>
      <c r="B578" s="5">
        <v>45903</v>
      </c>
      <c r="C578" s="5" t="str">
        <f>TEXT(B578,"mmm")</f>
        <v>Sep</v>
      </c>
      <c r="D578" s="2" t="s">
        <v>1029</v>
      </c>
      <c r="E578" s="2" t="s">
        <v>21</v>
      </c>
      <c r="F578" s="2" t="str" cm="1">
        <f t="array" ref="F5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78" s="2" t="str" cm="1">
        <f t="array" ref="G5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78" s="2" t="s">
        <v>98</v>
      </c>
      <c r="I578" s="2" t="s">
        <v>37</v>
      </c>
      <c r="J578" s="2">
        <v>1</v>
      </c>
      <c r="K578" s="8">
        <v>299</v>
      </c>
      <c r="L578" s="3">
        <v>0.25</v>
      </c>
      <c r="M578" s="12">
        <f>K578*L578</f>
        <v>74.75</v>
      </c>
      <c r="N578" s="12">
        <f>K578*J578</f>
        <v>299</v>
      </c>
      <c r="O578" s="12">
        <f>N578-M578</f>
        <v>224.25</v>
      </c>
      <c r="P578" s="2" t="s">
        <v>17</v>
      </c>
      <c r="Q578" s="2" t="s">
        <v>18</v>
      </c>
      <c r="R578" s="2">
        <v>60</v>
      </c>
      <c r="S578" s="20">
        <f>Table1[[#This Row],[Net_revenue]]/Table1[[#This Row],[Gross_revenue]]*100%</f>
        <v>0.75</v>
      </c>
      <c r="T578" s="18">
        <f>COUNTIFS(Table1[Customer ID], "&gt;1", Table1[Customer ID], 1)</f>
        <v>0</v>
      </c>
    </row>
    <row r="579" spans="1:20" hidden="1" x14ac:dyDescent="0.3">
      <c r="A579" s="2" t="s">
        <v>1030</v>
      </c>
      <c r="B579" s="5">
        <v>45743</v>
      </c>
      <c r="C579" s="5" t="str">
        <f>TEXT(B579,"mmm")</f>
        <v>Mar</v>
      </c>
      <c r="D579" s="2" t="s">
        <v>397</v>
      </c>
      <c r="E579" s="2" t="s">
        <v>56</v>
      </c>
      <c r="F579" s="2" t="str" cm="1">
        <f t="array" ref="F5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79" s="2" t="str" cm="1">
        <f t="array" ref="G5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79" s="2" t="s">
        <v>68</v>
      </c>
      <c r="I579" s="2" t="s">
        <v>16</v>
      </c>
      <c r="J579" s="2">
        <v>2</v>
      </c>
      <c r="K579" s="8">
        <v>599</v>
      </c>
      <c r="L579" s="3">
        <v>0.1</v>
      </c>
      <c r="M579" s="12">
        <f>K579*L579</f>
        <v>59.900000000000006</v>
      </c>
      <c r="N579" s="12">
        <f>K579*J579</f>
        <v>1198</v>
      </c>
      <c r="O579" s="12">
        <f>N579-M579</f>
        <v>1138.0999999999999</v>
      </c>
      <c r="P579" s="2" t="s">
        <v>30</v>
      </c>
      <c r="Q579" s="2" t="s">
        <v>72</v>
      </c>
      <c r="R579" s="2">
        <v>0</v>
      </c>
      <c r="S579" s="20">
        <f>Table1[[#This Row],[Net_revenue]]/Table1[[#This Row],[Gross_revenue]]*100%</f>
        <v>0.95</v>
      </c>
      <c r="T579" s="18">
        <f>COUNTIFS(Table1[Customer ID], "&gt;1", Table1[Customer ID], 1)</f>
        <v>0</v>
      </c>
    </row>
    <row r="580" spans="1:20" hidden="1" x14ac:dyDescent="0.3">
      <c r="A580" s="2" t="s">
        <v>1031</v>
      </c>
      <c r="B580" s="5">
        <v>45858</v>
      </c>
      <c r="C580" s="5" t="str">
        <f>TEXT(B580,"mmm")</f>
        <v>Jul</v>
      </c>
      <c r="D580" s="2" t="s">
        <v>670</v>
      </c>
      <c r="E580" s="2" t="s">
        <v>21</v>
      </c>
      <c r="F580" s="2" t="str" cm="1">
        <f t="array" ref="F5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80" s="2" t="str" cm="1">
        <f t="array" ref="G5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80" s="2" t="s">
        <v>217</v>
      </c>
      <c r="I580" s="2" t="s">
        <v>29</v>
      </c>
      <c r="J580" s="2">
        <v>1</v>
      </c>
      <c r="K580" s="8">
        <v>3299</v>
      </c>
      <c r="L580" s="3">
        <v>0.2</v>
      </c>
      <c r="M580" s="12">
        <f>K580*L580</f>
        <v>659.80000000000007</v>
      </c>
      <c r="N580" s="12">
        <f>K580*J580</f>
        <v>3299</v>
      </c>
      <c r="O580" s="12">
        <f>N580-M580</f>
        <v>2639.2</v>
      </c>
      <c r="P580" s="2" t="s">
        <v>17</v>
      </c>
      <c r="Q580" s="2" t="s">
        <v>18</v>
      </c>
      <c r="R580" s="2">
        <v>0</v>
      </c>
      <c r="S580" s="20">
        <f>Table1[[#This Row],[Net_revenue]]/Table1[[#This Row],[Gross_revenue]]*100%</f>
        <v>0.79999999999999993</v>
      </c>
      <c r="T580" s="18">
        <f>COUNTIFS(Table1[Customer ID], "&gt;1", Table1[Customer ID], 1)</f>
        <v>0</v>
      </c>
    </row>
    <row r="581" spans="1:20" hidden="1" x14ac:dyDescent="0.3">
      <c r="A581" s="2" t="s">
        <v>1032</v>
      </c>
      <c r="B581" s="5">
        <v>45989</v>
      </c>
      <c r="C581" s="5" t="str">
        <f>TEXT(B581,"mmm")</f>
        <v>Nov</v>
      </c>
      <c r="D581" s="2" t="s">
        <v>1033</v>
      </c>
      <c r="E581" s="2" t="s">
        <v>48</v>
      </c>
      <c r="F581" s="2" t="str" cm="1">
        <f t="array" ref="F5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81" s="2" t="str" cm="1">
        <f t="array" ref="G5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81" s="2" t="s">
        <v>188</v>
      </c>
      <c r="I581" s="2" t="s">
        <v>95</v>
      </c>
      <c r="J581" s="2">
        <v>2</v>
      </c>
      <c r="K581" s="8">
        <v>699</v>
      </c>
      <c r="L581" s="3">
        <v>0.1</v>
      </c>
      <c r="M581" s="12">
        <f>K581*L581</f>
        <v>69.900000000000006</v>
      </c>
      <c r="N581" s="12">
        <f>K581*J581</f>
        <v>1398</v>
      </c>
      <c r="O581" s="12">
        <f>N581-M581</f>
        <v>1328.1</v>
      </c>
      <c r="P581" s="2" t="s">
        <v>45</v>
      </c>
      <c r="Q581" s="2" t="s">
        <v>18</v>
      </c>
      <c r="R581" s="2">
        <v>60</v>
      </c>
      <c r="S581" s="20">
        <f>Table1[[#This Row],[Net_revenue]]/Table1[[#This Row],[Gross_revenue]]*100%</f>
        <v>0.95</v>
      </c>
      <c r="T581" s="18">
        <f>COUNTIFS(Table1[Customer ID], "&gt;1", Table1[Customer ID], 1)</f>
        <v>0</v>
      </c>
    </row>
    <row r="582" spans="1:20" hidden="1" x14ac:dyDescent="0.3">
      <c r="A582" s="2" t="s">
        <v>1034</v>
      </c>
      <c r="B582" s="5">
        <v>45748</v>
      </c>
      <c r="C582" s="5" t="str">
        <f>TEXT(B582,"mmm")</f>
        <v>Apr</v>
      </c>
      <c r="D582" s="2" t="s">
        <v>60</v>
      </c>
      <c r="E582" s="2" t="s">
        <v>14</v>
      </c>
      <c r="F582" s="2" t="str" cm="1">
        <f t="array" ref="F5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582" s="2" t="str" cm="1">
        <f t="array" ref="G5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582" s="2" t="s">
        <v>15</v>
      </c>
      <c r="I582" s="2" t="s">
        <v>16</v>
      </c>
      <c r="J582" s="2">
        <v>2</v>
      </c>
      <c r="K582" s="8">
        <v>1799</v>
      </c>
      <c r="L582" s="3">
        <v>0.25</v>
      </c>
      <c r="M582" s="12">
        <f>K582*L582</f>
        <v>449.75</v>
      </c>
      <c r="N582" s="12">
        <f>K582*J582</f>
        <v>3598</v>
      </c>
      <c r="O582" s="12">
        <f>N582-M582</f>
        <v>3148.25</v>
      </c>
      <c r="P582" s="2" t="s">
        <v>17</v>
      </c>
      <c r="Q582" s="2" t="s">
        <v>18</v>
      </c>
      <c r="R582" s="2">
        <v>60</v>
      </c>
      <c r="S582" s="20">
        <f>Table1[[#This Row],[Net_revenue]]/Table1[[#This Row],[Gross_revenue]]*100%</f>
        <v>0.875</v>
      </c>
      <c r="T582" s="18">
        <f>COUNTIFS(Table1[Customer ID], "&gt;1", Table1[Customer ID], 1)</f>
        <v>0</v>
      </c>
    </row>
    <row r="583" spans="1:20" hidden="1" x14ac:dyDescent="0.3">
      <c r="A583" s="2" t="s">
        <v>1035</v>
      </c>
      <c r="B583" s="5">
        <v>45695</v>
      </c>
      <c r="C583" s="5" t="str">
        <f>TEXT(B583,"mmm")</f>
        <v>Feb</v>
      </c>
      <c r="D583" s="2" t="s">
        <v>1036</v>
      </c>
      <c r="E583" s="2" t="s">
        <v>40</v>
      </c>
      <c r="F583" s="2" t="str" cm="1">
        <f t="array" ref="F5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83" s="2" t="str" cm="1">
        <f t="array" ref="G5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83" s="2" t="s">
        <v>80</v>
      </c>
      <c r="I583" s="2" t="s">
        <v>23</v>
      </c>
      <c r="J583" s="2">
        <v>1</v>
      </c>
      <c r="K583" s="8">
        <v>799</v>
      </c>
      <c r="L583" s="3">
        <v>0.25</v>
      </c>
      <c r="M583" s="12">
        <f>K583*L583</f>
        <v>199.75</v>
      </c>
      <c r="N583" s="12">
        <f>K583*J583</f>
        <v>799</v>
      </c>
      <c r="O583" s="12">
        <f>N583-M583</f>
        <v>599.25</v>
      </c>
      <c r="P583" s="2" t="s">
        <v>17</v>
      </c>
      <c r="Q583" s="2" t="s">
        <v>50</v>
      </c>
      <c r="R583" s="2">
        <v>80</v>
      </c>
      <c r="S583" s="20">
        <f>Table1[[#This Row],[Net_revenue]]/Table1[[#This Row],[Gross_revenue]]*100%</f>
        <v>0.75</v>
      </c>
      <c r="T583" s="18">
        <f>COUNTIFS(Table1[Customer ID], "&gt;1", Table1[Customer ID], 1)</f>
        <v>0</v>
      </c>
    </row>
    <row r="584" spans="1:20" hidden="1" x14ac:dyDescent="0.3">
      <c r="A584" s="2" t="s">
        <v>1037</v>
      </c>
      <c r="B584" s="5">
        <v>45736</v>
      </c>
      <c r="C584" s="5" t="str">
        <f>TEXT(B584,"mmm")</f>
        <v>Mar</v>
      </c>
      <c r="D584" s="2" t="s">
        <v>1038</v>
      </c>
      <c r="E584" s="2" t="s">
        <v>21</v>
      </c>
      <c r="F584" s="2" t="str" cm="1">
        <f t="array" ref="F5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84" s="2" t="str" cm="1">
        <f t="array" ref="G5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84" s="2" t="s">
        <v>33</v>
      </c>
      <c r="I584" s="2" t="s">
        <v>16</v>
      </c>
      <c r="J584" s="2">
        <v>1</v>
      </c>
      <c r="K584" s="8">
        <v>899</v>
      </c>
      <c r="L584" s="3">
        <v>0.15</v>
      </c>
      <c r="M584" s="12">
        <f>K584*L584</f>
        <v>134.85</v>
      </c>
      <c r="N584" s="12">
        <f>K584*J584</f>
        <v>899</v>
      </c>
      <c r="O584" s="12">
        <f>N584-M584</f>
        <v>764.15</v>
      </c>
      <c r="P584" s="2" t="s">
        <v>17</v>
      </c>
      <c r="Q584" s="2" t="s">
        <v>18</v>
      </c>
      <c r="R584" s="2">
        <v>80</v>
      </c>
      <c r="S584" s="20">
        <f>Table1[[#This Row],[Net_revenue]]/Table1[[#This Row],[Gross_revenue]]*100%</f>
        <v>0.85</v>
      </c>
      <c r="T584" s="18">
        <f>COUNTIFS(Table1[Customer ID], "&gt;1", Table1[Customer ID], 1)</f>
        <v>0</v>
      </c>
    </row>
    <row r="585" spans="1:20" hidden="1" x14ac:dyDescent="0.3">
      <c r="A585" s="2" t="s">
        <v>1039</v>
      </c>
      <c r="B585" s="5">
        <v>45783</v>
      </c>
      <c r="C585" s="5" t="str">
        <f>TEXT(B585,"mmm")</f>
        <v>May</v>
      </c>
      <c r="D585" s="2" t="s">
        <v>407</v>
      </c>
      <c r="E585" s="2" t="s">
        <v>21</v>
      </c>
      <c r="F585" s="2" t="str" cm="1">
        <f t="array" ref="F5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85" s="2" t="str" cm="1">
        <f t="array" ref="G5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85" s="2" t="s">
        <v>80</v>
      </c>
      <c r="I585" s="2" t="s">
        <v>23</v>
      </c>
      <c r="J585" s="2">
        <v>1</v>
      </c>
      <c r="K585" s="8">
        <v>799</v>
      </c>
      <c r="L585" s="3">
        <v>0.1</v>
      </c>
      <c r="M585" s="12">
        <f>K585*L585</f>
        <v>79.900000000000006</v>
      </c>
      <c r="N585" s="12">
        <f>K585*J585</f>
        <v>799</v>
      </c>
      <c r="O585" s="12">
        <f>N585-M585</f>
        <v>719.1</v>
      </c>
      <c r="P585" s="2" t="s">
        <v>45</v>
      </c>
      <c r="Q585" s="2" t="s">
        <v>18</v>
      </c>
      <c r="R585" s="2">
        <v>40</v>
      </c>
      <c r="S585" s="20">
        <f>Table1[[#This Row],[Net_revenue]]/Table1[[#This Row],[Gross_revenue]]*100%</f>
        <v>0.9</v>
      </c>
      <c r="T585" s="18">
        <f>COUNTIFS(Table1[Customer ID], "&gt;1", Table1[Customer ID], 1)</f>
        <v>0</v>
      </c>
    </row>
    <row r="586" spans="1:20" hidden="1" x14ac:dyDescent="0.3">
      <c r="A586" s="2" t="s">
        <v>1040</v>
      </c>
      <c r="B586" s="5">
        <v>45983</v>
      </c>
      <c r="C586" s="5" t="str">
        <f>TEXT(B586,"mmm")</f>
        <v>Nov</v>
      </c>
      <c r="D586" s="2" t="s">
        <v>1041</v>
      </c>
      <c r="E586" s="2" t="s">
        <v>48</v>
      </c>
      <c r="F586" s="2" t="str" cm="1">
        <f t="array" ref="F5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86" s="2" t="str" cm="1">
        <f t="array" ref="G5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86" s="2" t="s">
        <v>98</v>
      </c>
      <c r="I586" s="2" t="s">
        <v>37</v>
      </c>
      <c r="J586" s="2">
        <v>3</v>
      </c>
      <c r="K586" s="8">
        <v>299</v>
      </c>
      <c r="L586" s="3">
        <v>0</v>
      </c>
      <c r="M586" s="12">
        <f>K586*L586</f>
        <v>0</v>
      </c>
      <c r="N586" s="12">
        <f>K586*J586</f>
        <v>897</v>
      </c>
      <c r="O586" s="12">
        <f>N586-M586</f>
        <v>897</v>
      </c>
      <c r="P586" s="2" t="s">
        <v>45</v>
      </c>
      <c r="Q586" s="2" t="s">
        <v>18</v>
      </c>
      <c r="R586" s="2">
        <v>60</v>
      </c>
      <c r="S586" s="20">
        <f>Table1[[#This Row],[Net_revenue]]/Table1[[#This Row],[Gross_revenue]]*100%</f>
        <v>1</v>
      </c>
      <c r="T586" s="18">
        <f>COUNTIFS(Table1[Customer ID], "&gt;1", Table1[Customer ID], 1)</f>
        <v>0</v>
      </c>
    </row>
    <row r="587" spans="1:20" hidden="1" x14ac:dyDescent="0.3">
      <c r="A587" s="2" t="s">
        <v>1042</v>
      </c>
      <c r="B587" s="5">
        <v>45928</v>
      </c>
      <c r="C587" s="5" t="str">
        <f>TEXT(B587,"mmm")</f>
        <v>Sep</v>
      </c>
      <c r="D587" s="2" t="s">
        <v>1043</v>
      </c>
      <c r="E587" s="2" t="s">
        <v>21</v>
      </c>
      <c r="F587" s="2" t="str" cm="1">
        <f t="array" ref="F5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87" s="2" t="str" cm="1">
        <f t="array" ref="G5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87" s="2" t="s">
        <v>117</v>
      </c>
      <c r="I587" s="2" t="s">
        <v>23</v>
      </c>
      <c r="J587" s="2">
        <v>1</v>
      </c>
      <c r="K587" s="8">
        <v>2199</v>
      </c>
      <c r="L587" s="3">
        <v>0.2</v>
      </c>
      <c r="M587" s="12">
        <f>K587*L587</f>
        <v>439.8</v>
      </c>
      <c r="N587" s="12">
        <f>K587*J587</f>
        <v>2199</v>
      </c>
      <c r="O587" s="12">
        <f>N587-M587</f>
        <v>1759.2</v>
      </c>
      <c r="P587" s="2" t="s">
        <v>45</v>
      </c>
      <c r="Q587" s="2" t="s">
        <v>50</v>
      </c>
      <c r="R587" s="2">
        <v>0</v>
      </c>
      <c r="S587" s="20">
        <f>Table1[[#This Row],[Net_revenue]]/Table1[[#This Row],[Gross_revenue]]*100%</f>
        <v>0.8</v>
      </c>
      <c r="T587" s="18">
        <f>COUNTIFS(Table1[Customer ID], "&gt;1", Table1[Customer ID], 1)</f>
        <v>0</v>
      </c>
    </row>
    <row r="588" spans="1:20" hidden="1" x14ac:dyDescent="0.3">
      <c r="A588" s="2" t="s">
        <v>1044</v>
      </c>
      <c r="B588" s="5">
        <v>45731</v>
      </c>
      <c r="C588" s="5" t="str">
        <f>TEXT(B588,"mmm")</f>
        <v>Mar</v>
      </c>
      <c r="D588" s="2" t="s">
        <v>1045</v>
      </c>
      <c r="E588" s="2" t="s">
        <v>48</v>
      </c>
      <c r="F588" s="2" t="str" cm="1">
        <f t="array" ref="F5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88" s="2" t="str" cm="1">
        <f t="array" ref="G5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88" s="2" t="s">
        <v>15</v>
      </c>
      <c r="I588" s="2" t="s">
        <v>16</v>
      </c>
      <c r="J588" s="2">
        <v>1</v>
      </c>
      <c r="K588" s="8">
        <v>1799</v>
      </c>
      <c r="L588" s="3">
        <v>0</v>
      </c>
      <c r="M588" s="12">
        <f>K588*L588</f>
        <v>0</v>
      </c>
      <c r="N588" s="12">
        <f>K588*J588</f>
        <v>1799</v>
      </c>
      <c r="O588" s="12">
        <f>N588-M588</f>
        <v>1799</v>
      </c>
      <c r="P588" s="2" t="s">
        <v>30</v>
      </c>
      <c r="Q588" s="2" t="s">
        <v>18</v>
      </c>
      <c r="R588" s="2">
        <v>80</v>
      </c>
      <c r="S588" s="20">
        <f>Table1[[#This Row],[Net_revenue]]/Table1[[#This Row],[Gross_revenue]]*100%</f>
        <v>1</v>
      </c>
      <c r="T588" s="18">
        <f>COUNTIFS(Table1[Customer ID], "&gt;1", Table1[Customer ID], 1)</f>
        <v>0</v>
      </c>
    </row>
    <row r="589" spans="1:20" hidden="1" x14ac:dyDescent="0.3">
      <c r="A589" s="2" t="s">
        <v>1046</v>
      </c>
      <c r="B589" s="5">
        <v>45950</v>
      </c>
      <c r="C589" s="5" t="str">
        <f>TEXT(B589,"mmm")</f>
        <v>Oct</v>
      </c>
      <c r="D589" s="2" t="s">
        <v>890</v>
      </c>
      <c r="E589" s="2" t="s">
        <v>27</v>
      </c>
      <c r="F589" s="2" t="str" cm="1">
        <f t="array" ref="F5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89" s="2" t="str" cm="1">
        <f t="array" ref="G5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89" s="2" t="s">
        <v>117</v>
      </c>
      <c r="I589" s="2" t="s">
        <v>23</v>
      </c>
      <c r="J589" s="2">
        <v>1</v>
      </c>
      <c r="K589" s="8">
        <v>2199</v>
      </c>
      <c r="L589" s="3">
        <v>0.05</v>
      </c>
      <c r="M589" s="12">
        <f>K589*L589</f>
        <v>109.95</v>
      </c>
      <c r="N589" s="12">
        <f>K589*J589</f>
        <v>2199</v>
      </c>
      <c r="O589" s="12">
        <f>N589-M589</f>
        <v>2089.0500000000002</v>
      </c>
      <c r="P589" s="2" t="s">
        <v>17</v>
      </c>
      <c r="Q589" s="2" t="s">
        <v>18</v>
      </c>
      <c r="R589" s="2">
        <v>0</v>
      </c>
      <c r="S589" s="20">
        <f>Table1[[#This Row],[Net_revenue]]/Table1[[#This Row],[Gross_revenue]]*100%</f>
        <v>0.95000000000000007</v>
      </c>
      <c r="T589" s="18">
        <f>COUNTIFS(Table1[Customer ID], "&gt;1", Table1[Customer ID], 1)</f>
        <v>0</v>
      </c>
    </row>
    <row r="590" spans="1:20" hidden="1" x14ac:dyDescent="0.3">
      <c r="A590" s="2" t="s">
        <v>1047</v>
      </c>
      <c r="B590" s="5">
        <v>45999</v>
      </c>
      <c r="C590" s="5" t="str">
        <f>TEXT(B590,"mmm")</f>
        <v>Dec</v>
      </c>
      <c r="D590" s="2" t="s">
        <v>190</v>
      </c>
      <c r="E590" s="2" t="s">
        <v>40</v>
      </c>
      <c r="F590" s="2" t="str" cm="1">
        <f t="array" ref="F5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590" s="2" t="str" cm="1">
        <f t="array" ref="G5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590" s="2" t="s">
        <v>36</v>
      </c>
      <c r="I590" s="2" t="s">
        <v>37</v>
      </c>
      <c r="J590" s="2">
        <v>1</v>
      </c>
      <c r="K590" s="8">
        <v>349</v>
      </c>
      <c r="L590" s="3">
        <v>0.1</v>
      </c>
      <c r="M590" s="12">
        <f>K590*L590</f>
        <v>34.9</v>
      </c>
      <c r="N590" s="12">
        <f>K590*J590</f>
        <v>349</v>
      </c>
      <c r="O590" s="12">
        <f>N590-M590</f>
        <v>314.10000000000002</v>
      </c>
      <c r="P590" s="2" t="s">
        <v>45</v>
      </c>
      <c r="Q590" s="2" t="s">
        <v>18</v>
      </c>
      <c r="R590" s="2">
        <v>80</v>
      </c>
      <c r="S590" s="20">
        <f>Table1[[#This Row],[Net_revenue]]/Table1[[#This Row],[Gross_revenue]]*100%</f>
        <v>0.9</v>
      </c>
      <c r="T590" s="18">
        <f>COUNTIFS(Table1[Customer ID], "&gt;1", Table1[Customer ID], 1)</f>
        <v>0</v>
      </c>
    </row>
    <row r="591" spans="1:20" hidden="1" x14ac:dyDescent="0.3">
      <c r="A591" s="2" t="s">
        <v>1048</v>
      </c>
      <c r="B591" s="5">
        <v>45674</v>
      </c>
      <c r="C591" s="5" t="str">
        <f>TEXT(B591,"mmm")</f>
        <v>Jan</v>
      </c>
      <c r="D591" s="2" t="s">
        <v>663</v>
      </c>
      <c r="E591" s="2" t="s">
        <v>48</v>
      </c>
      <c r="F591" s="2" t="str" cm="1">
        <f t="array" ref="F5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591" s="2" t="str" cm="1">
        <f t="array" ref="G5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91" s="2" t="s">
        <v>121</v>
      </c>
      <c r="I591" s="2" t="s">
        <v>95</v>
      </c>
      <c r="J591" s="2">
        <v>2</v>
      </c>
      <c r="K591" s="8">
        <v>1299</v>
      </c>
      <c r="L591" s="3">
        <v>0.25</v>
      </c>
      <c r="M591" s="12">
        <f>K591*L591</f>
        <v>324.75</v>
      </c>
      <c r="N591" s="12">
        <f>K591*J591</f>
        <v>2598</v>
      </c>
      <c r="O591" s="12">
        <f>N591-M591</f>
        <v>2273.25</v>
      </c>
      <c r="P591" s="2" t="s">
        <v>30</v>
      </c>
      <c r="Q591" s="2" t="s">
        <v>18</v>
      </c>
      <c r="R591" s="2">
        <v>0</v>
      </c>
      <c r="S591" s="20">
        <f>Table1[[#This Row],[Net_revenue]]/Table1[[#This Row],[Gross_revenue]]*100%</f>
        <v>0.875</v>
      </c>
      <c r="T591" s="18">
        <f>COUNTIFS(Table1[Customer ID], "&gt;1", Table1[Customer ID], 1)</f>
        <v>0</v>
      </c>
    </row>
    <row r="592" spans="1:20" hidden="1" x14ac:dyDescent="0.3">
      <c r="A592" s="2" t="s">
        <v>1049</v>
      </c>
      <c r="B592" s="5">
        <v>45664</v>
      </c>
      <c r="C592" s="5" t="str">
        <f>TEXT(B592,"mmm")</f>
        <v>Jan</v>
      </c>
      <c r="D592" s="2" t="s">
        <v>1050</v>
      </c>
      <c r="E592" s="2" t="s">
        <v>56</v>
      </c>
      <c r="F592" s="2" t="str" cm="1">
        <f t="array" ref="F5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92" s="2" t="str" cm="1">
        <f t="array" ref="G5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92" s="2" t="s">
        <v>44</v>
      </c>
      <c r="I592" s="2" t="s">
        <v>16</v>
      </c>
      <c r="J592" s="2">
        <v>1</v>
      </c>
      <c r="K592" s="8">
        <v>1599</v>
      </c>
      <c r="L592" s="3">
        <v>0.1</v>
      </c>
      <c r="M592" s="12">
        <f>K592*L592</f>
        <v>159.9</v>
      </c>
      <c r="N592" s="12">
        <f>K592*J592</f>
        <v>1599</v>
      </c>
      <c r="O592" s="12">
        <f>N592-M592</f>
        <v>1439.1</v>
      </c>
      <c r="P592" s="2" t="s">
        <v>45</v>
      </c>
      <c r="Q592" s="2" t="s">
        <v>18</v>
      </c>
      <c r="R592" s="2">
        <v>80</v>
      </c>
      <c r="S592" s="20">
        <f>Table1[[#This Row],[Net_revenue]]/Table1[[#This Row],[Gross_revenue]]*100%</f>
        <v>0.89999999999999991</v>
      </c>
      <c r="T592" s="18">
        <f>COUNTIFS(Table1[Customer ID], "&gt;1", Table1[Customer ID], 1)</f>
        <v>0</v>
      </c>
    </row>
    <row r="593" spans="1:20" hidden="1" x14ac:dyDescent="0.3">
      <c r="A593" s="2" t="s">
        <v>1051</v>
      </c>
      <c r="B593" s="5">
        <v>45931</v>
      </c>
      <c r="C593" s="5" t="str">
        <f>TEXT(B593,"mmm")</f>
        <v>Oct</v>
      </c>
      <c r="D593" s="2" t="s">
        <v>621</v>
      </c>
      <c r="E593" s="2" t="s">
        <v>75</v>
      </c>
      <c r="F593" s="2" t="str" cm="1">
        <f t="array" ref="F5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593" s="2" t="str" cm="1">
        <f t="array" ref="G5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93" s="2" t="s">
        <v>80</v>
      </c>
      <c r="I593" s="2" t="s">
        <v>23</v>
      </c>
      <c r="J593" s="2">
        <v>1</v>
      </c>
      <c r="K593" s="8">
        <v>799</v>
      </c>
      <c r="L593" s="3">
        <v>0.1</v>
      </c>
      <c r="M593" s="12">
        <f>K593*L593</f>
        <v>79.900000000000006</v>
      </c>
      <c r="N593" s="12">
        <f>K593*J593</f>
        <v>799</v>
      </c>
      <c r="O593" s="12">
        <f>N593-M593</f>
        <v>719.1</v>
      </c>
      <c r="P593" s="2" t="s">
        <v>17</v>
      </c>
      <c r="Q593" s="2" t="s">
        <v>18</v>
      </c>
      <c r="R593" s="2">
        <v>80</v>
      </c>
      <c r="S593" s="20">
        <f>Table1[[#This Row],[Net_revenue]]/Table1[[#This Row],[Gross_revenue]]*100%</f>
        <v>0.9</v>
      </c>
      <c r="T593" s="18">
        <f>COUNTIFS(Table1[Customer ID], "&gt;1", Table1[Customer ID], 1)</f>
        <v>0</v>
      </c>
    </row>
    <row r="594" spans="1:20" hidden="1" x14ac:dyDescent="0.3">
      <c r="A594" s="2" t="s">
        <v>1052</v>
      </c>
      <c r="B594" s="5">
        <v>45726</v>
      </c>
      <c r="C594" s="5" t="str">
        <f>TEXT(B594,"mmm")</f>
        <v>Mar</v>
      </c>
      <c r="D594" s="2" t="s">
        <v>436</v>
      </c>
      <c r="E594" s="2" t="s">
        <v>21</v>
      </c>
      <c r="F594" s="2" t="str" cm="1">
        <f t="array" ref="F5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94" s="2" t="str" cm="1">
        <f t="array" ref="G5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94" s="2" t="s">
        <v>15</v>
      </c>
      <c r="I594" s="2" t="s">
        <v>16</v>
      </c>
      <c r="J594" s="2">
        <v>1</v>
      </c>
      <c r="K594" s="8">
        <v>1799</v>
      </c>
      <c r="L594" s="3">
        <v>0.2</v>
      </c>
      <c r="M594" s="12">
        <f>K594*L594</f>
        <v>359.8</v>
      </c>
      <c r="N594" s="12">
        <f>K594*J594</f>
        <v>1799</v>
      </c>
      <c r="O594" s="12">
        <f>N594-M594</f>
        <v>1439.2</v>
      </c>
      <c r="P594" s="2" t="s">
        <v>45</v>
      </c>
      <c r="Q594" s="2" t="s">
        <v>72</v>
      </c>
      <c r="R594" s="2">
        <v>40</v>
      </c>
      <c r="S594" s="20">
        <f>Table1[[#This Row],[Net_revenue]]/Table1[[#This Row],[Gross_revenue]]*100%</f>
        <v>0.8</v>
      </c>
      <c r="T594" s="18">
        <f>COUNTIFS(Table1[Customer ID], "&gt;1", Table1[Customer ID], 1)</f>
        <v>0</v>
      </c>
    </row>
    <row r="595" spans="1:20" hidden="1" x14ac:dyDescent="0.3">
      <c r="A595" s="2" t="s">
        <v>1053</v>
      </c>
      <c r="B595" s="5">
        <v>45839</v>
      </c>
      <c r="C595" s="5" t="str">
        <f>TEXT(B595,"mmm")</f>
        <v>Jul</v>
      </c>
      <c r="D595" s="2" t="s">
        <v>1054</v>
      </c>
      <c r="E595" s="2" t="s">
        <v>120</v>
      </c>
      <c r="F595" s="2" t="str" cm="1">
        <f t="array" ref="F5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595" s="2" t="str" cm="1">
        <f t="array" ref="G5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95" s="2" t="s">
        <v>68</v>
      </c>
      <c r="I595" s="2" t="s">
        <v>16</v>
      </c>
      <c r="J595" s="2">
        <v>1</v>
      </c>
      <c r="K595" s="8">
        <v>599</v>
      </c>
      <c r="L595" s="3">
        <v>0.15</v>
      </c>
      <c r="M595" s="12">
        <f>K595*L595</f>
        <v>89.85</v>
      </c>
      <c r="N595" s="12">
        <f>K595*J595</f>
        <v>599</v>
      </c>
      <c r="O595" s="12">
        <f>N595-M595</f>
        <v>509.15</v>
      </c>
      <c r="P595" s="2" t="s">
        <v>45</v>
      </c>
      <c r="Q595" s="2" t="s">
        <v>18</v>
      </c>
      <c r="R595" s="2">
        <v>60</v>
      </c>
      <c r="S595" s="20">
        <f>Table1[[#This Row],[Net_revenue]]/Table1[[#This Row],[Gross_revenue]]*100%</f>
        <v>0.85</v>
      </c>
      <c r="T595" s="18">
        <f>COUNTIFS(Table1[Customer ID], "&gt;1", Table1[Customer ID], 1)</f>
        <v>0</v>
      </c>
    </row>
    <row r="596" spans="1:20" hidden="1" x14ac:dyDescent="0.3">
      <c r="A596" s="2" t="s">
        <v>1055</v>
      </c>
      <c r="B596" s="5">
        <v>46010</v>
      </c>
      <c r="C596" s="5" t="str">
        <f>TEXT(B596,"mmm")</f>
        <v>Dec</v>
      </c>
      <c r="D596" s="2" t="s">
        <v>1056</v>
      </c>
      <c r="E596" s="2" t="s">
        <v>27</v>
      </c>
      <c r="F596" s="2" t="str" cm="1">
        <f t="array" ref="F5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596" s="2" t="str" cm="1">
        <f t="array" ref="G5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96" s="2" t="s">
        <v>44</v>
      </c>
      <c r="I596" s="2" t="s">
        <v>16</v>
      </c>
      <c r="J596" s="2">
        <v>1</v>
      </c>
      <c r="K596" s="8">
        <v>1599</v>
      </c>
      <c r="L596" s="3">
        <v>0.1</v>
      </c>
      <c r="M596" s="12">
        <f>K596*L596</f>
        <v>159.9</v>
      </c>
      <c r="N596" s="12">
        <f>K596*J596</f>
        <v>1599</v>
      </c>
      <c r="O596" s="12">
        <f>N596-M596</f>
        <v>1439.1</v>
      </c>
      <c r="P596" s="2" t="s">
        <v>45</v>
      </c>
      <c r="Q596" s="2" t="s">
        <v>18</v>
      </c>
      <c r="R596" s="2">
        <v>60</v>
      </c>
      <c r="S596" s="20">
        <f>Table1[[#This Row],[Net_revenue]]/Table1[[#This Row],[Gross_revenue]]*100%</f>
        <v>0.89999999999999991</v>
      </c>
      <c r="T596" s="18">
        <f>COUNTIFS(Table1[Customer ID], "&gt;1", Table1[Customer ID], 1)</f>
        <v>0</v>
      </c>
    </row>
    <row r="597" spans="1:20" hidden="1" x14ac:dyDescent="0.3">
      <c r="A597" s="2" t="s">
        <v>1057</v>
      </c>
      <c r="B597" s="5">
        <v>45957</v>
      </c>
      <c r="C597" s="5" t="str">
        <f>TEXT(B597,"mmm")</f>
        <v>Oct</v>
      </c>
      <c r="D597" s="2" t="s">
        <v>1058</v>
      </c>
      <c r="E597" s="2" t="s">
        <v>56</v>
      </c>
      <c r="F597" s="2" t="str" cm="1">
        <f t="array" ref="F5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97" s="2" t="str" cm="1">
        <f t="array" ref="G5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97" s="2" t="s">
        <v>183</v>
      </c>
      <c r="I597" s="2" t="s">
        <v>37</v>
      </c>
      <c r="J597" s="2">
        <v>1</v>
      </c>
      <c r="K597" s="8">
        <v>499</v>
      </c>
      <c r="L597" s="3">
        <v>0</v>
      </c>
      <c r="M597" s="12">
        <f>K597*L597</f>
        <v>0</v>
      </c>
      <c r="N597" s="12">
        <f>K597*J597</f>
        <v>499</v>
      </c>
      <c r="O597" s="12">
        <f>N597-M597</f>
        <v>499</v>
      </c>
      <c r="P597" s="2" t="s">
        <v>17</v>
      </c>
      <c r="Q597" s="2" t="s">
        <v>18</v>
      </c>
      <c r="R597" s="2">
        <v>80</v>
      </c>
      <c r="S597" s="20">
        <f>Table1[[#This Row],[Net_revenue]]/Table1[[#This Row],[Gross_revenue]]*100%</f>
        <v>1</v>
      </c>
      <c r="T597" s="18">
        <f>COUNTIFS(Table1[Customer ID], "&gt;1", Table1[Customer ID], 1)</f>
        <v>0</v>
      </c>
    </row>
    <row r="598" spans="1:20" hidden="1" x14ac:dyDescent="0.3">
      <c r="A598" s="2" t="s">
        <v>1059</v>
      </c>
      <c r="B598" s="5">
        <v>45963</v>
      </c>
      <c r="C598" s="5" t="str">
        <f>TEXT(B598,"mmm")</f>
        <v>Nov</v>
      </c>
      <c r="D598" s="2" t="s">
        <v>1060</v>
      </c>
      <c r="E598" s="2" t="s">
        <v>56</v>
      </c>
      <c r="F598" s="2" t="str" cm="1">
        <f t="array" ref="F5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598" s="2" t="str" cm="1">
        <f t="array" ref="G5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598" s="2" t="s">
        <v>49</v>
      </c>
      <c r="I598" s="2" t="s">
        <v>23</v>
      </c>
      <c r="J598" s="2">
        <v>3</v>
      </c>
      <c r="K598" s="8">
        <v>1299</v>
      </c>
      <c r="L598" s="3">
        <v>0.25</v>
      </c>
      <c r="M598" s="12">
        <f>K598*L598</f>
        <v>324.75</v>
      </c>
      <c r="N598" s="12">
        <f>K598*J598</f>
        <v>3897</v>
      </c>
      <c r="O598" s="12">
        <f>N598-M598</f>
        <v>3572.25</v>
      </c>
      <c r="P598" s="2" t="s">
        <v>45</v>
      </c>
      <c r="Q598" s="2" t="s">
        <v>18</v>
      </c>
      <c r="R598" s="2">
        <v>0</v>
      </c>
      <c r="S598" s="20">
        <f>Table1[[#This Row],[Net_revenue]]/Table1[[#This Row],[Gross_revenue]]*100%</f>
        <v>0.91666666666666663</v>
      </c>
      <c r="T598" s="18">
        <f>COUNTIFS(Table1[Customer ID], "&gt;1", Table1[Customer ID], 1)</f>
        <v>0</v>
      </c>
    </row>
    <row r="599" spans="1:20" hidden="1" x14ac:dyDescent="0.3">
      <c r="A599" s="2" t="s">
        <v>1061</v>
      </c>
      <c r="B599" s="5">
        <v>45660</v>
      </c>
      <c r="C599" s="5" t="str">
        <f>TEXT(B599,"mmm")</f>
        <v>Jan</v>
      </c>
      <c r="D599" s="2" t="s">
        <v>62</v>
      </c>
      <c r="E599" s="2" t="s">
        <v>195</v>
      </c>
      <c r="F599" s="2" t="str" cm="1">
        <f t="array" ref="F5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599" s="2" t="str" cm="1">
        <f t="array" ref="G5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599" s="2" t="s">
        <v>49</v>
      </c>
      <c r="I599" s="2" t="s">
        <v>23</v>
      </c>
      <c r="J599" s="2">
        <v>1</v>
      </c>
      <c r="K599" s="8">
        <v>1299</v>
      </c>
      <c r="L599" s="3">
        <v>0.2</v>
      </c>
      <c r="M599" s="12">
        <f>K599*L599</f>
        <v>259.8</v>
      </c>
      <c r="N599" s="12">
        <f>K599*J599</f>
        <v>1299</v>
      </c>
      <c r="O599" s="12">
        <f>N599-M599</f>
        <v>1039.2</v>
      </c>
      <c r="P599" s="2" t="s">
        <v>45</v>
      </c>
      <c r="Q599" s="2" t="s">
        <v>18</v>
      </c>
      <c r="R599" s="2">
        <v>80</v>
      </c>
      <c r="S599" s="20">
        <f>Table1[[#This Row],[Net_revenue]]/Table1[[#This Row],[Gross_revenue]]*100%</f>
        <v>0.8</v>
      </c>
      <c r="T599" s="18">
        <f>COUNTIFS(Table1[Customer ID], "&gt;1", Table1[Customer ID], 1)</f>
        <v>0</v>
      </c>
    </row>
    <row r="600" spans="1:20" hidden="1" x14ac:dyDescent="0.3">
      <c r="A600" s="2" t="s">
        <v>1062</v>
      </c>
      <c r="B600" s="5">
        <v>45880</v>
      </c>
      <c r="C600" s="5" t="str">
        <f>TEXT(B600,"mmm")</f>
        <v>Aug</v>
      </c>
      <c r="D600" s="2" t="s">
        <v>180</v>
      </c>
      <c r="E600" s="2" t="s">
        <v>48</v>
      </c>
      <c r="F600" s="2" t="str" cm="1">
        <f t="array" ref="F6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00" s="2" t="str" cm="1">
        <f t="array" ref="G6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00" s="2" t="s">
        <v>107</v>
      </c>
      <c r="I600" s="2" t="s">
        <v>95</v>
      </c>
      <c r="J600" s="2">
        <v>2</v>
      </c>
      <c r="K600" s="8">
        <v>1599</v>
      </c>
      <c r="L600" s="3">
        <v>0</v>
      </c>
      <c r="M600" s="12">
        <f>K600*L600</f>
        <v>0</v>
      </c>
      <c r="N600" s="12">
        <f>K600*J600</f>
        <v>3198</v>
      </c>
      <c r="O600" s="12">
        <f>N600-M600</f>
        <v>3198</v>
      </c>
      <c r="P600" s="2" t="s">
        <v>45</v>
      </c>
      <c r="Q600" s="2" t="s">
        <v>18</v>
      </c>
      <c r="R600" s="2">
        <v>80</v>
      </c>
      <c r="S600" s="20">
        <f>Table1[[#This Row],[Net_revenue]]/Table1[[#This Row],[Gross_revenue]]*100%</f>
        <v>1</v>
      </c>
      <c r="T600" s="18">
        <f>COUNTIFS(Table1[Customer ID], "&gt;1", Table1[Customer ID], 1)</f>
        <v>0</v>
      </c>
    </row>
    <row r="601" spans="1:20" hidden="1" x14ac:dyDescent="0.3">
      <c r="A601" s="2" t="s">
        <v>1063</v>
      </c>
      <c r="B601" s="5">
        <v>45792</v>
      </c>
      <c r="C601" s="5" t="str">
        <f>TEXT(B601,"mmm")</f>
        <v>May</v>
      </c>
      <c r="D601" s="2" t="s">
        <v>1064</v>
      </c>
      <c r="E601" s="2" t="s">
        <v>21</v>
      </c>
      <c r="F601" s="2" t="str" cm="1">
        <f t="array" ref="F6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01" s="2" t="str" cm="1">
        <f t="array" ref="G6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01" s="2" t="s">
        <v>188</v>
      </c>
      <c r="I601" s="2" t="s">
        <v>95</v>
      </c>
      <c r="J601" s="2">
        <v>2</v>
      </c>
      <c r="K601" s="8">
        <v>699</v>
      </c>
      <c r="L601" s="3">
        <v>0.15</v>
      </c>
      <c r="M601" s="12">
        <f>K601*L601</f>
        <v>104.85</v>
      </c>
      <c r="N601" s="12">
        <f>K601*J601</f>
        <v>1398</v>
      </c>
      <c r="O601" s="12">
        <f>N601-M601</f>
        <v>1293.1500000000001</v>
      </c>
      <c r="P601" s="2" t="s">
        <v>30</v>
      </c>
      <c r="Q601" s="2" t="s">
        <v>18</v>
      </c>
      <c r="R601" s="2">
        <v>60</v>
      </c>
      <c r="S601" s="20">
        <f>Table1[[#This Row],[Net_revenue]]/Table1[[#This Row],[Gross_revenue]]*100%</f>
        <v>0.92500000000000004</v>
      </c>
      <c r="T601" s="18">
        <f>COUNTIFS(Table1[Customer ID], "&gt;1", Table1[Customer ID], 1)</f>
        <v>0</v>
      </c>
    </row>
    <row r="602" spans="1:20" hidden="1" x14ac:dyDescent="0.3">
      <c r="A602" s="2" t="s">
        <v>1065</v>
      </c>
      <c r="B602" s="5">
        <v>45805</v>
      </c>
      <c r="C602" s="5" t="str">
        <f>TEXT(B602,"mmm")</f>
        <v>May</v>
      </c>
      <c r="D602" s="2" t="s">
        <v>731</v>
      </c>
      <c r="E602" s="2" t="s">
        <v>40</v>
      </c>
      <c r="F602" s="2" t="str" cm="1">
        <f t="array" ref="F6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02" s="2" t="str" cm="1">
        <f t="array" ref="G6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02" s="2" t="s">
        <v>107</v>
      </c>
      <c r="I602" s="2" t="s">
        <v>95</v>
      </c>
      <c r="J602" s="2">
        <v>1</v>
      </c>
      <c r="K602" s="8">
        <v>1599</v>
      </c>
      <c r="L602" s="3">
        <v>0</v>
      </c>
      <c r="M602" s="12">
        <f>K602*L602</f>
        <v>0</v>
      </c>
      <c r="N602" s="12">
        <f>K602*J602</f>
        <v>1599</v>
      </c>
      <c r="O602" s="12">
        <f>N602-M602</f>
        <v>1599</v>
      </c>
      <c r="P602" s="2" t="s">
        <v>30</v>
      </c>
      <c r="Q602" s="2" t="s">
        <v>18</v>
      </c>
      <c r="R602" s="2">
        <v>40</v>
      </c>
      <c r="S602" s="20">
        <f>Table1[[#This Row],[Net_revenue]]/Table1[[#This Row],[Gross_revenue]]*100%</f>
        <v>1</v>
      </c>
      <c r="T602" s="18">
        <f>COUNTIFS(Table1[Customer ID], "&gt;1", Table1[Customer ID], 1)</f>
        <v>0</v>
      </c>
    </row>
    <row r="603" spans="1:20" hidden="1" x14ac:dyDescent="0.3">
      <c r="A603" s="2" t="s">
        <v>1066</v>
      </c>
      <c r="B603" s="5">
        <v>45987</v>
      </c>
      <c r="C603" s="5" t="str">
        <f>TEXT(B603,"mmm")</f>
        <v>Nov</v>
      </c>
      <c r="D603" s="2" t="s">
        <v>402</v>
      </c>
      <c r="E603" s="2" t="s">
        <v>40</v>
      </c>
      <c r="F603" s="2" t="str" cm="1">
        <f t="array" ref="F6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03" s="2" t="str" cm="1">
        <f t="array" ref="G6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03" s="2" t="s">
        <v>134</v>
      </c>
      <c r="I603" s="2" t="s">
        <v>29</v>
      </c>
      <c r="J603" s="2">
        <v>1</v>
      </c>
      <c r="K603" s="8">
        <v>1499</v>
      </c>
      <c r="L603" s="3">
        <v>0</v>
      </c>
      <c r="M603" s="12">
        <f>K603*L603</f>
        <v>0</v>
      </c>
      <c r="N603" s="12">
        <f>K603*J603</f>
        <v>1499</v>
      </c>
      <c r="O603" s="12">
        <f>N603-M603</f>
        <v>1499</v>
      </c>
      <c r="P603" s="2" t="s">
        <v>45</v>
      </c>
      <c r="Q603" s="2" t="s">
        <v>18</v>
      </c>
      <c r="R603" s="2">
        <v>0</v>
      </c>
      <c r="S603" s="20">
        <f>Table1[[#This Row],[Net_revenue]]/Table1[[#This Row],[Gross_revenue]]*100%</f>
        <v>1</v>
      </c>
      <c r="T603" s="18">
        <f>COUNTIFS(Table1[Customer ID], "&gt;1", Table1[Customer ID], 1)</f>
        <v>0</v>
      </c>
    </row>
    <row r="604" spans="1:20" hidden="1" x14ac:dyDescent="0.3">
      <c r="A604" s="2" t="s">
        <v>1067</v>
      </c>
      <c r="B604" s="5">
        <v>45903</v>
      </c>
      <c r="C604" s="5" t="str">
        <f>TEXT(B604,"mmm")</f>
        <v>Sep</v>
      </c>
      <c r="D604" s="2" t="s">
        <v>1068</v>
      </c>
      <c r="E604" s="2" t="s">
        <v>56</v>
      </c>
      <c r="F604" s="2" t="str" cm="1">
        <f t="array" ref="F6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04" s="2" t="str" cm="1">
        <f t="array" ref="G6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04" s="2" t="s">
        <v>68</v>
      </c>
      <c r="I604" s="2" t="s">
        <v>16</v>
      </c>
      <c r="J604" s="2">
        <v>1</v>
      </c>
      <c r="K604" s="8">
        <v>599</v>
      </c>
      <c r="L604" s="3">
        <v>0.2</v>
      </c>
      <c r="M604" s="12">
        <f>K604*L604</f>
        <v>119.80000000000001</v>
      </c>
      <c r="N604" s="12">
        <f>K604*J604</f>
        <v>599</v>
      </c>
      <c r="O604" s="12">
        <f>N604-M604</f>
        <v>479.2</v>
      </c>
      <c r="P604" s="2" t="s">
        <v>17</v>
      </c>
      <c r="Q604" s="2" t="s">
        <v>18</v>
      </c>
      <c r="R604" s="2">
        <v>80</v>
      </c>
      <c r="S604" s="20">
        <f>Table1[[#This Row],[Net_revenue]]/Table1[[#This Row],[Gross_revenue]]*100%</f>
        <v>0.79999999999999993</v>
      </c>
      <c r="T604" s="18">
        <f>COUNTIFS(Table1[Customer ID], "&gt;1", Table1[Customer ID], 1)</f>
        <v>0</v>
      </c>
    </row>
    <row r="605" spans="1:20" hidden="1" x14ac:dyDescent="0.3">
      <c r="A605" s="2" t="s">
        <v>1069</v>
      </c>
      <c r="B605" s="5">
        <v>45792</v>
      </c>
      <c r="C605" s="5" t="str">
        <f>TEXT(B605,"mmm")</f>
        <v>May</v>
      </c>
      <c r="D605" s="2" t="s">
        <v>1070</v>
      </c>
      <c r="E605" s="2" t="s">
        <v>14</v>
      </c>
      <c r="F605" s="2" t="str" cm="1">
        <f t="array" ref="F6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05" s="2" t="str" cm="1">
        <f t="array" ref="G6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05" s="2" t="s">
        <v>68</v>
      </c>
      <c r="I605" s="2" t="s">
        <v>16</v>
      </c>
      <c r="J605" s="2">
        <v>1</v>
      </c>
      <c r="K605" s="8">
        <v>599</v>
      </c>
      <c r="L605" s="3">
        <v>0</v>
      </c>
      <c r="M605" s="12">
        <f>K605*L605</f>
        <v>0</v>
      </c>
      <c r="N605" s="12">
        <f>K605*J605</f>
        <v>599</v>
      </c>
      <c r="O605" s="12">
        <f>N605-M605</f>
        <v>599</v>
      </c>
      <c r="P605" s="2" t="s">
        <v>30</v>
      </c>
      <c r="Q605" s="2" t="s">
        <v>50</v>
      </c>
      <c r="R605" s="2">
        <v>0</v>
      </c>
      <c r="S605" s="20">
        <f>Table1[[#This Row],[Net_revenue]]/Table1[[#This Row],[Gross_revenue]]*100%</f>
        <v>1</v>
      </c>
      <c r="T605" s="18">
        <f>COUNTIFS(Table1[Customer ID], "&gt;1", Table1[Customer ID], 1)</f>
        <v>0</v>
      </c>
    </row>
    <row r="606" spans="1:20" hidden="1" x14ac:dyDescent="0.3">
      <c r="A606" s="2" t="s">
        <v>1071</v>
      </c>
      <c r="B606" s="5">
        <v>45713</v>
      </c>
      <c r="C606" s="5" t="str">
        <f>TEXT(B606,"mmm")</f>
        <v>Feb</v>
      </c>
      <c r="D606" s="2" t="s">
        <v>369</v>
      </c>
      <c r="E606" s="2" t="s">
        <v>56</v>
      </c>
      <c r="F606" s="2" t="str" cm="1">
        <f t="array" ref="F6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06" s="2" t="str" cm="1">
        <f t="array" ref="G6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06" s="2" t="s">
        <v>217</v>
      </c>
      <c r="I606" s="2" t="s">
        <v>29</v>
      </c>
      <c r="J606" s="2">
        <v>3</v>
      </c>
      <c r="K606" s="8">
        <v>3299</v>
      </c>
      <c r="L606" s="3">
        <v>0.2</v>
      </c>
      <c r="M606" s="12">
        <f>K606*L606</f>
        <v>659.80000000000007</v>
      </c>
      <c r="N606" s="12">
        <f>K606*J606</f>
        <v>9897</v>
      </c>
      <c r="O606" s="12">
        <f>N606-M606</f>
        <v>9237.2000000000007</v>
      </c>
      <c r="P606" s="2" t="s">
        <v>30</v>
      </c>
      <c r="Q606" s="2" t="s">
        <v>18</v>
      </c>
      <c r="R606" s="2">
        <v>80</v>
      </c>
      <c r="S606" s="20">
        <f>Table1[[#This Row],[Net_revenue]]/Table1[[#This Row],[Gross_revenue]]*100%</f>
        <v>0.93333333333333346</v>
      </c>
      <c r="T606" s="18">
        <f>COUNTIFS(Table1[Customer ID], "&gt;1", Table1[Customer ID], 1)</f>
        <v>0</v>
      </c>
    </row>
    <row r="607" spans="1:20" hidden="1" x14ac:dyDescent="0.3">
      <c r="A607" s="2" t="s">
        <v>1072</v>
      </c>
      <c r="B607" s="5">
        <v>45767</v>
      </c>
      <c r="C607" s="5" t="str">
        <f>TEXT(B607,"mmm")</f>
        <v>Apr</v>
      </c>
      <c r="D607" s="2" t="s">
        <v>1073</v>
      </c>
      <c r="E607" s="2" t="s">
        <v>21</v>
      </c>
      <c r="F607" s="2" t="str" cm="1">
        <f t="array" ref="F6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07" s="2" t="str" cm="1">
        <f t="array" ref="G6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07" s="2" t="s">
        <v>65</v>
      </c>
      <c r="I607" s="2" t="s">
        <v>23</v>
      </c>
      <c r="J607" s="2">
        <v>3</v>
      </c>
      <c r="K607" s="8">
        <v>1899</v>
      </c>
      <c r="L607" s="3">
        <v>0.1</v>
      </c>
      <c r="M607" s="12">
        <f>K607*L607</f>
        <v>189.9</v>
      </c>
      <c r="N607" s="12">
        <f>K607*J607</f>
        <v>5697</v>
      </c>
      <c r="O607" s="12">
        <f>N607-M607</f>
        <v>5507.1</v>
      </c>
      <c r="P607" s="2" t="s">
        <v>45</v>
      </c>
      <c r="Q607" s="2" t="s">
        <v>18</v>
      </c>
      <c r="R607" s="2">
        <v>0</v>
      </c>
      <c r="S607" s="20">
        <f>Table1[[#This Row],[Net_revenue]]/Table1[[#This Row],[Gross_revenue]]*100%</f>
        <v>0.96666666666666679</v>
      </c>
      <c r="T607" s="18">
        <f>COUNTIFS(Table1[Customer ID], "&gt;1", Table1[Customer ID], 1)</f>
        <v>0</v>
      </c>
    </row>
    <row r="608" spans="1:20" hidden="1" x14ac:dyDescent="0.3">
      <c r="A608" s="2" t="s">
        <v>1074</v>
      </c>
      <c r="B608" s="5">
        <v>45689</v>
      </c>
      <c r="C608" s="5" t="str">
        <f>TEXT(B608,"mmm")</f>
        <v>Feb</v>
      </c>
      <c r="D608" s="2" t="s">
        <v>1075</v>
      </c>
      <c r="E608" s="2" t="s">
        <v>40</v>
      </c>
      <c r="F608" s="2" t="str" cm="1">
        <f t="array" ref="F6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08" s="2" t="str" cm="1">
        <f t="array" ref="G6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08" s="2" t="s">
        <v>28</v>
      </c>
      <c r="I608" s="2" t="s">
        <v>29</v>
      </c>
      <c r="J608" s="2">
        <v>1</v>
      </c>
      <c r="K608" s="8">
        <v>2799</v>
      </c>
      <c r="L608" s="3">
        <v>0</v>
      </c>
      <c r="M608" s="12">
        <f>K608*L608</f>
        <v>0</v>
      </c>
      <c r="N608" s="12">
        <f>K608*J608</f>
        <v>2799</v>
      </c>
      <c r="O608" s="12">
        <f>N608-M608</f>
        <v>2799</v>
      </c>
      <c r="P608" s="2" t="s">
        <v>45</v>
      </c>
      <c r="Q608" s="2" t="s">
        <v>18</v>
      </c>
      <c r="R608" s="2">
        <v>40</v>
      </c>
      <c r="S608" s="20">
        <f>Table1[[#This Row],[Net_revenue]]/Table1[[#This Row],[Gross_revenue]]*100%</f>
        <v>1</v>
      </c>
      <c r="T608" s="18">
        <f>COUNTIFS(Table1[Customer ID], "&gt;1", Table1[Customer ID], 1)</f>
        <v>0</v>
      </c>
    </row>
    <row r="609" spans="1:20" hidden="1" x14ac:dyDescent="0.3">
      <c r="A609" s="2" t="s">
        <v>1076</v>
      </c>
      <c r="B609" s="5">
        <v>45783</v>
      </c>
      <c r="C609" s="5" t="str">
        <f>TEXT(B609,"mmm")</f>
        <v>May</v>
      </c>
      <c r="D609" s="2" t="s">
        <v>1077</v>
      </c>
      <c r="E609" s="2" t="s">
        <v>48</v>
      </c>
      <c r="F609" s="2" t="str" cm="1">
        <f t="array" ref="F6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09" s="2" t="str" cm="1">
        <f t="array" ref="G6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09" s="2" t="s">
        <v>68</v>
      </c>
      <c r="I609" s="2" t="s">
        <v>16</v>
      </c>
      <c r="J609" s="2">
        <v>2</v>
      </c>
      <c r="K609" s="8">
        <v>599</v>
      </c>
      <c r="L609" s="3">
        <v>0</v>
      </c>
      <c r="M609" s="12">
        <f>K609*L609</f>
        <v>0</v>
      </c>
      <c r="N609" s="12">
        <f>K609*J609</f>
        <v>1198</v>
      </c>
      <c r="O609" s="12">
        <f>N609-M609</f>
        <v>1198</v>
      </c>
      <c r="P609" s="2" t="s">
        <v>45</v>
      </c>
      <c r="Q609" s="2" t="s">
        <v>18</v>
      </c>
      <c r="R609" s="2">
        <v>60</v>
      </c>
      <c r="S609" s="20">
        <f>Table1[[#This Row],[Net_revenue]]/Table1[[#This Row],[Gross_revenue]]*100%</f>
        <v>1</v>
      </c>
      <c r="T609" s="18">
        <f>COUNTIFS(Table1[Customer ID], "&gt;1", Table1[Customer ID], 1)</f>
        <v>0</v>
      </c>
    </row>
    <row r="610" spans="1:20" hidden="1" x14ac:dyDescent="0.3">
      <c r="A610" s="2" t="s">
        <v>1078</v>
      </c>
      <c r="B610" s="5">
        <v>45844</v>
      </c>
      <c r="C610" s="5" t="str">
        <f>TEXT(B610,"mmm")</f>
        <v>Jul</v>
      </c>
      <c r="D610" s="2" t="s">
        <v>355</v>
      </c>
      <c r="E610" s="2" t="s">
        <v>48</v>
      </c>
      <c r="F610" s="2" t="str" cm="1">
        <f t="array" ref="F6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10" s="2" t="str" cm="1">
        <f t="array" ref="G6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10" s="2" t="s">
        <v>33</v>
      </c>
      <c r="I610" s="2" t="s">
        <v>16</v>
      </c>
      <c r="J610" s="2">
        <v>3</v>
      </c>
      <c r="K610" s="8">
        <v>899</v>
      </c>
      <c r="L610" s="3">
        <v>0.15</v>
      </c>
      <c r="M610" s="12">
        <f>K610*L610</f>
        <v>134.85</v>
      </c>
      <c r="N610" s="12">
        <f>K610*J610</f>
        <v>2697</v>
      </c>
      <c r="O610" s="12">
        <f>N610-M610</f>
        <v>2562.15</v>
      </c>
      <c r="P610" s="2" t="s">
        <v>45</v>
      </c>
      <c r="Q610" s="2" t="s">
        <v>18</v>
      </c>
      <c r="R610" s="2">
        <v>0</v>
      </c>
      <c r="S610" s="20">
        <f>Table1[[#This Row],[Net_revenue]]/Table1[[#This Row],[Gross_revenue]]*100%</f>
        <v>0.95000000000000007</v>
      </c>
      <c r="T610" s="18">
        <f>COUNTIFS(Table1[Customer ID], "&gt;1", Table1[Customer ID], 1)</f>
        <v>0</v>
      </c>
    </row>
    <row r="611" spans="1:20" hidden="1" x14ac:dyDescent="0.3">
      <c r="A611" s="2" t="s">
        <v>1079</v>
      </c>
      <c r="B611" s="5">
        <v>45833</v>
      </c>
      <c r="C611" s="5" t="str">
        <f>TEXT(B611,"mmm")</f>
        <v>Jun</v>
      </c>
      <c r="D611" s="2" t="s">
        <v>278</v>
      </c>
      <c r="E611" s="2" t="s">
        <v>40</v>
      </c>
      <c r="F611" s="2" t="str" cm="1">
        <f t="array" ref="F6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11" s="2" t="str" cm="1">
        <f t="array" ref="G6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11" s="2" t="s">
        <v>80</v>
      </c>
      <c r="I611" s="2" t="s">
        <v>23</v>
      </c>
      <c r="J611" s="2">
        <v>1</v>
      </c>
      <c r="K611" s="8">
        <v>799</v>
      </c>
      <c r="L611" s="3">
        <v>0</v>
      </c>
      <c r="M611" s="12">
        <f>K611*L611</f>
        <v>0</v>
      </c>
      <c r="N611" s="12">
        <f>K611*J611</f>
        <v>799</v>
      </c>
      <c r="O611" s="12">
        <f>N611-M611</f>
        <v>799</v>
      </c>
      <c r="P611" s="2" t="s">
        <v>45</v>
      </c>
      <c r="Q611" s="2" t="s">
        <v>50</v>
      </c>
      <c r="R611" s="2">
        <v>80</v>
      </c>
      <c r="S611" s="20">
        <f>Table1[[#This Row],[Net_revenue]]/Table1[[#This Row],[Gross_revenue]]*100%</f>
        <v>1</v>
      </c>
      <c r="T611" s="18">
        <f>COUNTIFS(Table1[Customer ID], "&gt;1", Table1[Customer ID], 1)</f>
        <v>0</v>
      </c>
    </row>
    <row r="612" spans="1:20" hidden="1" x14ac:dyDescent="0.3">
      <c r="A612" s="2" t="s">
        <v>1080</v>
      </c>
      <c r="B612" s="5">
        <v>45735</v>
      </c>
      <c r="C612" s="5" t="str">
        <f>TEXT(B612,"mmm")</f>
        <v>Mar</v>
      </c>
      <c r="D612" s="2" t="s">
        <v>1081</v>
      </c>
      <c r="E612" s="2" t="s">
        <v>120</v>
      </c>
      <c r="F612" s="2" t="str" cm="1">
        <f t="array" ref="F6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12" s="2" t="str" cm="1">
        <f t="array" ref="G6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12" s="2" t="s">
        <v>33</v>
      </c>
      <c r="I612" s="2" t="s">
        <v>16</v>
      </c>
      <c r="J612" s="2">
        <v>3</v>
      </c>
      <c r="K612" s="8">
        <v>899</v>
      </c>
      <c r="L612" s="3">
        <v>0.05</v>
      </c>
      <c r="M612" s="12">
        <f>K612*L612</f>
        <v>44.95</v>
      </c>
      <c r="N612" s="12">
        <f>K612*J612</f>
        <v>2697</v>
      </c>
      <c r="O612" s="12">
        <f>N612-M612</f>
        <v>2652.05</v>
      </c>
      <c r="P612" s="2" t="s">
        <v>45</v>
      </c>
      <c r="Q612" s="2" t="s">
        <v>18</v>
      </c>
      <c r="R612" s="2">
        <v>60</v>
      </c>
      <c r="S612" s="20">
        <f>Table1[[#This Row],[Net_revenue]]/Table1[[#This Row],[Gross_revenue]]*100%</f>
        <v>0.98333333333333339</v>
      </c>
      <c r="T612" s="18">
        <f>COUNTIFS(Table1[Customer ID], "&gt;1", Table1[Customer ID], 1)</f>
        <v>0</v>
      </c>
    </row>
    <row r="613" spans="1:20" hidden="1" x14ac:dyDescent="0.3">
      <c r="A613" s="2" t="s">
        <v>1082</v>
      </c>
      <c r="B613" s="5">
        <v>45878</v>
      </c>
      <c r="C613" s="5" t="str">
        <f>TEXT(B613,"mmm")</f>
        <v>Aug</v>
      </c>
      <c r="D613" s="2" t="s">
        <v>1083</v>
      </c>
      <c r="E613" s="2" t="s">
        <v>27</v>
      </c>
      <c r="F613" s="2" t="str" cm="1">
        <f t="array" ref="F6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13" s="2" t="str" cm="1">
        <f t="array" ref="G6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13" s="2" t="s">
        <v>28</v>
      </c>
      <c r="I613" s="2" t="s">
        <v>29</v>
      </c>
      <c r="J613" s="2">
        <v>1</v>
      </c>
      <c r="K613" s="8">
        <v>2799</v>
      </c>
      <c r="L613" s="3">
        <v>0.1</v>
      </c>
      <c r="M613" s="12">
        <f>K613*L613</f>
        <v>279.90000000000003</v>
      </c>
      <c r="N613" s="12">
        <f>K613*J613</f>
        <v>2799</v>
      </c>
      <c r="O613" s="12">
        <f>N613-M613</f>
        <v>2519.1</v>
      </c>
      <c r="P613" s="2" t="s">
        <v>45</v>
      </c>
      <c r="Q613" s="2" t="s">
        <v>18</v>
      </c>
      <c r="R613" s="2">
        <v>80</v>
      </c>
      <c r="S613" s="20">
        <f>Table1[[#This Row],[Net_revenue]]/Table1[[#This Row],[Gross_revenue]]*100%</f>
        <v>0.9</v>
      </c>
      <c r="T613" s="18">
        <f>COUNTIFS(Table1[Customer ID], "&gt;1", Table1[Customer ID], 1)</f>
        <v>0</v>
      </c>
    </row>
    <row r="614" spans="1:20" hidden="1" x14ac:dyDescent="0.3">
      <c r="A614" s="2" t="s">
        <v>1084</v>
      </c>
      <c r="B614" s="5">
        <v>45965</v>
      </c>
      <c r="C614" s="5" t="str">
        <f>TEXT(B614,"mmm")</f>
        <v>Nov</v>
      </c>
      <c r="D614" s="2" t="s">
        <v>1024</v>
      </c>
      <c r="E614" s="2" t="s">
        <v>48</v>
      </c>
      <c r="F614" s="2" t="str" cm="1">
        <f t="array" ref="F6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14" s="2" t="str" cm="1">
        <f t="array" ref="G6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14" s="2" t="s">
        <v>36</v>
      </c>
      <c r="I614" s="2" t="s">
        <v>37</v>
      </c>
      <c r="J614" s="2">
        <v>1</v>
      </c>
      <c r="K614" s="8">
        <v>349</v>
      </c>
      <c r="L614" s="3">
        <v>0</v>
      </c>
      <c r="M614" s="12">
        <f>K614*L614</f>
        <v>0</v>
      </c>
      <c r="N614" s="12">
        <f>K614*J614</f>
        <v>349</v>
      </c>
      <c r="O614" s="12">
        <f>N614-M614</f>
        <v>349</v>
      </c>
      <c r="P614" s="2" t="s">
        <v>30</v>
      </c>
      <c r="Q614" s="2" t="s">
        <v>18</v>
      </c>
      <c r="R614" s="2">
        <v>40</v>
      </c>
      <c r="S614" s="20">
        <f>Table1[[#This Row],[Net_revenue]]/Table1[[#This Row],[Gross_revenue]]*100%</f>
        <v>1</v>
      </c>
      <c r="T614" s="18">
        <f>COUNTIFS(Table1[Customer ID], "&gt;1", Table1[Customer ID], 1)</f>
        <v>0</v>
      </c>
    </row>
    <row r="615" spans="1:20" hidden="1" x14ac:dyDescent="0.3">
      <c r="A615" s="2" t="s">
        <v>1085</v>
      </c>
      <c r="B615" s="5">
        <v>45787</v>
      </c>
      <c r="C615" s="5" t="str">
        <f>TEXT(B615,"mmm")</f>
        <v>May</v>
      </c>
      <c r="D615" s="2" t="s">
        <v>226</v>
      </c>
      <c r="E615" s="2" t="s">
        <v>14</v>
      </c>
      <c r="F615" s="2" t="str" cm="1">
        <f t="array" ref="F6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15" s="2" t="str" cm="1">
        <f t="array" ref="G6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15" s="2" t="s">
        <v>188</v>
      </c>
      <c r="I615" s="2" t="s">
        <v>95</v>
      </c>
      <c r="J615" s="2">
        <v>2</v>
      </c>
      <c r="K615" s="8">
        <v>699</v>
      </c>
      <c r="L615" s="3">
        <v>0.25</v>
      </c>
      <c r="M615" s="12">
        <f>K615*L615</f>
        <v>174.75</v>
      </c>
      <c r="N615" s="12">
        <f>K615*J615</f>
        <v>1398</v>
      </c>
      <c r="O615" s="12">
        <f>N615-M615</f>
        <v>1223.25</v>
      </c>
      <c r="P615" s="2" t="s">
        <v>24</v>
      </c>
      <c r="Q615" s="2" t="s">
        <v>18</v>
      </c>
      <c r="R615" s="2">
        <v>60</v>
      </c>
      <c r="S615" s="20">
        <f>Table1[[#This Row],[Net_revenue]]/Table1[[#This Row],[Gross_revenue]]*100%</f>
        <v>0.875</v>
      </c>
      <c r="T615" s="18">
        <f>COUNTIFS(Table1[Customer ID], "&gt;1", Table1[Customer ID], 1)</f>
        <v>0</v>
      </c>
    </row>
    <row r="616" spans="1:20" hidden="1" x14ac:dyDescent="0.3">
      <c r="A616" s="2" t="s">
        <v>1086</v>
      </c>
      <c r="B616" s="5">
        <v>45889</v>
      </c>
      <c r="C616" s="5" t="str">
        <f>TEXT(B616,"mmm")</f>
        <v>Aug</v>
      </c>
      <c r="D616" s="2" t="s">
        <v>1087</v>
      </c>
      <c r="E616" s="2" t="s">
        <v>48</v>
      </c>
      <c r="F616" s="2" t="str" cm="1">
        <f t="array" ref="F6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16" s="2" t="str" cm="1">
        <f t="array" ref="G6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16" s="2" t="s">
        <v>22</v>
      </c>
      <c r="I616" s="2" t="s">
        <v>23</v>
      </c>
      <c r="J616" s="2">
        <v>3</v>
      </c>
      <c r="K616" s="8">
        <v>3999</v>
      </c>
      <c r="L616" s="3">
        <v>0.1</v>
      </c>
      <c r="M616" s="12">
        <f>K616*L616</f>
        <v>399.90000000000003</v>
      </c>
      <c r="N616" s="12">
        <f>K616*J616</f>
        <v>11997</v>
      </c>
      <c r="O616" s="12">
        <f>N616-M616</f>
        <v>11597.1</v>
      </c>
      <c r="P616" s="2" t="s">
        <v>45</v>
      </c>
      <c r="Q616" s="2" t="s">
        <v>18</v>
      </c>
      <c r="R616" s="2">
        <v>80</v>
      </c>
      <c r="S616" s="20">
        <f>Table1[[#This Row],[Net_revenue]]/Table1[[#This Row],[Gross_revenue]]*100%</f>
        <v>0.96666666666666667</v>
      </c>
      <c r="T616" s="18">
        <f>COUNTIFS(Table1[Customer ID], "&gt;1", Table1[Customer ID], 1)</f>
        <v>0</v>
      </c>
    </row>
    <row r="617" spans="1:20" hidden="1" x14ac:dyDescent="0.3">
      <c r="A617" s="2" t="s">
        <v>1088</v>
      </c>
      <c r="B617" s="5">
        <v>45704</v>
      </c>
      <c r="C617" s="5" t="str">
        <f>TEXT(B617,"mmm")</f>
        <v>Feb</v>
      </c>
      <c r="D617" s="2" t="s">
        <v>1089</v>
      </c>
      <c r="E617" s="2" t="s">
        <v>14</v>
      </c>
      <c r="F617" s="2" t="str" cm="1">
        <f t="array" ref="F6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17" s="2" t="str" cm="1">
        <f t="array" ref="G6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17" s="2" t="s">
        <v>49</v>
      </c>
      <c r="I617" s="2" t="s">
        <v>23</v>
      </c>
      <c r="J617" s="2">
        <v>1</v>
      </c>
      <c r="K617" s="8">
        <v>1299</v>
      </c>
      <c r="L617" s="3">
        <v>0.1</v>
      </c>
      <c r="M617" s="12">
        <f>K617*L617</f>
        <v>129.9</v>
      </c>
      <c r="N617" s="12">
        <f>K617*J617</f>
        <v>1299</v>
      </c>
      <c r="O617" s="12">
        <f>N617-M617</f>
        <v>1169.0999999999999</v>
      </c>
      <c r="P617" s="2" t="s">
        <v>45</v>
      </c>
      <c r="Q617" s="2" t="s">
        <v>18</v>
      </c>
      <c r="R617" s="2">
        <v>80</v>
      </c>
      <c r="S617" s="20">
        <f>Table1[[#This Row],[Net_revenue]]/Table1[[#This Row],[Gross_revenue]]*100%</f>
        <v>0.89999999999999991</v>
      </c>
      <c r="T617" s="18">
        <f>COUNTIFS(Table1[Customer ID], "&gt;1", Table1[Customer ID], 1)</f>
        <v>0</v>
      </c>
    </row>
    <row r="618" spans="1:20" hidden="1" x14ac:dyDescent="0.3">
      <c r="A618" s="2" t="s">
        <v>1090</v>
      </c>
      <c r="B618" s="5">
        <v>46014</v>
      </c>
      <c r="C618" s="5" t="str">
        <f>TEXT(B618,"mmm")</f>
        <v>Dec</v>
      </c>
      <c r="D618" s="2" t="s">
        <v>661</v>
      </c>
      <c r="E618" s="2" t="s">
        <v>40</v>
      </c>
      <c r="F618" s="2" t="str" cm="1">
        <f t="array" ref="F6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18" s="2" t="str" cm="1">
        <f t="array" ref="G6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18" s="2" t="s">
        <v>15</v>
      </c>
      <c r="I618" s="2" t="s">
        <v>16</v>
      </c>
      <c r="J618" s="2">
        <v>1</v>
      </c>
      <c r="K618" s="8">
        <v>1799</v>
      </c>
      <c r="L618" s="3">
        <v>0.1</v>
      </c>
      <c r="M618" s="12">
        <f>K618*L618</f>
        <v>179.9</v>
      </c>
      <c r="N618" s="12">
        <f>K618*J618</f>
        <v>1799</v>
      </c>
      <c r="O618" s="12">
        <f>N618-M618</f>
        <v>1619.1</v>
      </c>
      <c r="P618" s="2" t="s">
        <v>45</v>
      </c>
      <c r="Q618" s="2" t="s">
        <v>18</v>
      </c>
      <c r="R618" s="2">
        <v>80</v>
      </c>
      <c r="S618" s="20">
        <f>Table1[[#This Row],[Net_revenue]]/Table1[[#This Row],[Gross_revenue]]*100%</f>
        <v>0.89999999999999991</v>
      </c>
      <c r="T618" s="18">
        <f>COUNTIFS(Table1[Customer ID], "&gt;1", Table1[Customer ID], 1)</f>
        <v>0</v>
      </c>
    </row>
    <row r="619" spans="1:20" hidden="1" x14ac:dyDescent="0.3">
      <c r="A619" s="2" t="s">
        <v>1091</v>
      </c>
      <c r="B619" s="5">
        <v>45894</v>
      </c>
      <c r="C619" s="5" t="str">
        <f>TEXT(B619,"mmm")</f>
        <v>Aug</v>
      </c>
      <c r="D619" s="2" t="s">
        <v>963</v>
      </c>
      <c r="E619" s="2" t="s">
        <v>48</v>
      </c>
      <c r="F619" s="2" t="str" cm="1">
        <f t="array" ref="F6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19" s="2" t="str" cm="1">
        <f t="array" ref="G6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19" s="2" t="s">
        <v>217</v>
      </c>
      <c r="I619" s="2" t="s">
        <v>29</v>
      </c>
      <c r="J619" s="2">
        <v>3</v>
      </c>
      <c r="K619" s="8">
        <v>3299</v>
      </c>
      <c r="L619" s="3">
        <v>0</v>
      </c>
      <c r="M619" s="12">
        <f>K619*L619</f>
        <v>0</v>
      </c>
      <c r="N619" s="12">
        <f>K619*J619</f>
        <v>9897</v>
      </c>
      <c r="O619" s="12">
        <f>N619-M619</f>
        <v>9897</v>
      </c>
      <c r="P619" s="2" t="s">
        <v>45</v>
      </c>
      <c r="Q619" s="2" t="s">
        <v>50</v>
      </c>
      <c r="R619" s="2">
        <v>60</v>
      </c>
      <c r="S619" s="20">
        <f>Table1[[#This Row],[Net_revenue]]/Table1[[#This Row],[Gross_revenue]]*100%</f>
        <v>1</v>
      </c>
      <c r="T619" s="18">
        <f>COUNTIFS(Table1[Customer ID], "&gt;1", Table1[Customer ID], 1)</f>
        <v>0</v>
      </c>
    </row>
    <row r="620" spans="1:20" hidden="1" x14ac:dyDescent="0.3">
      <c r="A620" s="2" t="s">
        <v>1092</v>
      </c>
      <c r="B620" s="5">
        <v>45672</v>
      </c>
      <c r="C620" s="5" t="str">
        <f>TEXT(B620,"mmm")</f>
        <v>Jan</v>
      </c>
      <c r="D620" s="2" t="s">
        <v>863</v>
      </c>
      <c r="E620" s="2" t="s">
        <v>21</v>
      </c>
      <c r="F620" s="2" t="str" cm="1">
        <f t="array" ref="F6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20" s="2" t="str" cm="1">
        <f t="array" ref="G6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0" s="2" t="s">
        <v>89</v>
      </c>
      <c r="I620" s="2" t="s">
        <v>29</v>
      </c>
      <c r="J620" s="2">
        <v>2</v>
      </c>
      <c r="K620" s="8">
        <v>449</v>
      </c>
      <c r="L620" s="3">
        <v>0</v>
      </c>
      <c r="M620" s="12">
        <f>K620*L620</f>
        <v>0</v>
      </c>
      <c r="N620" s="12">
        <f>K620*J620</f>
        <v>898</v>
      </c>
      <c r="O620" s="12">
        <f>N620-M620</f>
        <v>898</v>
      </c>
      <c r="P620" s="2" t="s">
        <v>45</v>
      </c>
      <c r="Q620" s="2" t="s">
        <v>18</v>
      </c>
      <c r="R620" s="2">
        <v>0</v>
      </c>
      <c r="S620" s="20">
        <f>Table1[[#This Row],[Net_revenue]]/Table1[[#This Row],[Gross_revenue]]*100%</f>
        <v>1</v>
      </c>
      <c r="T620" s="18">
        <f>COUNTIFS(Table1[Customer ID], "&gt;1", Table1[Customer ID], 1)</f>
        <v>0</v>
      </c>
    </row>
    <row r="621" spans="1:20" hidden="1" x14ac:dyDescent="0.3">
      <c r="A621" s="2" t="s">
        <v>1093</v>
      </c>
      <c r="B621" s="5">
        <v>45984</v>
      </c>
      <c r="C621" s="5" t="str">
        <f>TEXT(B621,"mmm")</f>
        <v>Nov</v>
      </c>
      <c r="D621" s="2" t="s">
        <v>55</v>
      </c>
      <c r="E621" s="2" t="s">
        <v>56</v>
      </c>
      <c r="F621" s="2" t="str" cm="1">
        <f t="array" ref="F6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21" s="2" t="str" cm="1">
        <f t="array" ref="G6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21" s="2" t="s">
        <v>94</v>
      </c>
      <c r="I621" s="2" t="s">
        <v>95</v>
      </c>
      <c r="J621" s="2">
        <v>1</v>
      </c>
      <c r="K621" s="8">
        <v>399</v>
      </c>
      <c r="L621" s="3">
        <v>0.1</v>
      </c>
      <c r="M621" s="12">
        <f>K621*L621</f>
        <v>39.900000000000006</v>
      </c>
      <c r="N621" s="12">
        <f>K621*J621</f>
        <v>399</v>
      </c>
      <c r="O621" s="12">
        <f>N621-M621</f>
        <v>359.1</v>
      </c>
      <c r="P621" s="2" t="s">
        <v>17</v>
      </c>
      <c r="Q621" s="2" t="s">
        <v>18</v>
      </c>
      <c r="R621" s="2">
        <v>60</v>
      </c>
      <c r="S621" s="20">
        <f>Table1[[#This Row],[Net_revenue]]/Table1[[#This Row],[Gross_revenue]]*100%</f>
        <v>0.9</v>
      </c>
      <c r="T621" s="18">
        <f>COUNTIFS(Table1[Customer ID], "&gt;1", Table1[Customer ID], 1)</f>
        <v>0</v>
      </c>
    </row>
    <row r="622" spans="1:20" hidden="1" x14ac:dyDescent="0.3">
      <c r="A622" s="2" t="s">
        <v>1094</v>
      </c>
      <c r="B622" s="5">
        <v>45887</v>
      </c>
      <c r="C622" s="5" t="str">
        <f>TEXT(B622,"mmm")</f>
        <v>Aug</v>
      </c>
      <c r="D622" s="2" t="s">
        <v>1095</v>
      </c>
      <c r="E622" s="2" t="s">
        <v>75</v>
      </c>
      <c r="F622" s="2" t="str" cm="1">
        <f t="array" ref="F6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622" s="2" t="str" cm="1">
        <f t="array" ref="G6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2" s="2" t="s">
        <v>22</v>
      </c>
      <c r="I622" s="2" t="s">
        <v>23</v>
      </c>
      <c r="J622" s="2">
        <v>1</v>
      </c>
      <c r="K622" s="8">
        <v>3999</v>
      </c>
      <c r="L622" s="3">
        <v>0.1</v>
      </c>
      <c r="M622" s="12">
        <f>K622*L622</f>
        <v>399.90000000000003</v>
      </c>
      <c r="N622" s="12">
        <f>K622*J622</f>
        <v>3999</v>
      </c>
      <c r="O622" s="12">
        <f>N622-M622</f>
        <v>3599.1</v>
      </c>
      <c r="P622" s="2" t="s">
        <v>30</v>
      </c>
      <c r="Q622" s="2" t="s">
        <v>50</v>
      </c>
      <c r="R622" s="2">
        <v>80</v>
      </c>
      <c r="S622" s="20">
        <f>Table1[[#This Row],[Net_revenue]]/Table1[[#This Row],[Gross_revenue]]*100%</f>
        <v>0.9</v>
      </c>
      <c r="T622" s="18">
        <f>COUNTIFS(Table1[Customer ID], "&gt;1", Table1[Customer ID], 1)</f>
        <v>0</v>
      </c>
    </row>
    <row r="623" spans="1:20" hidden="1" x14ac:dyDescent="0.3">
      <c r="A623" s="2" t="s">
        <v>1096</v>
      </c>
      <c r="B623" s="5">
        <v>45667</v>
      </c>
      <c r="C623" s="5" t="str">
        <f>TEXT(B623,"mmm")</f>
        <v>Jan</v>
      </c>
      <c r="D623" s="2" t="s">
        <v>1097</v>
      </c>
      <c r="E623" s="2" t="s">
        <v>195</v>
      </c>
      <c r="F623" s="2" t="str" cm="1">
        <f t="array" ref="F6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23" s="2" t="str" cm="1">
        <f t="array" ref="G6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3" s="2" t="s">
        <v>134</v>
      </c>
      <c r="I623" s="2" t="s">
        <v>29</v>
      </c>
      <c r="J623" s="2">
        <v>1</v>
      </c>
      <c r="K623" s="8">
        <v>1499</v>
      </c>
      <c r="L623" s="3">
        <v>0.1</v>
      </c>
      <c r="M623" s="12">
        <f>K623*L623</f>
        <v>149.9</v>
      </c>
      <c r="N623" s="12">
        <f>K623*J623</f>
        <v>1499</v>
      </c>
      <c r="O623" s="12">
        <f>N623-M623</f>
        <v>1349.1</v>
      </c>
      <c r="P623" s="2" t="s">
        <v>30</v>
      </c>
      <c r="Q623" s="2" t="s">
        <v>18</v>
      </c>
      <c r="R623" s="2">
        <v>0</v>
      </c>
      <c r="S623" s="20">
        <f>Table1[[#This Row],[Net_revenue]]/Table1[[#This Row],[Gross_revenue]]*100%</f>
        <v>0.89999999999999991</v>
      </c>
      <c r="T623" s="18">
        <f>COUNTIFS(Table1[Customer ID], "&gt;1", Table1[Customer ID], 1)</f>
        <v>0</v>
      </c>
    </row>
    <row r="624" spans="1:20" hidden="1" x14ac:dyDescent="0.3">
      <c r="A624" s="2" t="s">
        <v>1098</v>
      </c>
      <c r="B624" s="5">
        <v>45719</v>
      </c>
      <c r="C624" s="5" t="str">
        <f>TEXT(B624,"mmm")</f>
        <v>Mar</v>
      </c>
      <c r="D624" s="2" t="s">
        <v>1099</v>
      </c>
      <c r="E624" s="2" t="s">
        <v>21</v>
      </c>
      <c r="F624" s="2" t="str" cm="1">
        <f t="array" ref="F6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24" s="2" t="str" cm="1">
        <f t="array" ref="G6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4" s="2" t="s">
        <v>107</v>
      </c>
      <c r="I624" s="2" t="s">
        <v>95</v>
      </c>
      <c r="J624" s="2">
        <v>1</v>
      </c>
      <c r="K624" s="8">
        <v>1599</v>
      </c>
      <c r="L624" s="3">
        <v>0.1</v>
      </c>
      <c r="M624" s="12">
        <f>K624*L624</f>
        <v>159.9</v>
      </c>
      <c r="N624" s="12">
        <f>K624*J624</f>
        <v>1599</v>
      </c>
      <c r="O624" s="12">
        <f>N624-M624</f>
        <v>1439.1</v>
      </c>
      <c r="P624" s="2" t="s">
        <v>30</v>
      </c>
      <c r="Q624" s="2" t="s">
        <v>18</v>
      </c>
      <c r="R624" s="2">
        <v>60</v>
      </c>
      <c r="S624" s="20">
        <f>Table1[[#This Row],[Net_revenue]]/Table1[[#This Row],[Gross_revenue]]*100%</f>
        <v>0.89999999999999991</v>
      </c>
      <c r="T624" s="18">
        <f>COUNTIFS(Table1[Customer ID], "&gt;1", Table1[Customer ID], 1)</f>
        <v>0</v>
      </c>
    </row>
    <row r="625" spans="1:20" hidden="1" x14ac:dyDescent="0.3">
      <c r="A625" s="2" t="s">
        <v>1100</v>
      </c>
      <c r="B625" s="5">
        <v>45689</v>
      </c>
      <c r="C625" s="5" t="str">
        <f>TEXT(B625,"mmm")</f>
        <v>Feb</v>
      </c>
      <c r="D625" s="2" t="s">
        <v>604</v>
      </c>
      <c r="E625" s="2" t="s">
        <v>40</v>
      </c>
      <c r="F625" s="2" t="str" cm="1">
        <f t="array" ref="F6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25" s="2" t="str" cm="1">
        <f t="array" ref="G6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25" s="2" t="s">
        <v>22</v>
      </c>
      <c r="I625" s="2" t="s">
        <v>23</v>
      </c>
      <c r="J625" s="2">
        <v>1</v>
      </c>
      <c r="K625" s="8">
        <v>3999</v>
      </c>
      <c r="L625" s="3">
        <v>0.05</v>
      </c>
      <c r="M625" s="12">
        <f>K625*L625</f>
        <v>199.95000000000002</v>
      </c>
      <c r="N625" s="12">
        <f>K625*J625</f>
        <v>3999</v>
      </c>
      <c r="O625" s="12">
        <f>N625-M625</f>
        <v>3799.05</v>
      </c>
      <c r="P625" s="2" t="s">
        <v>45</v>
      </c>
      <c r="Q625" s="2" t="s">
        <v>18</v>
      </c>
      <c r="R625" s="2">
        <v>0</v>
      </c>
      <c r="S625" s="20">
        <f>Table1[[#This Row],[Net_revenue]]/Table1[[#This Row],[Gross_revenue]]*100%</f>
        <v>0.95000000000000007</v>
      </c>
      <c r="T625" s="18">
        <f>COUNTIFS(Table1[Customer ID], "&gt;1", Table1[Customer ID], 1)</f>
        <v>0</v>
      </c>
    </row>
    <row r="626" spans="1:20" hidden="1" x14ac:dyDescent="0.3">
      <c r="A626" s="2" t="s">
        <v>1101</v>
      </c>
      <c r="B626" s="5">
        <v>45726</v>
      </c>
      <c r="C626" s="5" t="str">
        <f>TEXT(B626,"mmm")</f>
        <v>Mar</v>
      </c>
      <c r="D626" s="2" t="s">
        <v>1102</v>
      </c>
      <c r="E626" s="2" t="s">
        <v>75</v>
      </c>
      <c r="F626" s="2" t="str" cm="1">
        <f t="array" ref="F6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626" s="2" t="str" cm="1">
        <f t="array" ref="G6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6" s="2" t="s">
        <v>65</v>
      </c>
      <c r="I626" s="2" t="s">
        <v>23</v>
      </c>
      <c r="J626" s="2">
        <v>2</v>
      </c>
      <c r="K626" s="8">
        <v>1899</v>
      </c>
      <c r="L626" s="3">
        <v>0.15</v>
      </c>
      <c r="M626" s="12">
        <f>K626*L626</f>
        <v>284.84999999999997</v>
      </c>
      <c r="N626" s="12">
        <f>K626*J626</f>
        <v>3798</v>
      </c>
      <c r="O626" s="12">
        <f>N626-M626</f>
        <v>3513.15</v>
      </c>
      <c r="P626" s="2" t="s">
        <v>30</v>
      </c>
      <c r="Q626" s="2" t="s">
        <v>18</v>
      </c>
      <c r="R626" s="2">
        <v>80</v>
      </c>
      <c r="S626" s="20">
        <f>Table1[[#This Row],[Net_revenue]]/Table1[[#This Row],[Gross_revenue]]*100%</f>
        <v>0.92500000000000004</v>
      </c>
      <c r="T626" s="18">
        <f>COUNTIFS(Table1[Customer ID], "&gt;1", Table1[Customer ID], 1)</f>
        <v>0</v>
      </c>
    </row>
    <row r="627" spans="1:20" hidden="1" x14ac:dyDescent="0.3">
      <c r="A627" s="2" t="s">
        <v>1103</v>
      </c>
      <c r="B627" s="5">
        <v>45843</v>
      </c>
      <c r="C627" s="5" t="str">
        <f>TEXT(B627,"mmm")</f>
        <v>Jul</v>
      </c>
      <c r="D627" s="2" t="s">
        <v>836</v>
      </c>
      <c r="E627" s="2" t="s">
        <v>120</v>
      </c>
      <c r="F627" s="2" t="str" cm="1">
        <f t="array" ref="F6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27" s="2" t="str" cm="1">
        <f t="array" ref="G6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7" s="2" t="s">
        <v>134</v>
      </c>
      <c r="I627" s="2" t="s">
        <v>29</v>
      </c>
      <c r="J627" s="2">
        <v>1</v>
      </c>
      <c r="K627" s="8">
        <v>1499</v>
      </c>
      <c r="L627" s="3">
        <v>0.1</v>
      </c>
      <c r="M627" s="12">
        <f>K627*L627</f>
        <v>149.9</v>
      </c>
      <c r="N627" s="12">
        <f>K627*J627</f>
        <v>1499</v>
      </c>
      <c r="O627" s="12">
        <f>N627-M627</f>
        <v>1349.1</v>
      </c>
      <c r="P627" s="2" t="s">
        <v>17</v>
      </c>
      <c r="Q627" s="2" t="s">
        <v>18</v>
      </c>
      <c r="R627" s="2">
        <v>60</v>
      </c>
      <c r="S627" s="20">
        <f>Table1[[#This Row],[Net_revenue]]/Table1[[#This Row],[Gross_revenue]]*100%</f>
        <v>0.89999999999999991</v>
      </c>
      <c r="T627" s="18">
        <f>COUNTIFS(Table1[Customer ID], "&gt;1", Table1[Customer ID], 1)</f>
        <v>0</v>
      </c>
    </row>
    <row r="628" spans="1:20" hidden="1" x14ac:dyDescent="0.3">
      <c r="A628" s="2" t="s">
        <v>1104</v>
      </c>
      <c r="B628" s="5">
        <v>46012</v>
      </c>
      <c r="C628" s="5" t="str">
        <f>TEXT(B628,"mmm")</f>
        <v>Dec</v>
      </c>
      <c r="D628" s="2" t="s">
        <v>1105</v>
      </c>
      <c r="E628" s="2" t="s">
        <v>14</v>
      </c>
      <c r="F628" s="2" t="str" cm="1">
        <f t="array" ref="F6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28" s="2" t="str" cm="1">
        <f t="array" ref="G6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28" s="2" t="s">
        <v>15</v>
      </c>
      <c r="I628" s="2" t="s">
        <v>16</v>
      </c>
      <c r="J628" s="2">
        <v>1</v>
      </c>
      <c r="K628" s="8">
        <v>1799</v>
      </c>
      <c r="L628" s="3">
        <v>0</v>
      </c>
      <c r="M628" s="12">
        <f>K628*L628</f>
        <v>0</v>
      </c>
      <c r="N628" s="12">
        <f>K628*J628</f>
        <v>1799</v>
      </c>
      <c r="O628" s="12">
        <f>N628-M628</f>
        <v>1799</v>
      </c>
      <c r="P628" s="2" t="s">
        <v>17</v>
      </c>
      <c r="Q628" s="2" t="s">
        <v>18</v>
      </c>
      <c r="R628" s="2">
        <v>60</v>
      </c>
      <c r="S628" s="20">
        <f>Table1[[#This Row],[Net_revenue]]/Table1[[#This Row],[Gross_revenue]]*100%</f>
        <v>1</v>
      </c>
      <c r="T628" s="18">
        <f>COUNTIFS(Table1[Customer ID], "&gt;1", Table1[Customer ID], 1)</f>
        <v>0</v>
      </c>
    </row>
    <row r="629" spans="1:20" hidden="1" x14ac:dyDescent="0.3">
      <c r="A629" s="2" t="s">
        <v>1106</v>
      </c>
      <c r="B629" s="5">
        <v>46019</v>
      </c>
      <c r="C629" s="5" t="str">
        <f>TEXT(B629,"mmm")</f>
        <v>Dec</v>
      </c>
      <c r="D629" s="2" t="s">
        <v>1107</v>
      </c>
      <c r="E629" s="2" t="s">
        <v>195</v>
      </c>
      <c r="F629" s="2" t="str" cm="1">
        <f t="array" ref="F6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29" s="2" t="str" cm="1">
        <f t="array" ref="G6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29" s="2" t="s">
        <v>121</v>
      </c>
      <c r="I629" s="2" t="s">
        <v>95</v>
      </c>
      <c r="J629" s="2">
        <v>1</v>
      </c>
      <c r="K629" s="8">
        <v>1299</v>
      </c>
      <c r="L629" s="3">
        <v>0.1</v>
      </c>
      <c r="M629" s="12">
        <f>K629*L629</f>
        <v>129.9</v>
      </c>
      <c r="N629" s="12">
        <f>K629*J629</f>
        <v>1299</v>
      </c>
      <c r="O629" s="12">
        <f>N629-M629</f>
        <v>1169.0999999999999</v>
      </c>
      <c r="P629" s="2" t="s">
        <v>30</v>
      </c>
      <c r="Q629" s="2" t="s">
        <v>18</v>
      </c>
      <c r="R629" s="2">
        <v>0</v>
      </c>
      <c r="S629" s="20">
        <f>Table1[[#This Row],[Net_revenue]]/Table1[[#This Row],[Gross_revenue]]*100%</f>
        <v>0.89999999999999991</v>
      </c>
      <c r="T629" s="18">
        <f>COUNTIFS(Table1[Customer ID], "&gt;1", Table1[Customer ID], 1)</f>
        <v>0</v>
      </c>
    </row>
    <row r="630" spans="1:20" hidden="1" x14ac:dyDescent="0.3">
      <c r="A630" s="2" t="s">
        <v>1108</v>
      </c>
      <c r="B630" s="5">
        <v>45810</v>
      </c>
      <c r="C630" s="5" t="str">
        <f>TEXT(B630,"mmm")</f>
        <v>Jun</v>
      </c>
      <c r="D630" s="2" t="s">
        <v>568</v>
      </c>
      <c r="E630" s="2" t="s">
        <v>48</v>
      </c>
      <c r="F630" s="2" t="str" cm="1">
        <f t="array" ref="F6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30" s="2" t="str" cm="1">
        <f t="array" ref="G6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30" s="2" t="s">
        <v>22</v>
      </c>
      <c r="I630" s="2" t="s">
        <v>23</v>
      </c>
      <c r="J630" s="2">
        <v>1</v>
      </c>
      <c r="K630" s="8">
        <v>3999</v>
      </c>
      <c r="L630" s="3">
        <v>0.15</v>
      </c>
      <c r="M630" s="12">
        <f>K630*L630</f>
        <v>599.85</v>
      </c>
      <c r="N630" s="12">
        <f>K630*J630</f>
        <v>3999</v>
      </c>
      <c r="O630" s="12">
        <f>N630-M630</f>
        <v>3399.15</v>
      </c>
      <c r="P630" s="2" t="s">
        <v>45</v>
      </c>
      <c r="Q630" s="2" t="s">
        <v>50</v>
      </c>
      <c r="R630" s="2">
        <v>0</v>
      </c>
      <c r="S630" s="20">
        <f>Table1[[#This Row],[Net_revenue]]/Table1[[#This Row],[Gross_revenue]]*100%</f>
        <v>0.85</v>
      </c>
      <c r="T630" s="18">
        <f>COUNTIFS(Table1[Customer ID], "&gt;1", Table1[Customer ID], 1)</f>
        <v>0</v>
      </c>
    </row>
    <row r="631" spans="1:20" hidden="1" x14ac:dyDescent="0.3">
      <c r="A631" s="2" t="s">
        <v>1109</v>
      </c>
      <c r="B631" s="5">
        <v>46005</v>
      </c>
      <c r="C631" s="5" t="str">
        <f>TEXT(B631,"mmm")</f>
        <v>Dec</v>
      </c>
      <c r="D631" s="2" t="s">
        <v>483</v>
      </c>
      <c r="E631" s="2" t="s">
        <v>40</v>
      </c>
      <c r="F631" s="2" t="str" cm="1">
        <f t="array" ref="F6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31" s="2" t="str" cm="1">
        <f t="array" ref="G6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31" s="2" t="s">
        <v>80</v>
      </c>
      <c r="I631" s="2" t="s">
        <v>23</v>
      </c>
      <c r="J631" s="2">
        <v>1</v>
      </c>
      <c r="K631" s="8">
        <v>799</v>
      </c>
      <c r="L631" s="3">
        <v>0.15</v>
      </c>
      <c r="M631" s="12">
        <f>K631*L631</f>
        <v>119.85</v>
      </c>
      <c r="N631" s="12">
        <f>K631*J631</f>
        <v>799</v>
      </c>
      <c r="O631" s="12">
        <f>N631-M631</f>
        <v>679.15</v>
      </c>
      <c r="P631" s="2" t="s">
        <v>45</v>
      </c>
      <c r="Q631" s="2" t="s">
        <v>18</v>
      </c>
      <c r="R631" s="2">
        <v>40</v>
      </c>
      <c r="S631" s="20">
        <f>Table1[[#This Row],[Net_revenue]]/Table1[[#This Row],[Gross_revenue]]*100%</f>
        <v>0.85</v>
      </c>
      <c r="T631" s="18">
        <f>COUNTIFS(Table1[Customer ID], "&gt;1", Table1[Customer ID], 1)</f>
        <v>0</v>
      </c>
    </row>
    <row r="632" spans="1:20" hidden="1" x14ac:dyDescent="0.3">
      <c r="A632" s="2" t="s">
        <v>1110</v>
      </c>
      <c r="B632" s="5">
        <v>45939</v>
      </c>
      <c r="C632" s="5" t="str">
        <f>TEXT(B632,"mmm")</f>
        <v>Oct</v>
      </c>
      <c r="D632" s="2" t="s">
        <v>1111</v>
      </c>
      <c r="E632" s="2" t="s">
        <v>48</v>
      </c>
      <c r="F632" s="2" t="str" cm="1">
        <f t="array" ref="F6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32" s="2" t="str" cm="1">
        <f t="array" ref="G6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32" s="2" t="s">
        <v>183</v>
      </c>
      <c r="I632" s="2" t="s">
        <v>37</v>
      </c>
      <c r="J632" s="2">
        <v>1</v>
      </c>
      <c r="K632" s="8">
        <v>499</v>
      </c>
      <c r="L632" s="3">
        <v>0.05</v>
      </c>
      <c r="M632" s="12">
        <f>K632*L632</f>
        <v>24.950000000000003</v>
      </c>
      <c r="N632" s="12">
        <f>K632*J632</f>
        <v>499</v>
      </c>
      <c r="O632" s="12">
        <f>N632-M632</f>
        <v>474.05</v>
      </c>
      <c r="P632" s="2" t="s">
        <v>45</v>
      </c>
      <c r="Q632" s="2" t="s">
        <v>18</v>
      </c>
      <c r="R632" s="2">
        <v>80</v>
      </c>
      <c r="S632" s="20">
        <f>Table1[[#This Row],[Net_revenue]]/Table1[[#This Row],[Gross_revenue]]*100%</f>
        <v>0.95000000000000007</v>
      </c>
      <c r="T632" s="18">
        <f>COUNTIFS(Table1[Customer ID], "&gt;1", Table1[Customer ID], 1)</f>
        <v>0</v>
      </c>
    </row>
    <row r="633" spans="1:20" hidden="1" x14ac:dyDescent="0.3">
      <c r="A633" s="2" t="s">
        <v>1112</v>
      </c>
      <c r="B633" s="5">
        <v>46003</v>
      </c>
      <c r="C633" s="5" t="str">
        <f>TEXT(B633,"mmm")</f>
        <v>Dec</v>
      </c>
      <c r="D633" s="2" t="s">
        <v>1113</v>
      </c>
      <c r="E633" s="2" t="s">
        <v>48</v>
      </c>
      <c r="F633" s="2" t="str" cm="1">
        <f t="array" ref="F6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33" s="2" t="str" cm="1">
        <f t="array" ref="G6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33" s="2" t="s">
        <v>188</v>
      </c>
      <c r="I633" s="2" t="s">
        <v>95</v>
      </c>
      <c r="J633" s="2">
        <v>1</v>
      </c>
      <c r="K633" s="8">
        <v>699</v>
      </c>
      <c r="L633" s="3">
        <v>0.05</v>
      </c>
      <c r="M633" s="12">
        <f>K633*L633</f>
        <v>34.950000000000003</v>
      </c>
      <c r="N633" s="12">
        <f>K633*J633</f>
        <v>699</v>
      </c>
      <c r="O633" s="12">
        <f>N633-M633</f>
        <v>664.05</v>
      </c>
      <c r="P633" s="2" t="s">
        <v>45</v>
      </c>
      <c r="Q633" s="2" t="s">
        <v>18</v>
      </c>
      <c r="R633" s="2">
        <v>80</v>
      </c>
      <c r="S633" s="20">
        <f>Table1[[#This Row],[Net_revenue]]/Table1[[#This Row],[Gross_revenue]]*100%</f>
        <v>0.95</v>
      </c>
      <c r="T633" s="18">
        <f>COUNTIFS(Table1[Customer ID], "&gt;1", Table1[Customer ID], 1)</f>
        <v>0</v>
      </c>
    </row>
    <row r="634" spans="1:20" hidden="1" x14ac:dyDescent="0.3">
      <c r="A634" s="2" t="s">
        <v>1114</v>
      </c>
      <c r="B634" s="5">
        <v>45939</v>
      </c>
      <c r="C634" s="5" t="str">
        <f>TEXT(B634,"mmm")</f>
        <v>Oct</v>
      </c>
      <c r="D634" s="2" t="s">
        <v>759</v>
      </c>
      <c r="E634" s="2" t="s">
        <v>21</v>
      </c>
      <c r="F634" s="2" t="str" cm="1">
        <f t="array" ref="F6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34" s="2" t="str" cm="1">
        <f t="array" ref="G6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34" s="2" t="s">
        <v>63</v>
      </c>
      <c r="I634" s="2" t="s">
        <v>23</v>
      </c>
      <c r="J634" s="2">
        <v>1</v>
      </c>
      <c r="K634" s="8">
        <v>2499</v>
      </c>
      <c r="L634" s="3">
        <v>0.1</v>
      </c>
      <c r="M634" s="12">
        <f>K634*L634</f>
        <v>249.9</v>
      </c>
      <c r="N634" s="12">
        <f>K634*J634</f>
        <v>2499</v>
      </c>
      <c r="O634" s="12">
        <f>N634-M634</f>
        <v>2249.1</v>
      </c>
      <c r="P634" s="2" t="s">
        <v>45</v>
      </c>
      <c r="Q634" s="2" t="s">
        <v>50</v>
      </c>
      <c r="R634" s="2">
        <v>60</v>
      </c>
      <c r="S634" s="20">
        <f>Table1[[#This Row],[Net_revenue]]/Table1[[#This Row],[Gross_revenue]]*100%</f>
        <v>0.89999999999999991</v>
      </c>
      <c r="T634" s="18">
        <f>COUNTIFS(Table1[Customer ID], "&gt;1", Table1[Customer ID], 1)</f>
        <v>0</v>
      </c>
    </row>
    <row r="635" spans="1:20" hidden="1" x14ac:dyDescent="0.3">
      <c r="A635" s="2" t="s">
        <v>1115</v>
      </c>
      <c r="B635" s="5">
        <v>45754</v>
      </c>
      <c r="C635" s="5" t="str">
        <f>TEXT(B635,"mmm")</f>
        <v>Apr</v>
      </c>
      <c r="D635" s="2" t="s">
        <v>1116</v>
      </c>
      <c r="E635" s="2" t="s">
        <v>40</v>
      </c>
      <c r="F635" s="2" t="str" cm="1">
        <f t="array" ref="F6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35" s="2" t="str" cm="1">
        <f t="array" ref="G6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35" s="2" t="s">
        <v>63</v>
      </c>
      <c r="I635" s="2" t="s">
        <v>23</v>
      </c>
      <c r="J635" s="2">
        <v>1</v>
      </c>
      <c r="K635" s="8">
        <v>2499</v>
      </c>
      <c r="L635" s="3">
        <v>0.25</v>
      </c>
      <c r="M635" s="12">
        <f>K635*L635</f>
        <v>624.75</v>
      </c>
      <c r="N635" s="12">
        <f>K635*J635</f>
        <v>2499</v>
      </c>
      <c r="O635" s="12">
        <f>N635-M635</f>
        <v>1874.25</v>
      </c>
      <c r="P635" s="2" t="s">
        <v>17</v>
      </c>
      <c r="Q635" s="2" t="s">
        <v>18</v>
      </c>
      <c r="R635" s="2">
        <v>0</v>
      </c>
      <c r="S635" s="20">
        <f>Table1[[#This Row],[Net_revenue]]/Table1[[#This Row],[Gross_revenue]]*100%</f>
        <v>0.75</v>
      </c>
      <c r="T635" s="18">
        <f>COUNTIFS(Table1[Customer ID], "&gt;1", Table1[Customer ID], 1)</f>
        <v>0</v>
      </c>
    </row>
    <row r="636" spans="1:20" hidden="1" x14ac:dyDescent="0.3">
      <c r="A636" s="2" t="s">
        <v>1117</v>
      </c>
      <c r="B636" s="5">
        <v>45854</v>
      </c>
      <c r="C636" s="5" t="str">
        <f>TEXT(B636,"mmm")</f>
        <v>Jul</v>
      </c>
      <c r="D636" s="2" t="s">
        <v>1118</v>
      </c>
      <c r="E636" s="2" t="s">
        <v>195</v>
      </c>
      <c r="F636" s="2" t="str" cm="1">
        <f t="array" ref="F6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36" s="2" t="str" cm="1">
        <f t="array" ref="G6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36" s="2" t="s">
        <v>28</v>
      </c>
      <c r="I636" s="2" t="s">
        <v>29</v>
      </c>
      <c r="J636" s="2">
        <v>1</v>
      </c>
      <c r="K636" s="8">
        <v>2799</v>
      </c>
      <c r="L636" s="3">
        <v>0.1</v>
      </c>
      <c r="M636" s="12">
        <f>K636*L636</f>
        <v>279.90000000000003</v>
      </c>
      <c r="N636" s="12">
        <f>K636*J636</f>
        <v>2799</v>
      </c>
      <c r="O636" s="12">
        <f>N636-M636</f>
        <v>2519.1</v>
      </c>
      <c r="P636" s="2" t="s">
        <v>45</v>
      </c>
      <c r="Q636" s="2" t="s">
        <v>18</v>
      </c>
      <c r="R636" s="2">
        <v>80</v>
      </c>
      <c r="S636" s="20">
        <f>Table1[[#This Row],[Net_revenue]]/Table1[[#This Row],[Gross_revenue]]*100%</f>
        <v>0.9</v>
      </c>
      <c r="T636" s="18">
        <f>COUNTIFS(Table1[Customer ID], "&gt;1", Table1[Customer ID], 1)</f>
        <v>0</v>
      </c>
    </row>
    <row r="637" spans="1:20" hidden="1" x14ac:dyDescent="0.3">
      <c r="A637" s="2" t="s">
        <v>1119</v>
      </c>
      <c r="B637" s="5">
        <v>45938</v>
      </c>
      <c r="C637" s="5" t="str">
        <f>TEXT(B637,"mmm")</f>
        <v>Oct</v>
      </c>
      <c r="D637" s="2" t="s">
        <v>211</v>
      </c>
      <c r="E637" s="2" t="s">
        <v>48</v>
      </c>
      <c r="F637" s="2" t="str" cm="1">
        <f t="array" ref="F6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37" s="2" t="str" cm="1">
        <f t="array" ref="G6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37" s="2" t="s">
        <v>183</v>
      </c>
      <c r="I637" s="2" t="s">
        <v>37</v>
      </c>
      <c r="J637" s="2">
        <v>1</v>
      </c>
      <c r="K637" s="8">
        <v>499</v>
      </c>
      <c r="L637" s="3">
        <v>0.1</v>
      </c>
      <c r="M637" s="12">
        <f>K637*L637</f>
        <v>49.900000000000006</v>
      </c>
      <c r="N637" s="12">
        <f>K637*J637</f>
        <v>499</v>
      </c>
      <c r="O637" s="12">
        <f>N637-M637</f>
        <v>449.1</v>
      </c>
      <c r="P637" s="2" t="s">
        <v>45</v>
      </c>
      <c r="Q637" s="2" t="s">
        <v>18</v>
      </c>
      <c r="R637" s="2">
        <v>60</v>
      </c>
      <c r="S637" s="20">
        <f>Table1[[#This Row],[Net_revenue]]/Table1[[#This Row],[Gross_revenue]]*100%</f>
        <v>0.9</v>
      </c>
      <c r="T637" s="18">
        <f>COUNTIFS(Table1[Customer ID], "&gt;1", Table1[Customer ID], 1)</f>
        <v>0</v>
      </c>
    </row>
    <row r="638" spans="1:20" hidden="1" x14ac:dyDescent="0.3">
      <c r="A638" s="2" t="s">
        <v>1120</v>
      </c>
      <c r="B638" s="5">
        <v>45981</v>
      </c>
      <c r="C638" s="5" t="str">
        <f>TEXT(B638,"mmm")</f>
        <v>Nov</v>
      </c>
      <c r="D638" s="2" t="s">
        <v>1121</v>
      </c>
      <c r="E638" s="2" t="s">
        <v>14</v>
      </c>
      <c r="F638" s="2" t="str" cm="1">
        <f t="array" ref="F6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38" s="2" t="str" cm="1">
        <f t="array" ref="G6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38" s="2" t="s">
        <v>22</v>
      </c>
      <c r="I638" s="2" t="s">
        <v>23</v>
      </c>
      <c r="J638" s="2">
        <v>1</v>
      </c>
      <c r="K638" s="8">
        <v>3999</v>
      </c>
      <c r="L638" s="3">
        <v>0.1</v>
      </c>
      <c r="M638" s="12">
        <f>K638*L638</f>
        <v>399.90000000000003</v>
      </c>
      <c r="N638" s="12">
        <f>K638*J638</f>
        <v>3999</v>
      </c>
      <c r="O638" s="12">
        <f>N638-M638</f>
        <v>3599.1</v>
      </c>
      <c r="P638" s="2" t="s">
        <v>45</v>
      </c>
      <c r="Q638" s="2" t="s">
        <v>18</v>
      </c>
      <c r="R638" s="2">
        <v>60</v>
      </c>
      <c r="S638" s="20">
        <f>Table1[[#This Row],[Net_revenue]]/Table1[[#This Row],[Gross_revenue]]*100%</f>
        <v>0.9</v>
      </c>
      <c r="T638" s="18">
        <f>COUNTIFS(Table1[Customer ID], "&gt;1", Table1[Customer ID], 1)</f>
        <v>0</v>
      </c>
    </row>
    <row r="639" spans="1:20" hidden="1" x14ac:dyDescent="0.3">
      <c r="A639" s="2" t="s">
        <v>1122</v>
      </c>
      <c r="B639" s="5">
        <v>45764</v>
      </c>
      <c r="C639" s="5" t="str">
        <f>TEXT(B639,"mmm")</f>
        <v>Apr</v>
      </c>
      <c r="D639" s="2" t="s">
        <v>638</v>
      </c>
      <c r="E639" s="2" t="s">
        <v>120</v>
      </c>
      <c r="F639" s="2" t="str" cm="1">
        <f t="array" ref="F6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39" s="2" t="str" cm="1">
        <f t="array" ref="G6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39" s="2" t="s">
        <v>28</v>
      </c>
      <c r="I639" s="2" t="s">
        <v>29</v>
      </c>
      <c r="J639" s="2">
        <v>2</v>
      </c>
      <c r="K639" s="8">
        <v>2799</v>
      </c>
      <c r="L639" s="3">
        <v>0.1</v>
      </c>
      <c r="M639" s="12">
        <f>K639*L639</f>
        <v>279.90000000000003</v>
      </c>
      <c r="N639" s="12">
        <f>K639*J639</f>
        <v>5598</v>
      </c>
      <c r="O639" s="12">
        <f>N639-M639</f>
        <v>5318.1</v>
      </c>
      <c r="P639" s="2" t="s">
        <v>17</v>
      </c>
      <c r="Q639" s="2" t="s">
        <v>18</v>
      </c>
      <c r="R639" s="2">
        <v>80</v>
      </c>
      <c r="S639" s="20">
        <f>Table1[[#This Row],[Net_revenue]]/Table1[[#This Row],[Gross_revenue]]*100%</f>
        <v>0.95000000000000007</v>
      </c>
      <c r="T639" s="18">
        <f>COUNTIFS(Table1[Customer ID], "&gt;1", Table1[Customer ID], 1)</f>
        <v>0</v>
      </c>
    </row>
    <row r="640" spans="1:20" hidden="1" x14ac:dyDescent="0.3">
      <c r="A640" s="2" t="s">
        <v>1123</v>
      </c>
      <c r="B640" s="5">
        <v>45956</v>
      </c>
      <c r="C640" s="5" t="str">
        <f>TEXT(B640,"mmm")</f>
        <v>Oct</v>
      </c>
      <c r="D640" s="2" t="s">
        <v>874</v>
      </c>
      <c r="E640" s="2" t="s">
        <v>56</v>
      </c>
      <c r="F640" s="2" t="str" cm="1">
        <f t="array" ref="F6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40" s="2" t="str" cm="1">
        <f t="array" ref="G6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40" s="2" t="s">
        <v>98</v>
      </c>
      <c r="I640" s="2" t="s">
        <v>37</v>
      </c>
      <c r="J640" s="2">
        <v>1</v>
      </c>
      <c r="K640" s="8">
        <v>299</v>
      </c>
      <c r="L640" s="3">
        <v>0.15</v>
      </c>
      <c r="M640" s="12">
        <f>K640*L640</f>
        <v>44.85</v>
      </c>
      <c r="N640" s="12">
        <f>K640*J640</f>
        <v>299</v>
      </c>
      <c r="O640" s="12">
        <f>N640-M640</f>
        <v>254.15</v>
      </c>
      <c r="P640" s="2" t="s">
        <v>45</v>
      </c>
      <c r="Q640" s="2" t="s">
        <v>18</v>
      </c>
      <c r="R640" s="2">
        <v>60</v>
      </c>
      <c r="S640" s="20">
        <f>Table1[[#This Row],[Net_revenue]]/Table1[[#This Row],[Gross_revenue]]*100%</f>
        <v>0.85</v>
      </c>
      <c r="T640" s="18">
        <f>COUNTIFS(Table1[Customer ID], "&gt;1", Table1[Customer ID], 1)</f>
        <v>0</v>
      </c>
    </row>
    <row r="641" spans="1:20" hidden="1" x14ac:dyDescent="0.3">
      <c r="A641" s="2" t="s">
        <v>1124</v>
      </c>
      <c r="B641" s="5">
        <v>45975</v>
      </c>
      <c r="C641" s="5" t="str">
        <f>TEXT(B641,"mmm")</f>
        <v>Nov</v>
      </c>
      <c r="D641" s="2" t="s">
        <v>1125</v>
      </c>
      <c r="E641" s="2" t="s">
        <v>14</v>
      </c>
      <c r="F641" s="2" t="str" cm="1">
        <f t="array" ref="F6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41" s="2" t="str" cm="1">
        <f t="array" ref="G6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41" s="2" t="s">
        <v>44</v>
      </c>
      <c r="I641" s="2" t="s">
        <v>16</v>
      </c>
      <c r="J641" s="2">
        <v>1</v>
      </c>
      <c r="K641" s="8">
        <v>1599</v>
      </c>
      <c r="L641" s="3">
        <v>0</v>
      </c>
      <c r="M641" s="12">
        <f>K641*L641</f>
        <v>0</v>
      </c>
      <c r="N641" s="12">
        <f>K641*J641</f>
        <v>1599</v>
      </c>
      <c r="O641" s="12">
        <f>N641-M641</f>
        <v>1599</v>
      </c>
      <c r="P641" s="2" t="s">
        <v>17</v>
      </c>
      <c r="Q641" s="2" t="s">
        <v>72</v>
      </c>
      <c r="R641" s="2">
        <v>60</v>
      </c>
      <c r="S641" s="20">
        <f>Table1[[#This Row],[Net_revenue]]/Table1[[#This Row],[Gross_revenue]]*100%</f>
        <v>1</v>
      </c>
      <c r="T641" s="18">
        <f>COUNTIFS(Table1[Customer ID], "&gt;1", Table1[Customer ID], 1)</f>
        <v>0</v>
      </c>
    </row>
    <row r="642" spans="1:20" hidden="1" x14ac:dyDescent="0.3">
      <c r="A642" s="2" t="s">
        <v>1126</v>
      </c>
      <c r="B642" s="5">
        <v>45949</v>
      </c>
      <c r="C642" s="5" t="str">
        <f>TEXT(B642,"mmm")</f>
        <v>Oct</v>
      </c>
      <c r="D642" s="2" t="s">
        <v>653</v>
      </c>
      <c r="E642" s="2" t="s">
        <v>27</v>
      </c>
      <c r="F642" s="2" t="str" cm="1">
        <f t="array" ref="F6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42" s="2" t="str" cm="1">
        <f t="array" ref="G6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42" s="2" t="s">
        <v>15</v>
      </c>
      <c r="I642" s="2" t="s">
        <v>16</v>
      </c>
      <c r="J642" s="2">
        <v>2</v>
      </c>
      <c r="K642" s="8">
        <v>1799</v>
      </c>
      <c r="L642" s="3">
        <v>0.05</v>
      </c>
      <c r="M642" s="12">
        <f>K642*L642</f>
        <v>89.95</v>
      </c>
      <c r="N642" s="12">
        <f>K642*J642</f>
        <v>3598</v>
      </c>
      <c r="O642" s="12">
        <f>N642-M642</f>
        <v>3508.05</v>
      </c>
      <c r="P642" s="2" t="s">
        <v>45</v>
      </c>
      <c r="Q642" s="2" t="s">
        <v>18</v>
      </c>
      <c r="R642" s="2">
        <v>0</v>
      </c>
      <c r="S642" s="20">
        <f>Table1[[#This Row],[Net_revenue]]/Table1[[#This Row],[Gross_revenue]]*100%</f>
        <v>0.97500000000000009</v>
      </c>
      <c r="T642" s="18">
        <f>COUNTIFS(Table1[Customer ID], "&gt;1", Table1[Customer ID], 1)</f>
        <v>0</v>
      </c>
    </row>
    <row r="643" spans="1:20" hidden="1" x14ac:dyDescent="0.3">
      <c r="A643" s="2" t="s">
        <v>1127</v>
      </c>
      <c r="B643" s="5">
        <v>45867</v>
      </c>
      <c r="C643" s="5" t="str">
        <f>TEXT(B643,"mmm")</f>
        <v>Jul</v>
      </c>
      <c r="D643" s="2" t="s">
        <v>773</v>
      </c>
      <c r="E643" s="2" t="s">
        <v>53</v>
      </c>
      <c r="F643" s="2" t="str" cm="1">
        <f t="array" ref="F6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643" s="2" t="str" cm="1">
        <f t="array" ref="G6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43" s="2" t="s">
        <v>44</v>
      </c>
      <c r="I643" s="2" t="s">
        <v>16</v>
      </c>
      <c r="J643" s="2">
        <v>1</v>
      </c>
      <c r="K643" s="8">
        <v>1599</v>
      </c>
      <c r="L643" s="3">
        <v>0.1</v>
      </c>
      <c r="M643" s="12">
        <f>K643*L643</f>
        <v>159.9</v>
      </c>
      <c r="N643" s="12">
        <f>K643*J643</f>
        <v>1599</v>
      </c>
      <c r="O643" s="12">
        <f>N643-M643</f>
        <v>1439.1</v>
      </c>
      <c r="P643" s="2" t="s">
        <v>45</v>
      </c>
      <c r="Q643" s="2" t="s">
        <v>18</v>
      </c>
      <c r="R643" s="2">
        <v>40</v>
      </c>
      <c r="S643" s="20">
        <f>Table1[[#This Row],[Net_revenue]]/Table1[[#This Row],[Gross_revenue]]*100%</f>
        <v>0.89999999999999991</v>
      </c>
      <c r="T643" s="18">
        <f>COUNTIFS(Table1[Customer ID], "&gt;1", Table1[Customer ID], 1)</f>
        <v>0</v>
      </c>
    </row>
    <row r="644" spans="1:20" hidden="1" x14ac:dyDescent="0.3">
      <c r="A644" s="2" t="s">
        <v>1128</v>
      </c>
      <c r="B644" s="5">
        <v>45934</v>
      </c>
      <c r="C644" s="5" t="str">
        <f>TEXT(B644,"mmm")</f>
        <v>Oct</v>
      </c>
      <c r="D644" s="2" t="s">
        <v>272</v>
      </c>
      <c r="E644" s="2" t="s">
        <v>27</v>
      </c>
      <c r="F644" s="2" t="str" cm="1">
        <f t="array" ref="F6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44" s="2" t="str" cm="1">
        <f t="array" ref="G6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44" s="2" t="s">
        <v>65</v>
      </c>
      <c r="I644" s="2" t="s">
        <v>23</v>
      </c>
      <c r="J644" s="2">
        <v>1</v>
      </c>
      <c r="K644" s="8">
        <v>1899</v>
      </c>
      <c r="L644" s="3">
        <v>0</v>
      </c>
      <c r="M644" s="12">
        <f>K644*L644</f>
        <v>0</v>
      </c>
      <c r="N644" s="12">
        <f>K644*J644</f>
        <v>1899</v>
      </c>
      <c r="O644" s="12">
        <f>N644-M644</f>
        <v>1899</v>
      </c>
      <c r="P644" s="2" t="s">
        <v>45</v>
      </c>
      <c r="Q644" s="2" t="s">
        <v>18</v>
      </c>
      <c r="R644" s="2">
        <v>0</v>
      </c>
      <c r="S644" s="20">
        <f>Table1[[#This Row],[Net_revenue]]/Table1[[#This Row],[Gross_revenue]]*100%</f>
        <v>1</v>
      </c>
      <c r="T644" s="18">
        <f>COUNTIFS(Table1[Customer ID], "&gt;1", Table1[Customer ID], 1)</f>
        <v>0</v>
      </c>
    </row>
    <row r="645" spans="1:20" hidden="1" x14ac:dyDescent="0.3">
      <c r="A645" s="2" t="s">
        <v>1129</v>
      </c>
      <c r="B645" s="5">
        <v>45786</v>
      </c>
      <c r="C645" s="5" t="str">
        <f>TEXT(B645,"mmm")</f>
        <v>May</v>
      </c>
      <c r="D645" s="2" t="s">
        <v>1130</v>
      </c>
      <c r="E645" s="2" t="s">
        <v>21</v>
      </c>
      <c r="F645" s="2" t="str" cm="1">
        <f t="array" ref="F6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45" s="2" t="str" cm="1">
        <f t="array" ref="G6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45" s="2" t="s">
        <v>15</v>
      </c>
      <c r="I645" s="2" t="s">
        <v>16</v>
      </c>
      <c r="J645" s="2">
        <v>2</v>
      </c>
      <c r="K645" s="8">
        <v>1799</v>
      </c>
      <c r="L645" s="3">
        <v>0.1</v>
      </c>
      <c r="M645" s="12">
        <f>K645*L645</f>
        <v>179.9</v>
      </c>
      <c r="N645" s="12">
        <f>K645*J645</f>
        <v>3598</v>
      </c>
      <c r="O645" s="12">
        <f>N645-M645</f>
        <v>3418.1</v>
      </c>
      <c r="P645" s="2" t="s">
        <v>30</v>
      </c>
      <c r="Q645" s="2" t="s">
        <v>18</v>
      </c>
      <c r="R645" s="2">
        <v>0</v>
      </c>
      <c r="S645" s="20">
        <f>Table1[[#This Row],[Net_revenue]]/Table1[[#This Row],[Gross_revenue]]*100%</f>
        <v>0.95</v>
      </c>
      <c r="T645" s="18">
        <f>COUNTIFS(Table1[Customer ID], "&gt;1", Table1[Customer ID], 1)</f>
        <v>0</v>
      </c>
    </row>
    <row r="646" spans="1:20" hidden="1" x14ac:dyDescent="0.3">
      <c r="A646" s="2" t="s">
        <v>1131</v>
      </c>
      <c r="B646" s="5">
        <v>45765</v>
      </c>
      <c r="C646" s="5" t="str">
        <f>TEXT(B646,"mmm")</f>
        <v>Apr</v>
      </c>
      <c r="D646" s="2" t="s">
        <v>1132</v>
      </c>
      <c r="E646" s="2" t="s">
        <v>53</v>
      </c>
      <c r="F646" s="2" t="str" cm="1">
        <f t="array" ref="F6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646" s="2" t="str" cm="1">
        <f t="array" ref="G6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46" s="2" t="s">
        <v>134</v>
      </c>
      <c r="I646" s="2" t="s">
        <v>29</v>
      </c>
      <c r="J646" s="2">
        <v>3</v>
      </c>
      <c r="K646" s="8">
        <v>1499</v>
      </c>
      <c r="L646" s="3">
        <v>0.1</v>
      </c>
      <c r="M646" s="12">
        <f>K646*L646</f>
        <v>149.9</v>
      </c>
      <c r="N646" s="12">
        <f>K646*J646</f>
        <v>4497</v>
      </c>
      <c r="O646" s="12">
        <f>N646-M646</f>
        <v>4347.1000000000004</v>
      </c>
      <c r="P646" s="2" t="s">
        <v>45</v>
      </c>
      <c r="Q646" s="2" t="s">
        <v>18</v>
      </c>
      <c r="R646" s="2">
        <v>60</v>
      </c>
      <c r="S646" s="20">
        <f>Table1[[#This Row],[Net_revenue]]/Table1[[#This Row],[Gross_revenue]]*100%</f>
        <v>0.96666666666666679</v>
      </c>
      <c r="T646" s="18">
        <f>COUNTIFS(Table1[Customer ID], "&gt;1", Table1[Customer ID], 1)</f>
        <v>0</v>
      </c>
    </row>
    <row r="647" spans="1:20" hidden="1" x14ac:dyDescent="0.3">
      <c r="A647" s="2" t="s">
        <v>1133</v>
      </c>
      <c r="B647" s="5">
        <v>45948</v>
      </c>
      <c r="C647" s="5" t="str">
        <f>TEXT(B647,"mmm")</f>
        <v>Oct</v>
      </c>
      <c r="D647" s="2" t="s">
        <v>1134</v>
      </c>
      <c r="E647" s="2" t="s">
        <v>120</v>
      </c>
      <c r="F647" s="2" t="str" cm="1">
        <f t="array" ref="F6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47" s="2" t="str" cm="1">
        <f t="array" ref="G6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47" s="2" t="s">
        <v>71</v>
      </c>
      <c r="I647" s="2" t="s">
        <v>29</v>
      </c>
      <c r="J647" s="2">
        <v>2</v>
      </c>
      <c r="K647" s="8">
        <v>5499</v>
      </c>
      <c r="L647" s="3">
        <v>0.25</v>
      </c>
      <c r="M647" s="12">
        <f>K647*L647</f>
        <v>1374.75</v>
      </c>
      <c r="N647" s="12">
        <f>K647*J647</f>
        <v>10998</v>
      </c>
      <c r="O647" s="12">
        <f>N647-M647</f>
        <v>9623.25</v>
      </c>
      <c r="P647" s="2" t="s">
        <v>45</v>
      </c>
      <c r="Q647" s="2" t="s">
        <v>18</v>
      </c>
      <c r="R647" s="2">
        <v>80</v>
      </c>
      <c r="S647" s="20">
        <f>Table1[[#This Row],[Net_revenue]]/Table1[[#This Row],[Gross_revenue]]*100%</f>
        <v>0.875</v>
      </c>
      <c r="T647" s="18">
        <f>COUNTIFS(Table1[Customer ID], "&gt;1", Table1[Customer ID], 1)</f>
        <v>0</v>
      </c>
    </row>
    <row r="648" spans="1:20" hidden="1" x14ac:dyDescent="0.3">
      <c r="A648" s="2" t="s">
        <v>1135</v>
      </c>
      <c r="B648" s="5">
        <v>45842</v>
      </c>
      <c r="C648" s="5" t="str">
        <f>TEXT(B648,"mmm")</f>
        <v>Jul</v>
      </c>
      <c r="D648" s="2" t="s">
        <v>621</v>
      </c>
      <c r="E648" s="2" t="s">
        <v>27</v>
      </c>
      <c r="F648" s="2" t="str" cm="1">
        <f t="array" ref="F6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48" s="2" t="str" cm="1">
        <f t="array" ref="G6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48" s="2" t="s">
        <v>217</v>
      </c>
      <c r="I648" s="2" t="s">
        <v>29</v>
      </c>
      <c r="J648" s="2">
        <v>1</v>
      </c>
      <c r="K648" s="8">
        <v>3299</v>
      </c>
      <c r="L648" s="3">
        <v>0.1</v>
      </c>
      <c r="M648" s="12">
        <f>K648*L648</f>
        <v>329.90000000000003</v>
      </c>
      <c r="N648" s="12">
        <f>K648*J648</f>
        <v>3299</v>
      </c>
      <c r="O648" s="12">
        <f>N648-M648</f>
        <v>2969.1</v>
      </c>
      <c r="P648" s="2" t="s">
        <v>30</v>
      </c>
      <c r="Q648" s="2" t="s">
        <v>18</v>
      </c>
      <c r="R648" s="2">
        <v>60</v>
      </c>
      <c r="S648" s="20">
        <f>Table1[[#This Row],[Net_revenue]]/Table1[[#This Row],[Gross_revenue]]*100%</f>
        <v>0.9</v>
      </c>
      <c r="T648" s="18">
        <f>COUNTIFS(Table1[Customer ID], "&gt;1", Table1[Customer ID], 1)</f>
        <v>0</v>
      </c>
    </row>
    <row r="649" spans="1:20" hidden="1" x14ac:dyDescent="0.3">
      <c r="A649" s="2" t="s">
        <v>1136</v>
      </c>
      <c r="B649" s="5">
        <v>45999</v>
      </c>
      <c r="C649" s="5" t="str">
        <f>TEXT(B649,"mmm")</f>
        <v>Dec</v>
      </c>
      <c r="D649" s="2" t="s">
        <v>1137</v>
      </c>
      <c r="E649" s="2" t="s">
        <v>40</v>
      </c>
      <c r="F649" s="2" t="str" cm="1">
        <f t="array" ref="F6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49" s="2" t="str" cm="1">
        <f t="array" ref="G6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49" s="2" t="s">
        <v>44</v>
      </c>
      <c r="I649" s="2" t="s">
        <v>16</v>
      </c>
      <c r="J649" s="2">
        <v>2</v>
      </c>
      <c r="K649" s="8">
        <v>1599</v>
      </c>
      <c r="L649" s="3">
        <v>0</v>
      </c>
      <c r="M649" s="12">
        <f>K649*L649</f>
        <v>0</v>
      </c>
      <c r="N649" s="12">
        <f>K649*J649</f>
        <v>3198</v>
      </c>
      <c r="O649" s="12">
        <f>N649-M649</f>
        <v>3198</v>
      </c>
      <c r="P649" s="2" t="s">
        <v>30</v>
      </c>
      <c r="Q649" s="2" t="s">
        <v>18</v>
      </c>
      <c r="R649" s="2">
        <v>0</v>
      </c>
      <c r="S649" s="20">
        <f>Table1[[#This Row],[Net_revenue]]/Table1[[#This Row],[Gross_revenue]]*100%</f>
        <v>1</v>
      </c>
      <c r="T649" s="18">
        <f>COUNTIFS(Table1[Customer ID], "&gt;1", Table1[Customer ID], 1)</f>
        <v>0</v>
      </c>
    </row>
    <row r="650" spans="1:20" hidden="1" x14ac:dyDescent="0.3">
      <c r="A650" s="2" t="s">
        <v>1138</v>
      </c>
      <c r="B650" s="5">
        <v>45743</v>
      </c>
      <c r="C650" s="5" t="str">
        <f>TEXT(B650,"mmm")</f>
        <v>Mar</v>
      </c>
      <c r="D650" s="2" t="s">
        <v>615</v>
      </c>
      <c r="E650" s="2" t="s">
        <v>27</v>
      </c>
      <c r="F650" s="2" t="str" cm="1">
        <f t="array" ref="F6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50" s="2" t="str" cm="1">
        <f t="array" ref="G6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50" s="2" t="s">
        <v>134</v>
      </c>
      <c r="I650" s="2" t="s">
        <v>29</v>
      </c>
      <c r="J650" s="2">
        <v>1</v>
      </c>
      <c r="K650" s="8">
        <v>1499</v>
      </c>
      <c r="L650" s="3">
        <v>0.15</v>
      </c>
      <c r="M650" s="12">
        <f>K650*L650</f>
        <v>224.85</v>
      </c>
      <c r="N650" s="12">
        <f>K650*J650</f>
        <v>1499</v>
      </c>
      <c r="O650" s="12">
        <f>N650-M650</f>
        <v>1274.1500000000001</v>
      </c>
      <c r="P650" s="2" t="s">
        <v>45</v>
      </c>
      <c r="Q650" s="2" t="s">
        <v>18</v>
      </c>
      <c r="R650" s="2">
        <v>40</v>
      </c>
      <c r="S650" s="20">
        <f>Table1[[#This Row],[Net_revenue]]/Table1[[#This Row],[Gross_revenue]]*100%</f>
        <v>0.85000000000000009</v>
      </c>
      <c r="T650" s="18">
        <f>COUNTIFS(Table1[Customer ID], "&gt;1", Table1[Customer ID], 1)</f>
        <v>0</v>
      </c>
    </row>
    <row r="651" spans="1:20" hidden="1" x14ac:dyDescent="0.3">
      <c r="A651" s="2" t="s">
        <v>1139</v>
      </c>
      <c r="B651" s="5">
        <v>45673</v>
      </c>
      <c r="C651" s="5" t="str">
        <f>TEXT(B651,"mmm")</f>
        <v>Jan</v>
      </c>
      <c r="D651" s="2" t="s">
        <v>1140</v>
      </c>
      <c r="E651" s="2" t="s">
        <v>27</v>
      </c>
      <c r="F651" s="2" t="str" cm="1">
        <f t="array" ref="F6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51" s="2" t="str" cm="1">
        <f t="array" ref="G6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51" s="2" t="s">
        <v>63</v>
      </c>
      <c r="I651" s="2" t="s">
        <v>23</v>
      </c>
      <c r="J651" s="2">
        <v>1</v>
      </c>
      <c r="K651" s="8">
        <v>2499</v>
      </c>
      <c r="L651" s="3">
        <v>0.25</v>
      </c>
      <c r="M651" s="12">
        <f>K651*L651</f>
        <v>624.75</v>
      </c>
      <c r="N651" s="12">
        <f>K651*J651</f>
        <v>2499</v>
      </c>
      <c r="O651" s="12">
        <f>N651-M651</f>
        <v>1874.25</v>
      </c>
      <c r="P651" s="2" t="s">
        <v>17</v>
      </c>
      <c r="Q651" s="2" t="s">
        <v>18</v>
      </c>
      <c r="R651" s="2">
        <v>0</v>
      </c>
      <c r="S651" s="20">
        <f>Table1[[#This Row],[Net_revenue]]/Table1[[#This Row],[Gross_revenue]]*100%</f>
        <v>0.75</v>
      </c>
      <c r="T651" s="18">
        <f>COUNTIFS(Table1[Customer ID], "&gt;1", Table1[Customer ID], 1)</f>
        <v>0</v>
      </c>
    </row>
    <row r="652" spans="1:20" hidden="1" x14ac:dyDescent="0.3">
      <c r="A652" s="2" t="s">
        <v>1141</v>
      </c>
      <c r="B652" s="5">
        <v>45800</v>
      </c>
      <c r="C652" s="5" t="str">
        <f>TEXT(B652,"mmm")</f>
        <v>May</v>
      </c>
      <c r="D652" s="2" t="s">
        <v>821</v>
      </c>
      <c r="E652" s="2" t="s">
        <v>40</v>
      </c>
      <c r="F652" s="2" t="str" cm="1">
        <f t="array" ref="F6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52" s="2" t="str" cm="1">
        <f t="array" ref="G6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52" s="2" t="s">
        <v>134</v>
      </c>
      <c r="I652" s="2" t="s">
        <v>29</v>
      </c>
      <c r="J652" s="2">
        <v>4</v>
      </c>
      <c r="K652" s="8">
        <v>1499</v>
      </c>
      <c r="L652" s="3">
        <v>0</v>
      </c>
      <c r="M652" s="12">
        <f>K652*L652</f>
        <v>0</v>
      </c>
      <c r="N652" s="12">
        <f>K652*J652</f>
        <v>5996</v>
      </c>
      <c r="O652" s="12">
        <f>N652-M652</f>
        <v>5996</v>
      </c>
      <c r="P652" s="2" t="s">
        <v>45</v>
      </c>
      <c r="Q652" s="2" t="s">
        <v>18</v>
      </c>
      <c r="R652" s="2">
        <v>40</v>
      </c>
      <c r="S652" s="20">
        <f>Table1[[#This Row],[Net_revenue]]/Table1[[#This Row],[Gross_revenue]]*100%</f>
        <v>1</v>
      </c>
      <c r="T652" s="18">
        <f>COUNTIFS(Table1[Customer ID], "&gt;1", Table1[Customer ID], 1)</f>
        <v>0</v>
      </c>
    </row>
    <row r="653" spans="1:20" hidden="1" x14ac:dyDescent="0.3">
      <c r="A653" s="2" t="s">
        <v>1142</v>
      </c>
      <c r="B653" s="5">
        <v>45685</v>
      </c>
      <c r="C653" s="5" t="str">
        <f>TEXT(B653,"mmm")</f>
        <v>Jan</v>
      </c>
      <c r="D653" s="2" t="s">
        <v>1143</v>
      </c>
      <c r="E653" s="2" t="s">
        <v>27</v>
      </c>
      <c r="F653" s="2" t="str" cm="1">
        <f t="array" ref="F6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53" s="2" t="str" cm="1">
        <f t="array" ref="G6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53" s="2" t="s">
        <v>22</v>
      </c>
      <c r="I653" s="2" t="s">
        <v>23</v>
      </c>
      <c r="J653" s="2">
        <v>1</v>
      </c>
      <c r="K653" s="8">
        <v>3999</v>
      </c>
      <c r="L653" s="3">
        <v>0.05</v>
      </c>
      <c r="M653" s="12">
        <f>K653*L653</f>
        <v>199.95000000000002</v>
      </c>
      <c r="N653" s="12">
        <f>K653*J653</f>
        <v>3999</v>
      </c>
      <c r="O653" s="12">
        <f>N653-M653</f>
        <v>3799.05</v>
      </c>
      <c r="P653" s="2" t="s">
        <v>24</v>
      </c>
      <c r="Q653" s="2" t="s">
        <v>18</v>
      </c>
      <c r="R653" s="2">
        <v>40</v>
      </c>
      <c r="S653" s="20">
        <f>Table1[[#This Row],[Net_revenue]]/Table1[[#This Row],[Gross_revenue]]*100%</f>
        <v>0.95000000000000007</v>
      </c>
      <c r="T653" s="18">
        <f>COUNTIFS(Table1[Customer ID], "&gt;1", Table1[Customer ID], 1)</f>
        <v>0</v>
      </c>
    </row>
    <row r="654" spans="1:20" hidden="1" x14ac:dyDescent="0.3">
      <c r="A654" s="2" t="s">
        <v>1144</v>
      </c>
      <c r="B654" s="5">
        <v>45705</v>
      </c>
      <c r="C654" s="5" t="str">
        <f>TEXT(B654,"mmm")</f>
        <v>Feb</v>
      </c>
      <c r="D654" s="2" t="s">
        <v>599</v>
      </c>
      <c r="E654" s="2" t="s">
        <v>40</v>
      </c>
      <c r="F654" s="2" t="str" cm="1">
        <f t="array" ref="F6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54" s="2" t="str" cm="1">
        <f t="array" ref="G6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54" s="2" t="s">
        <v>63</v>
      </c>
      <c r="I654" s="2" t="s">
        <v>23</v>
      </c>
      <c r="J654" s="2">
        <v>4</v>
      </c>
      <c r="K654" s="8">
        <v>2499</v>
      </c>
      <c r="L654" s="3">
        <v>0.15</v>
      </c>
      <c r="M654" s="12">
        <f>K654*L654</f>
        <v>374.84999999999997</v>
      </c>
      <c r="N654" s="12">
        <f>K654*J654</f>
        <v>9996</v>
      </c>
      <c r="O654" s="12">
        <f>N654-M654</f>
        <v>9621.15</v>
      </c>
      <c r="P654" s="2" t="s">
        <v>30</v>
      </c>
      <c r="Q654" s="2" t="s">
        <v>18</v>
      </c>
      <c r="R654" s="2">
        <v>0</v>
      </c>
      <c r="S654" s="20">
        <f>Table1[[#This Row],[Net_revenue]]/Table1[[#This Row],[Gross_revenue]]*100%</f>
        <v>0.96249999999999991</v>
      </c>
      <c r="T654" s="18">
        <f>COUNTIFS(Table1[Customer ID], "&gt;1", Table1[Customer ID], 1)</f>
        <v>0</v>
      </c>
    </row>
    <row r="655" spans="1:20" hidden="1" x14ac:dyDescent="0.3">
      <c r="A655" s="2" t="s">
        <v>1145</v>
      </c>
      <c r="B655" s="5">
        <v>45823</v>
      </c>
      <c r="C655" s="5" t="str">
        <f>TEXT(B655,"mmm")</f>
        <v>Jun</v>
      </c>
      <c r="D655" s="2" t="s">
        <v>1146</v>
      </c>
      <c r="E655" s="2" t="s">
        <v>21</v>
      </c>
      <c r="F655" s="2" t="str" cm="1">
        <f t="array" ref="F6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55" s="2" t="str" cm="1">
        <f t="array" ref="G6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55" s="2" t="s">
        <v>33</v>
      </c>
      <c r="I655" s="2" t="s">
        <v>16</v>
      </c>
      <c r="J655" s="2">
        <v>1</v>
      </c>
      <c r="K655" s="8">
        <v>899</v>
      </c>
      <c r="L655" s="3">
        <v>0</v>
      </c>
      <c r="M655" s="12">
        <f>K655*L655</f>
        <v>0</v>
      </c>
      <c r="N655" s="12">
        <f>K655*J655</f>
        <v>899</v>
      </c>
      <c r="O655" s="12">
        <f>N655-M655</f>
        <v>899</v>
      </c>
      <c r="P655" s="2" t="s">
        <v>45</v>
      </c>
      <c r="Q655" s="2" t="s">
        <v>18</v>
      </c>
      <c r="R655" s="2">
        <v>80</v>
      </c>
      <c r="S655" s="20">
        <f>Table1[[#This Row],[Net_revenue]]/Table1[[#This Row],[Gross_revenue]]*100%</f>
        <v>1</v>
      </c>
      <c r="T655" s="18">
        <f>COUNTIFS(Table1[Customer ID], "&gt;1", Table1[Customer ID], 1)</f>
        <v>0</v>
      </c>
    </row>
    <row r="656" spans="1:20" hidden="1" x14ac:dyDescent="0.3">
      <c r="A656" s="2" t="s">
        <v>1147</v>
      </c>
      <c r="B656" s="5">
        <v>45900</v>
      </c>
      <c r="C656" s="5" t="str">
        <f>TEXT(B656,"mmm")</f>
        <v>Aug</v>
      </c>
      <c r="D656" s="2" t="s">
        <v>1148</v>
      </c>
      <c r="E656" s="2" t="s">
        <v>14</v>
      </c>
      <c r="F656" s="2" t="str" cm="1">
        <f t="array" ref="F6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656" s="2" t="str" cm="1">
        <f t="array" ref="G6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656" s="2" t="s">
        <v>117</v>
      </c>
      <c r="I656" s="2" t="s">
        <v>23</v>
      </c>
      <c r="J656" s="2">
        <v>1</v>
      </c>
      <c r="K656" s="8">
        <v>2199</v>
      </c>
      <c r="L656" s="3">
        <v>0.15</v>
      </c>
      <c r="M656" s="12">
        <f>K656*L656</f>
        <v>329.84999999999997</v>
      </c>
      <c r="N656" s="12">
        <f>K656*J656</f>
        <v>2199</v>
      </c>
      <c r="O656" s="12">
        <f>N656-M656</f>
        <v>1869.15</v>
      </c>
      <c r="P656" s="2" t="s">
        <v>45</v>
      </c>
      <c r="Q656" s="2" t="s">
        <v>18</v>
      </c>
      <c r="R656" s="2">
        <v>60</v>
      </c>
      <c r="S656" s="20">
        <f>Table1[[#This Row],[Net_revenue]]/Table1[[#This Row],[Gross_revenue]]*100%</f>
        <v>0.85000000000000009</v>
      </c>
      <c r="T656" s="18">
        <f>COUNTIFS(Table1[Customer ID], "&gt;1", Table1[Customer ID], 1)</f>
        <v>0</v>
      </c>
    </row>
    <row r="657" spans="1:20" hidden="1" x14ac:dyDescent="0.3">
      <c r="A657" s="2" t="s">
        <v>1149</v>
      </c>
      <c r="B657" s="5">
        <v>45931</v>
      </c>
      <c r="C657" s="5" t="str">
        <f>TEXT(B657,"mmm")</f>
        <v>Oct</v>
      </c>
      <c r="D657" s="2" t="s">
        <v>131</v>
      </c>
      <c r="E657" s="2" t="s">
        <v>53</v>
      </c>
      <c r="F657" s="2" t="str" cm="1">
        <f t="array" ref="F6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657" s="2" t="str" cm="1">
        <f t="array" ref="G6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57" s="2" t="s">
        <v>80</v>
      </c>
      <c r="I657" s="2" t="s">
        <v>23</v>
      </c>
      <c r="J657" s="2">
        <v>1</v>
      </c>
      <c r="K657" s="8">
        <v>799</v>
      </c>
      <c r="L657" s="3">
        <v>0.05</v>
      </c>
      <c r="M657" s="12">
        <f>K657*L657</f>
        <v>39.950000000000003</v>
      </c>
      <c r="N657" s="12">
        <f>K657*J657</f>
        <v>799</v>
      </c>
      <c r="O657" s="12">
        <f>N657-M657</f>
        <v>759.05</v>
      </c>
      <c r="P657" s="2" t="s">
        <v>45</v>
      </c>
      <c r="Q657" s="2" t="s">
        <v>18</v>
      </c>
      <c r="R657" s="2">
        <v>40</v>
      </c>
      <c r="S657" s="20">
        <f>Table1[[#This Row],[Net_revenue]]/Table1[[#This Row],[Gross_revenue]]*100%</f>
        <v>0.95</v>
      </c>
      <c r="T657" s="18">
        <f>COUNTIFS(Table1[Customer ID], "&gt;1", Table1[Customer ID], 1)</f>
        <v>0</v>
      </c>
    </row>
    <row r="658" spans="1:20" hidden="1" x14ac:dyDescent="0.3">
      <c r="A658" s="2" t="s">
        <v>1150</v>
      </c>
      <c r="B658" s="5">
        <v>46013</v>
      </c>
      <c r="C658" s="5" t="str">
        <f>TEXT(B658,"mmm")</f>
        <v>Dec</v>
      </c>
      <c r="D658" s="2" t="s">
        <v>1002</v>
      </c>
      <c r="E658" s="2" t="s">
        <v>40</v>
      </c>
      <c r="F658" s="2" t="str" cm="1">
        <f t="array" ref="F6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58" s="2" t="str" cm="1">
        <f t="array" ref="G6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58" s="2" t="s">
        <v>89</v>
      </c>
      <c r="I658" s="2" t="s">
        <v>29</v>
      </c>
      <c r="J658" s="2">
        <v>5</v>
      </c>
      <c r="K658" s="8">
        <v>449</v>
      </c>
      <c r="L658" s="3">
        <v>0.1</v>
      </c>
      <c r="M658" s="12">
        <f>K658*L658</f>
        <v>44.900000000000006</v>
      </c>
      <c r="N658" s="12">
        <f>K658*J658</f>
        <v>2245</v>
      </c>
      <c r="O658" s="12">
        <f>N658-M658</f>
        <v>2200.1</v>
      </c>
      <c r="P658" s="2" t="s">
        <v>45</v>
      </c>
      <c r="Q658" s="2" t="s">
        <v>18</v>
      </c>
      <c r="R658" s="2">
        <v>0</v>
      </c>
      <c r="S658" s="20">
        <f>Table1[[#This Row],[Net_revenue]]/Table1[[#This Row],[Gross_revenue]]*100%</f>
        <v>0.98</v>
      </c>
      <c r="T658" s="18">
        <f>COUNTIFS(Table1[Customer ID], "&gt;1", Table1[Customer ID], 1)</f>
        <v>0</v>
      </c>
    </row>
    <row r="659" spans="1:20" hidden="1" x14ac:dyDescent="0.3">
      <c r="A659" s="2" t="s">
        <v>1151</v>
      </c>
      <c r="B659" s="5">
        <v>46000</v>
      </c>
      <c r="C659" s="5" t="str">
        <f>TEXT(B659,"mmm")</f>
        <v>Dec</v>
      </c>
      <c r="D659" s="2" t="s">
        <v>327</v>
      </c>
      <c r="E659" s="2" t="s">
        <v>27</v>
      </c>
      <c r="F659" s="2" t="str" cm="1">
        <f t="array" ref="F6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59" s="2" t="str" cm="1">
        <f t="array" ref="G6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59" s="2" t="s">
        <v>36</v>
      </c>
      <c r="I659" s="2" t="s">
        <v>37</v>
      </c>
      <c r="J659" s="2">
        <v>1</v>
      </c>
      <c r="K659" s="8">
        <v>349</v>
      </c>
      <c r="L659" s="3">
        <v>0.1</v>
      </c>
      <c r="M659" s="12">
        <f>K659*L659</f>
        <v>34.9</v>
      </c>
      <c r="N659" s="12">
        <f>K659*J659</f>
        <v>349</v>
      </c>
      <c r="O659" s="12">
        <f>N659-M659</f>
        <v>314.10000000000002</v>
      </c>
      <c r="P659" s="2" t="s">
        <v>17</v>
      </c>
      <c r="Q659" s="2" t="s">
        <v>18</v>
      </c>
      <c r="R659" s="2">
        <v>0</v>
      </c>
      <c r="S659" s="20">
        <f>Table1[[#This Row],[Net_revenue]]/Table1[[#This Row],[Gross_revenue]]*100%</f>
        <v>0.9</v>
      </c>
      <c r="T659" s="18">
        <f>COUNTIFS(Table1[Customer ID], "&gt;1", Table1[Customer ID], 1)</f>
        <v>0</v>
      </c>
    </row>
    <row r="660" spans="1:20" hidden="1" x14ac:dyDescent="0.3">
      <c r="A660" s="2" t="s">
        <v>1152</v>
      </c>
      <c r="B660" s="5">
        <v>45734</v>
      </c>
      <c r="C660" s="5" t="str">
        <f>TEXT(B660,"mmm")</f>
        <v>Mar</v>
      </c>
      <c r="D660" s="2" t="s">
        <v>402</v>
      </c>
      <c r="E660" s="2" t="s">
        <v>21</v>
      </c>
      <c r="F660" s="2" t="str" cm="1">
        <f t="array" ref="F6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60" s="2" t="str" cm="1">
        <f t="array" ref="G6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60" s="2" t="s">
        <v>183</v>
      </c>
      <c r="I660" s="2" t="s">
        <v>37</v>
      </c>
      <c r="J660" s="2">
        <v>3</v>
      </c>
      <c r="K660" s="8">
        <v>499</v>
      </c>
      <c r="L660" s="3">
        <v>0.15</v>
      </c>
      <c r="M660" s="12">
        <f>K660*L660</f>
        <v>74.849999999999994</v>
      </c>
      <c r="N660" s="12">
        <f>K660*J660</f>
        <v>1497</v>
      </c>
      <c r="O660" s="12">
        <f>N660-M660</f>
        <v>1422.15</v>
      </c>
      <c r="P660" s="2" t="s">
        <v>30</v>
      </c>
      <c r="Q660" s="2" t="s">
        <v>18</v>
      </c>
      <c r="R660" s="2">
        <v>0</v>
      </c>
      <c r="S660" s="20">
        <f>Table1[[#This Row],[Net_revenue]]/Table1[[#This Row],[Gross_revenue]]*100%</f>
        <v>0.95000000000000007</v>
      </c>
      <c r="T660" s="18">
        <f>COUNTIFS(Table1[Customer ID], "&gt;1", Table1[Customer ID], 1)</f>
        <v>0</v>
      </c>
    </row>
    <row r="661" spans="1:20" hidden="1" x14ac:dyDescent="0.3">
      <c r="A661" s="2" t="s">
        <v>1153</v>
      </c>
      <c r="B661" s="5">
        <v>46018</v>
      </c>
      <c r="C661" s="5" t="str">
        <f>TEXT(B661,"mmm")</f>
        <v>Dec</v>
      </c>
      <c r="D661" s="2" t="s">
        <v>1154</v>
      </c>
      <c r="E661" s="2" t="s">
        <v>195</v>
      </c>
      <c r="F661" s="2" t="str" cm="1">
        <f t="array" ref="F6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61" s="2" t="str" cm="1">
        <f t="array" ref="G6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61" s="2" t="s">
        <v>107</v>
      </c>
      <c r="I661" s="2" t="s">
        <v>95</v>
      </c>
      <c r="J661" s="2">
        <v>1</v>
      </c>
      <c r="K661" s="8">
        <v>1599</v>
      </c>
      <c r="L661" s="3">
        <v>0</v>
      </c>
      <c r="M661" s="12">
        <f>K661*L661</f>
        <v>0</v>
      </c>
      <c r="N661" s="12">
        <f>K661*J661</f>
        <v>1599</v>
      </c>
      <c r="O661" s="12">
        <f>N661-M661</f>
        <v>1599</v>
      </c>
      <c r="P661" s="2" t="s">
        <v>45</v>
      </c>
      <c r="Q661" s="2" t="s">
        <v>18</v>
      </c>
      <c r="R661" s="2">
        <v>40</v>
      </c>
      <c r="S661" s="20">
        <f>Table1[[#This Row],[Net_revenue]]/Table1[[#This Row],[Gross_revenue]]*100%</f>
        <v>1</v>
      </c>
      <c r="T661" s="18">
        <f>COUNTIFS(Table1[Customer ID], "&gt;1", Table1[Customer ID], 1)</f>
        <v>0</v>
      </c>
    </row>
    <row r="662" spans="1:20" hidden="1" x14ac:dyDescent="0.3">
      <c r="A662" s="2" t="s">
        <v>1155</v>
      </c>
      <c r="B662" s="5">
        <v>45667</v>
      </c>
      <c r="C662" s="5" t="str">
        <f>TEXT(B662,"mmm")</f>
        <v>Jan</v>
      </c>
      <c r="D662" s="2" t="s">
        <v>1156</v>
      </c>
      <c r="E662" s="2" t="s">
        <v>40</v>
      </c>
      <c r="F662" s="2" t="str" cm="1">
        <f t="array" ref="F6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62" s="2" t="str" cm="1">
        <f t="array" ref="G6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62" s="2" t="s">
        <v>33</v>
      </c>
      <c r="I662" s="2" t="s">
        <v>16</v>
      </c>
      <c r="J662" s="2">
        <v>1</v>
      </c>
      <c r="K662" s="8">
        <v>899</v>
      </c>
      <c r="L662" s="3">
        <v>0.05</v>
      </c>
      <c r="M662" s="12">
        <f>K662*L662</f>
        <v>44.95</v>
      </c>
      <c r="N662" s="12">
        <f>K662*J662</f>
        <v>899</v>
      </c>
      <c r="O662" s="12">
        <f>N662-M662</f>
        <v>854.05</v>
      </c>
      <c r="P662" s="2" t="s">
        <v>30</v>
      </c>
      <c r="Q662" s="2" t="s">
        <v>18</v>
      </c>
      <c r="R662" s="2">
        <v>40</v>
      </c>
      <c r="S662" s="20">
        <f>Table1[[#This Row],[Net_revenue]]/Table1[[#This Row],[Gross_revenue]]*100%</f>
        <v>0.95</v>
      </c>
      <c r="T662" s="18">
        <f>COUNTIFS(Table1[Customer ID], "&gt;1", Table1[Customer ID], 1)</f>
        <v>0</v>
      </c>
    </row>
    <row r="663" spans="1:20" hidden="1" x14ac:dyDescent="0.3">
      <c r="A663" s="2" t="s">
        <v>1157</v>
      </c>
      <c r="B663" s="5">
        <v>45741</v>
      </c>
      <c r="C663" s="5" t="str">
        <f>TEXT(B663,"mmm")</f>
        <v>Mar</v>
      </c>
      <c r="D663" s="2" t="s">
        <v>1158</v>
      </c>
      <c r="E663" s="2" t="s">
        <v>21</v>
      </c>
      <c r="F663" s="2" t="str" cm="1">
        <f t="array" ref="F6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63" s="2" t="str" cm="1">
        <f t="array" ref="G6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63" s="2" t="s">
        <v>217</v>
      </c>
      <c r="I663" s="2" t="s">
        <v>29</v>
      </c>
      <c r="J663" s="2">
        <v>1</v>
      </c>
      <c r="K663" s="8">
        <v>3299</v>
      </c>
      <c r="L663" s="3">
        <v>0</v>
      </c>
      <c r="M663" s="12">
        <f>K663*L663</f>
        <v>0</v>
      </c>
      <c r="N663" s="12">
        <f>K663*J663</f>
        <v>3299</v>
      </c>
      <c r="O663" s="12">
        <f>N663-M663</f>
        <v>3299</v>
      </c>
      <c r="P663" s="2" t="s">
        <v>45</v>
      </c>
      <c r="Q663" s="2" t="s">
        <v>18</v>
      </c>
      <c r="R663" s="2">
        <v>80</v>
      </c>
      <c r="S663" s="20">
        <f>Table1[[#This Row],[Net_revenue]]/Table1[[#This Row],[Gross_revenue]]*100%</f>
        <v>1</v>
      </c>
      <c r="T663" s="18">
        <f>COUNTIFS(Table1[Customer ID], "&gt;1", Table1[Customer ID], 1)</f>
        <v>0</v>
      </c>
    </row>
    <row r="664" spans="1:20" hidden="1" x14ac:dyDescent="0.3">
      <c r="A664" s="2" t="s">
        <v>1159</v>
      </c>
      <c r="B664" s="5">
        <v>45696</v>
      </c>
      <c r="C664" s="5" t="str">
        <f>TEXT(B664,"mmm")</f>
        <v>Feb</v>
      </c>
      <c r="D664" s="2" t="s">
        <v>337</v>
      </c>
      <c r="E664" s="2" t="s">
        <v>48</v>
      </c>
      <c r="F664" s="2" t="str" cm="1">
        <f t="array" ref="F6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64" s="2" t="str" cm="1">
        <f t="array" ref="G6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64" s="2" t="s">
        <v>94</v>
      </c>
      <c r="I664" s="2" t="s">
        <v>95</v>
      </c>
      <c r="J664" s="2">
        <v>1</v>
      </c>
      <c r="K664" s="8">
        <v>399</v>
      </c>
      <c r="L664" s="3">
        <v>0</v>
      </c>
      <c r="M664" s="12">
        <f>K664*L664</f>
        <v>0</v>
      </c>
      <c r="N664" s="12">
        <f>K664*J664</f>
        <v>399</v>
      </c>
      <c r="O664" s="12">
        <f>N664-M664</f>
        <v>399</v>
      </c>
      <c r="P664" s="2" t="s">
        <v>45</v>
      </c>
      <c r="Q664" s="2" t="s">
        <v>18</v>
      </c>
      <c r="R664" s="2">
        <v>60</v>
      </c>
      <c r="S664" s="20">
        <f>Table1[[#This Row],[Net_revenue]]/Table1[[#This Row],[Gross_revenue]]*100%</f>
        <v>1</v>
      </c>
      <c r="T664" s="18">
        <f>COUNTIFS(Table1[Customer ID], "&gt;1", Table1[Customer ID], 1)</f>
        <v>0</v>
      </c>
    </row>
    <row r="665" spans="1:20" hidden="1" x14ac:dyDescent="0.3">
      <c r="A665" s="2" t="s">
        <v>1160</v>
      </c>
      <c r="B665" s="5">
        <v>45915</v>
      </c>
      <c r="C665" s="5" t="str">
        <f>TEXT(B665,"mmm")</f>
        <v>Sep</v>
      </c>
      <c r="D665" s="2" t="s">
        <v>199</v>
      </c>
      <c r="E665" s="2" t="s">
        <v>48</v>
      </c>
      <c r="F665" s="2" t="str" cm="1">
        <f t="array" ref="F6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65" s="2" t="str" cm="1">
        <f t="array" ref="G6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65" s="2" t="s">
        <v>121</v>
      </c>
      <c r="I665" s="2" t="s">
        <v>95</v>
      </c>
      <c r="J665" s="2">
        <v>1</v>
      </c>
      <c r="K665" s="8">
        <v>1299</v>
      </c>
      <c r="L665" s="3">
        <v>0.1</v>
      </c>
      <c r="M665" s="12">
        <f>K665*L665</f>
        <v>129.9</v>
      </c>
      <c r="N665" s="12">
        <f>K665*J665</f>
        <v>1299</v>
      </c>
      <c r="O665" s="12">
        <f>N665-M665</f>
        <v>1169.0999999999999</v>
      </c>
      <c r="P665" s="2" t="s">
        <v>45</v>
      </c>
      <c r="Q665" s="2" t="s">
        <v>18</v>
      </c>
      <c r="R665" s="2">
        <v>80</v>
      </c>
      <c r="S665" s="20">
        <f>Table1[[#This Row],[Net_revenue]]/Table1[[#This Row],[Gross_revenue]]*100%</f>
        <v>0.89999999999999991</v>
      </c>
      <c r="T665" s="18">
        <f>COUNTIFS(Table1[Customer ID], "&gt;1", Table1[Customer ID], 1)</f>
        <v>0</v>
      </c>
    </row>
    <row r="666" spans="1:20" hidden="1" x14ac:dyDescent="0.3">
      <c r="A666" s="2" t="s">
        <v>1161</v>
      </c>
      <c r="B666" s="5">
        <v>45732</v>
      </c>
      <c r="C666" s="5" t="str">
        <f>TEXT(B666,"mmm")</f>
        <v>Mar</v>
      </c>
      <c r="D666" s="2" t="s">
        <v>469</v>
      </c>
      <c r="E666" s="2" t="s">
        <v>48</v>
      </c>
      <c r="F666" s="2" t="str" cm="1">
        <f t="array" ref="F6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66" s="2" t="str" cm="1">
        <f t="array" ref="G6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66" s="2" t="s">
        <v>44</v>
      </c>
      <c r="I666" s="2" t="s">
        <v>16</v>
      </c>
      <c r="J666" s="2">
        <v>1</v>
      </c>
      <c r="K666" s="8">
        <v>1599</v>
      </c>
      <c r="L666" s="3">
        <v>0</v>
      </c>
      <c r="M666" s="12">
        <f>K666*L666</f>
        <v>0</v>
      </c>
      <c r="N666" s="12">
        <f>K666*J666</f>
        <v>1599</v>
      </c>
      <c r="O666" s="12">
        <f>N666-M666</f>
        <v>1599</v>
      </c>
      <c r="P666" s="2" t="s">
        <v>30</v>
      </c>
      <c r="Q666" s="2" t="s">
        <v>18</v>
      </c>
      <c r="R666" s="2">
        <v>80</v>
      </c>
      <c r="S666" s="20">
        <f>Table1[[#This Row],[Net_revenue]]/Table1[[#This Row],[Gross_revenue]]*100%</f>
        <v>1</v>
      </c>
      <c r="T666" s="18">
        <f>COUNTIFS(Table1[Customer ID], "&gt;1", Table1[Customer ID], 1)</f>
        <v>0</v>
      </c>
    </row>
    <row r="667" spans="1:20" hidden="1" x14ac:dyDescent="0.3">
      <c r="A667" s="2" t="s">
        <v>1162</v>
      </c>
      <c r="B667" s="5">
        <v>45882</v>
      </c>
      <c r="C667" s="5" t="str">
        <f>TEXT(B667,"mmm")</f>
        <v>Aug</v>
      </c>
      <c r="D667" s="2" t="s">
        <v>811</v>
      </c>
      <c r="E667" s="2" t="s">
        <v>27</v>
      </c>
      <c r="F667" s="2" t="str" cm="1">
        <f t="array" ref="F6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67" s="2" t="str" cm="1">
        <f t="array" ref="G6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67" s="2" t="s">
        <v>134</v>
      </c>
      <c r="I667" s="2" t="s">
        <v>29</v>
      </c>
      <c r="J667" s="2">
        <v>1</v>
      </c>
      <c r="K667" s="8">
        <v>1499</v>
      </c>
      <c r="L667" s="3">
        <v>0.05</v>
      </c>
      <c r="M667" s="12">
        <f>K667*L667</f>
        <v>74.95</v>
      </c>
      <c r="N667" s="12">
        <f>K667*J667</f>
        <v>1499</v>
      </c>
      <c r="O667" s="12">
        <f>N667-M667</f>
        <v>1424.05</v>
      </c>
      <c r="P667" s="2" t="s">
        <v>17</v>
      </c>
      <c r="Q667" s="2" t="s">
        <v>18</v>
      </c>
      <c r="R667" s="2">
        <v>40</v>
      </c>
      <c r="S667" s="20">
        <f>Table1[[#This Row],[Net_revenue]]/Table1[[#This Row],[Gross_revenue]]*100%</f>
        <v>0.95</v>
      </c>
      <c r="T667" s="18">
        <f>COUNTIFS(Table1[Customer ID], "&gt;1", Table1[Customer ID], 1)</f>
        <v>0</v>
      </c>
    </row>
    <row r="668" spans="1:20" hidden="1" x14ac:dyDescent="0.3">
      <c r="A668" s="2" t="s">
        <v>1163</v>
      </c>
      <c r="B668" s="5">
        <v>45795</v>
      </c>
      <c r="C668" s="5" t="str">
        <f>TEXT(B668,"mmm")</f>
        <v>May</v>
      </c>
      <c r="D668" s="2" t="s">
        <v>717</v>
      </c>
      <c r="E668" s="2" t="s">
        <v>53</v>
      </c>
      <c r="F668" s="2" t="str" cm="1">
        <f t="array" ref="F6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668" s="2" t="str" cm="1">
        <f t="array" ref="G6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68" s="2" t="s">
        <v>49</v>
      </c>
      <c r="I668" s="2" t="s">
        <v>23</v>
      </c>
      <c r="J668" s="2">
        <v>1</v>
      </c>
      <c r="K668" s="8">
        <v>1299</v>
      </c>
      <c r="L668" s="3">
        <v>0.1</v>
      </c>
      <c r="M668" s="12">
        <f>K668*L668</f>
        <v>129.9</v>
      </c>
      <c r="N668" s="12">
        <f>K668*J668</f>
        <v>1299</v>
      </c>
      <c r="O668" s="12">
        <f>N668-M668</f>
        <v>1169.0999999999999</v>
      </c>
      <c r="P668" s="2" t="s">
        <v>17</v>
      </c>
      <c r="Q668" s="2" t="s">
        <v>18</v>
      </c>
      <c r="R668" s="2">
        <v>60</v>
      </c>
      <c r="S668" s="20">
        <f>Table1[[#This Row],[Net_revenue]]/Table1[[#This Row],[Gross_revenue]]*100%</f>
        <v>0.89999999999999991</v>
      </c>
      <c r="T668" s="18">
        <f>COUNTIFS(Table1[Customer ID], "&gt;1", Table1[Customer ID], 1)</f>
        <v>0</v>
      </c>
    </row>
    <row r="669" spans="1:20" hidden="1" x14ac:dyDescent="0.3">
      <c r="A669" s="2" t="s">
        <v>1164</v>
      </c>
      <c r="B669" s="5">
        <v>45794</v>
      </c>
      <c r="C669" s="5" t="str">
        <f>TEXT(B669,"mmm")</f>
        <v>May</v>
      </c>
      <c r="D669" s="2" t="s">
        <v>579</v>
      </c>
      <c r="E669" s="2" t="s">
        <v>120</v>
      </c>
      <c r="F669" s="2" t="str" cm="1">
        <f t="array" ref="F6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69" s="2" t="str" cm="1">
        <f t="array" ref="G6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69" s="2" t="s">
        <v>65</v>
      </c>
      <c r="I669" s="2" t="s">
        <v>23</v>
      </c>
      <c r="J669" s="2">
        <v>3</v>
      </c>
      <c r="K669" s="8">
        <v>1899</v>
      </c>
      <c r="L669" s="3">
        <v>0</v>
      </c>
      <c r="M669" s="12">
        <f>K669*L669</f>
        <v>0</v>
      </c>
      <c r="N669" s="12">
        <f>K669*J669</f>
        <v>5697</v>
      </c>
      <c r="O669" s="12">
        <f>N669-M669</f>
        <v>5697</v>
      </c>
      <c r="P669" s="2" t="s">
        <v>24</v>
      </c>
      <c r="Q669" s="2" t="s">
        <v>18</v>
      </c>
      <c r="R669" s="2">
        <v>40</v>
      </c>
      <c r="S669" s="20">
        <f>Table1[[#This Row],[Net_revenue]]/Table1[[#This Row],[Gross_revenue]]*100%</f>
        <v>1</v>
      </c>
      <c r="T669" s="18">
        <f>COUNTIFS(Table1[Customer ID], "&gt;1", Table1[Customer ID], 1)</f>
        <v>0</v>
      </c>
    </row>
    <row r="670" spans="1:20" hidden="1" x14ac:dyDescent="0.3">
      <c r="A670" s="2" t="s">
        <v>1165</v>
      </c>
      <c r="B670" s="5">
        <v>45829</v>
      </c>
      <c r="C670" s="5" t="str">
        <f>TEXT(B670,"mmm")</f>
        <v>Jun</v>
      </c>
      <c r="D670" s="2" t="s">
        <v>987</v>
      </c>
      <c r="E670" s="2" t="s">
        <v>48</v>
      </c>
      <c r="F670" s="2" t="str" cm="1">
        <f t="array" ref="F6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70" s="2" t="str" cm="1">
        <f t="array" ref="G6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70" s="2" t="s">
        <v>117</v>
      </c>
      <c r="I670" s="2" t="s">
        <v>23</v>
      </c>
      <c r="J670" s="2">
        <v>1</v>
      </c>
      <c r="K670" s="8">
        <v>2199</v>
      </c>
      <c r="L670" s="3">
        <v>0</v>
      </c>
      <c r="M670" s="12">
        <f>K670*L670</f>
        <v>0</v>
      </c>
      <c r="N670" s="12">
        <f>K670*J670</f>
        <v>2199</v>
      </c>
      <c r="O670" s="12">
        <f>N670-M670</f>
        <v>2199</v>
      </c>
      <c r="P670" s="2" t="s">
        <v>30</v>
      </c>
      <c r="Q670" s="2" t="s">
        <v>18</v>
      </c>
      <c r="R670" s="2">
        <v>80</v>
      </c>
      <c r="S670" s="20">
        <f>Table1[[#This Row],[Net_revenue]]/Table1[[#This Row],[Gross_revenue]]*100%</f>
        <v>1</v>
      </c>
      <c r="T670" s="18">
        <f>COUNTIFS(Table1[Customer ID], "&gt;1", Table1[Customer ID], 1)</f>
        <v>0</v>
      </c>
    </row>
    <row r="671" spans="1:20" hidden="1" x14ac:dyDescent="0.3">
      <c r="A671" s="2" t="s">
        <v>1166</v>
      </c>
      <c r="B671" s="5">
        <v>45987</v>
      </c>
      <c r="C671" s="5" t="str">
        <f>TEXT(B671,"mmm")</f>
        <v>Nov</v>
      </c>
      <c r="D671" s="2" t="s">
        <v>863</v>
      </c>
      <c r="E671" s="2" t="s">
        <v>48</v>
      </c>
      <c r="F671" s="2" t="str" cm="1">
        <f t="array" ref="F6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71" s="2" t="str" cm="1">
        <f t="array" ref="G6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71" s="2" t="s">
        <v>71</v>
      </c>
      <c r="I671" s="2" t="s">
        <v>29</v>
      </c>
      <c r="J671" s="2">
        <v>1</v>
      </c>
      <c r="K671" s="8">
        <v>5499</v>
      </c>
      <c r="L671" s="3">
        <v>0.1</v>
      </c>
      <c r="M671" s="12">
        <f>K671*L671</f>
        <v>549.9</v>
      </c>
      <c r="N671" s="12">
        <f>K671*J671</f>
        <v>5499</v>
      </c>
      <c r="O671" s="12">
        <f>N671-M671</f>
        <v>4949.1000000000004</v>
      </c>
      <c r="P671" s="2" t="s">
        <v>30</v>
      </c>
      <c r="Q671" s="2" t="s">
        <v>18</v>
      </c>
      <c r="R671" s="2">
        <v>60</v>
      </c>
      <c r="S671" s="20">
        <f>Table1[[#This Row],[Net_revenue]]/Table1[[#This Row],[Gross_revenue]]*100%</f>
        <v>0.9</v>
      </c>
      <c r="T671" s="18">
        <f>COUNTIFS(Table1[Customer ID], "&gt;1", Table1[Customer ID], 1)</f>
        <v>0</v>
      </c>
    </row>
    <row r="672" spans="1:20" hidden="1" x14ac:dyDescent="0.3">
      <c r="A672" s="2" t="s">
        <v>1167</v>
      </c>
      <c r="B672" s="5">
        <v>45765</v>
      </c>
      <c r="C672" s="5" t="str">
        <f>TEXT(B672,"mmm")</f>
        <v>Apr</v>
      </c>
      <c r="D672" s="2" t="s">
        <v>1168</v>
      </c>
      <c r="E672" s="2" t="s">
        <v>21</v>
      </c>
      <c r="F672" s="2" t="str" cm="1">
        <f t="array" ref="F6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72" s="2" t="str" cm="1">
        <f t="array" ref="G6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72" s="2" t="s">
        <v>33</v>
      </c>
      <c r="I672" s="2" t="s">
        <v>16</v>
      </c>
      <c r="J672" s="2">
        <v>1</v>
      </c>
      <c r="K672" s="8">
        <v>899</v>
      </c>
      <c r="L672" s="3">
        <v>0.1</v>
      </c>
      <c r="M672" s="12">
        <f>K672*L672</f>
        <v>89.9</v>
      </c>
      <c r="N672" s="12">
        <f>K672*J672</f>
        <v>899</v>
      </c>
      <c r="O672" s="12">
        <f>N672-M672</f>
        <v>809.1</v>
      </c>
      <c r="P672" s="2" t="s">
        <v>45</v>
      </c>
      <c r="Q672" s="2" t="s">
        <v>50</v>
      </c>
      <c r="R672" s="2">
        <v>80</v>
      </c>
      <c r="S672" s="20">
        <f>Table1[[#This Row],[Net_revenue]]/Table1[[#This Row],[Gross_revenue]]*100%</f>
        <v>0.9</v>
      </c>
      <c r="T672" s="18">
        <f>COUNTIFS(Table1[Customer ID], "&gt;1", Table1[Customer ID], 1)</f>
        <v>0</v>
      </c>
    </row>
    <row r="673" spans="1:20" hidden="1" x14ac:dyDescent="0.3">
      <c r="A673" s="2" t="s">
        <v>1169</v>
      </c>
      <c r="B673" s="5">
        <v>45727</v>
      </c>
      <c r="C673" s="5" t="str">
        <f>TEXT(B673,"mmm")</f>
        <v>Mar</v>
      </c>
      <c r="D673" s="2" t="s">
        <v>1170</v>
      </c>
      <c r="E673" s="2" t="s">
        <v>195</v>
      </c>
      <c r="F673" s="2" t="str" cm="1">
        <f t="array" ref="F6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73" s="2" t="str" cm="1">
        <f t="array" ref="G6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73" s="2" t="s">
        <v>33</v>
      </c>
      <c r="I673" s="2" t="s">
        <v>16</v>
      </c>
      <c r="J673" s="2">
        <v>4</v>
      </c>
      <c r="K673" s="8">
        <v>899</v>
      </c>
      <c r="L673" s="3">
        <v>0.1</v>
      </c>
      <c r="M673" s="12">
        <f>K673*L673</f>
        <v>89.9</v>
      </c>
      <c r="N673" s="12">
        <f>K673*J673</f>
        <v>3596</v>
      </c>
      <c r="O673" s="12">
        <f>N673-M673</f>
        <v>3506.1</v>
      </c>
      <c r="P673" s="2" t="s">
        <v>30</v>
      </c>
      <c r="Q673" s="2" t="s">
        <v>18</v>
      </c>
      <c r="R673" s="2">
        <v>40</v>
      </c>
      <c r="S673" s="20">
        <f>Table1[[#This Row],[Net_revenue]]/Table1[[#This Row],[Gross_revenue]]*100%</f>
        <v>0.97499999999999998</v>
      </c>
      <c r="T673" s="18">
        <f>COUNTIFS(Table1[Customer ID], "&gt;1", Table1[Customer ID], 1)</f>
        <v>0</v>
      </c>
    </row>
    <row r="674" spans="1:20" hidden="1" x14ac:dyDescent="0.3">
      <c r="A674" s="2" t="s">
        <v>1171</v>
      </c>
      <c r="B674" s="5">
        <v>45936</v>
      </c>
      <c r="C674" s="5" t="str">
        <f>TEXT(B674,"mmm")</f>
        <v>Oct</v>
      </c>
      <c r="D674" s="2" t="s">
        <v>1172</v>
      </c>
      <c r="E674" s="2" t="s">
        <v>48</v>
      </c>
      <c r="F674" s="2" t="str" cm="1">
        <f t="array" ref="F6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74" s="2" t="str" cm="1">
        <f t="array" ref="G6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74" s="2" t="s">
        <v>68</v>
      </c>
      <c r="I674" s="2" t="s">
        <v>16</v>
      </c>
      <c r="J674" s="2">
        <v>1</v>
      </c>
      <c r="K674" s="8">
        <v>599</v>
      </c>
      <c r="L674" s="3">
        <v>0.1</v>
      </c>
      <c r="M674" s="12">
        <f>K674*L674</f>
        <v>59.900000000000006</v>
      </c>
      <c r="N674" s="12">
        <f>K674*J674</f>
        <v>599</v>
      </c>
      <c r="O674" s="12">
        <f>N674-M674</f>
        <v>539.1</v>
      </c>
      <c r="P674" s="2" t="s">
        <v>17</v>
      </c>
      <c r="Q674" s="2" t="s">
        <v>72</v>
      </c>
      <c r="R674" s="2">
        <v>40</v>
      </c>
      <c r="S674" s="20">
        <f>Table1[[#This Row],[Net_revenue]]/Table1[[#This Row],[Gross_revenue]]*100%</f>
        <v>0.9</v>
      </c>
      <c r="T674" s="18">
        <f>COUNTIFS(Table1[Customer ID], "&gt;1", Table1[Customer ID], 1)</f>
        <v>0</v>
      </c>
    </row>
    <row r="675" spans="1:20" hidden="1" x14ac:dyDescent="0.3">
      <c r="A675" s="2" t="s">
        <v>1173</v>
      </c>
      <c r="B675" s="5">
        <v>45857</v>
      </c>
      <c r="C675" s="5" t="str">
        <f>TEXT(B675,"mmm")</f>
        <v>Jul</v>
      </c>
      <c r="D675" s="2" t="s">
        <v>1073</v>
      </c>
      <c r="E675" s="2" t="s">
        <v>48</v>
      </c>
      <c r="F675" s="2" t="str" cm="1">
        <f t="array" ref="F6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75" s="2" t="str" cm="1">
        <f t="array" ref="G6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75" s="2" t="s">
        <v>68</v>
      </c>
      <c r="I675" s="2" t="s">
        <v>16</v>
      </c>
      <c r="J675" s="2">
        <v>1</v>
      </c>
      <c r="K675" s="8">
        <v>599</v>
      </c>
      <c r="L675" s="3">
        <v>0.1</v>
      </c>
      <c r="M675" s="12">
        <f>K675*L675</f>
        <v>59.900000000000006</v>
      </c>
      <c r="N675" s="12">
        <f>K675*J675</f>
        <v>599</v>
      </c>
      <c r="O675" s="12">
        <f>N675-M675</f>
        <v>539.1</v>
      </c>
      <c r="P675" s="2" t="s">
        <v>45</v>
      </c>
      <c r="Q675" s="2" t="s">
        <v>18</v>
      </c>
      <c r="R675" s="2">
        <v>60</v>
      </c>
      <c r="S675" s="20">
        <f>Table1[[#This Row],[Net_revenue]]/Table1[[#This Row],[Gross_revenue]]*100%</f>
        <v>0.9</v>
      </c>
      <c r="T675" s="18">
        <f>COUNTIFS(Table1[Customer ID], "&gt;1", Table1[Customer ID], 1)</f>
        <v>0</v>
      </c>
    </row>
    <row r="676" spans="1:20" hidden="1" x14ac:dyDescent="0.3">
      <c r="A676" s="2" t="s">
        <v>1174</v>
      </c>
      <c r="B676" s="5">
        <v>45808</v>
      </c>
      <c r="C676" s="5" t="str">
        <f>TEXT(B676,"mmm")</f>
        <v>May</v>
      </c>
      <c r="D676" s="2" t="s">
        <v>1175</v>
      </c>
      <c r="E676" s="2" t="s">
        <v>195</v>
      </c>
      <c r="F676" s="2" t="str" cm="1">
        <f t="array" ref="F6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76" s="2" t="str" cm="1">
        <f t="array" ref="G6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76" s="2" t="s">
        <v>71</v>
      </c>
      <c r="I676" s="2" t="s">
        <v>29</v>
      </c>
      <c r="J676" s="2">
        <v>1</v>
      </c>
      <c r="K676" s="8">
        <v>5499</v>
      </c>
      <c r="L676" s="3">
        <v>0.05</v>
      </c>
      <c r="M676" s="12">
        <f>K676*L676</f>
        <v>274.95</v>
      </c>
      <c r="N676" s="12">
        <f>K676*J676</f>
        <v>5499</v>
      </c>
      <c r="O676" s="12">
        <f>N676-M676</f>
        <v>5224.05</v>
      </c>
      <c r="P676" s="2" t="s">
        <v>17</v>
      </c>
      <c r="Q676" s="2" t="s">
        <v>18</v>
      </c>
      <c r="R676" s="2">
        <v>0</v>
      </c>
      <c r="S676" s="20">
        <f>Table1[[#This Row],[Net_revenue]]/Table1[[#This Row],[Gross_revenue]]*100%</f>
        <v>0.95000000000000007</v>
      </c>
      <c r="T676" s="18">
        <f>COUNTIFS(Table1[Customer ID], "&gt;1", Table1[Customer ID], 1)</f>
        <v>0</v>
      </c>
    </row>
    <row r="677" spans="1:20" hidden="1" x14ac:dyDescent="0.3">
      <c r="A677" s="2" t="s">
        <v>1176</v>
      </c>
      <c r="B677" s="5">
        <v>46017</v>
      </c>
      <c r="C677" s="5" t="str">
        <f>TEXT(B677,"mmm")</f>
        <v>Dec</v>
      </c>
      <c r="D677" s="2" t="s">
        <v>190</v>
      </c>
      <c r="E677" s="2" t="s">
        <v>40</v>
      </c>
      <c r="F677" s="2" t="str" cm="1">
        <f t="array" ref="F6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77" s="2" t="str" cm="1">
        <f t="array" ref="G6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77" s="2" t="s">
        <v>44</v>
      </c>
      <c r="I677" s="2" t="s">
        <v>16</v>
      </c>
      <c r="J677" s="2">
        <v>1</v>
      </c>
      <c r="K677" s="8">
        <v>1599</v>
      </c>
      <c r="L677" s="3">
        <v>0.15</v>
      </c>
      <c r="M677" s="12">
        <f>K677*L677</f>
        <v>239.85</v>
      </c>
      <c r="N677" s="12">
        <f>K677*J677</f>
        <v>1599</v>
      </c>
      <c r="O677" s="12">
        <f>N677-M677</f>
        <v>1359.15</v>
      </c>
      <c r="P677" s="2" t="s">
        <v>17</v>
      </c>
      <c r="Q677" s="2" t="s">
        <v>18</v>
      </c>
      <c r="R677" s="2">
        <v>80</v>
      </c>
      <c r="S677" s="20">
        <f>Table1[[#This Row],[Net_revenue]]/Table1[[#This Row],[Gross_revenue]]*100%</f>
        <v>0.85000000000000009</v>
      </c>
      <c r="T677" s="18">
        <f>COUNTIFS(Table1[Customer ID], "&gt;1", Table1[Customer ID], 1)</f>
        <v>0</v>
      </c>
    </row>
    <row r="678" spans="1:20" hidden="1" x14ac:dyDescent="0.3">
      <c r="A678" s="2" t="s">
        <v>1177</v>
      </c>
      <c r="B678" s="5">
        <v>45888</v>
      </c>
      <c r="C678" s="5" t="str">
        <f>TEXT(B678,"mmm")</f>
        <v>Aug</v>
      </c>
      <c r="D678" s="2" t="s">
        <v>353</v>
      </c>
      <c r="E678" s="2" t="s">
        <v>48</v>
      </c>
      <c r="F678" s="2" t="str" cm="1">
        <f t="array" ref="F6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78" s="2" t="str" cm="1">
        <f t="array" ref="G6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78" s="2" t="s">
        <v>22</v>
      </c>
      <c r="I678" s="2" t="s">
        <v>23</v>
      </c>
      <c r="J678" s="2">
        <v>2</v>
      </c>
      <c r="K678" s="8">
        <v>3999</v>
      </c>
      <c r="L678" s="3">
        <v>0</v>
      </c>
      <c r="M678" s="12">
        <f>K678*L678</f>
        <v>0</v>
      </c>
      <c r="N678" s="12">
        <f>K678*J678</f>
        <v>7998</v>
      </c>
      <c r="O678" s="12">
        <f>N678-M678</f>
        <v>7998</v>
      </c>
      <c r="P678" s="2" t="s">
        <v>30</v>
      </c>
      <c r="Q678" s="2" t="s">
        <v>18</v>
      </c>
      <c r="R678" s="2">
        <v>80</v>
      </c>
      <c r="S678" s="20">
        <f>Table1[[#This Row],[Net_revenue]]/Table1[[#This Row],[Gross_revenue]]*100%</f>
        <v>1</v>
      </c>
      <c r="T678" s="18">
        <f>COUNTIFS(Table1[Customer ID], "&gt;1", Table1[Customer ID], 1)</f>
        <v>0</v>
      </c>
    </row>
    <row r="679" spans="1:20" hidden="1" x14ac:dyDescent="0.3">
      <c r="A679" s="2" t="s">
        <v>1178</v>
      </c>
      <c r="B679" s="5">
        <v>45839</v>
      </c>
      <c r="C679" s="5" t="str">
        <f>TEXT(B679,"mmm")</f>
        <v>Jul</v>
      </c>
      <c r="D679" s="2" t="s">
        <v>430</v>
      </c>
      <c r="E679" s="2" t="s">
        <v>195</v>
      </c>
      <c r="F679" s="2" t="str" cm="1">
        <f t="array" ref="F6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79" s="2" t="str" cm="1">
        <f t="array" ref="G6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79" s="2" t="s">
        <v>63</v>
      </c>
      <c r="I679" s="2" t="s">
        <v>23</v>
      </c>
      <c r="J679" s="2">
        <v>1</v>
      </c>
      <c r="K679" s="8">
        <v>2499</v>
      </c>
      <c r="L679" s="3">
        <v>0</v>
      </c>
      <c r="M679" s="12">
        <f>K679*L679</f>
        <v>0</v>
      </c>
      <c r="N679" s="12">
        <f>K679*J679</f>
        <v>2499</v>
      </c>
      <c r="O679" s="12">
        <f>N679-M679</f>
        <v>2499</v>
      </c>
      <c r="P679" s="2" t="s">
        <v>30</v>
      </c>
      <c r="Q679" s="2" t="s">
        <v>18</v>
      </c>
      <c r="R679" s="2">
        <v>0</v>
      </c>
      <c r="S679" s="20">
        <f>Table1[[#This Row],[Net_revenue]]/Table1[[#This Row],[Gross_revenue]]*100%</f>
        <v>1</v>
      </c>
      <c r="T679" s="18">
        <f>COUNTIFS(Table1[Customer ID], "&gt;1", Table1[Customer ID], 1)</f>
        <v>0</v>
      </c>
    </row>
    <row r="680" spans="1:20" hidden="1" x14ac:dyDescent="0.3">
      <c r="A680" s="2" t="s">
        <v>1179</v>
      </c>
      <c r="B680" s="5">
        <v>45847</v>
      </c>
      <c r="C680" s="5" t="str">
        <f>TEXT(B680,"mmm")</f>
        <v>Jul</v>
      </c>
      <c r="D680" s="2" t="s">
        <v>781</v>
      </c>
      <c r="E680" s="2" t="s">
        <v>40</v>
      </c>
      <c r="F680" s="2" t="str" cm="1">
        <f t="array" ref="F6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80" s="2" t="str" cm="1">
        <f t="array" ref="G6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80" s="2" t="s">
        <v>49</v>
      </c>
      <c r="I680" s="2" t="s">
        <v>23</v>
      </c>
      <c r="J680" s="2">
        <v>3</v>
      </c>
      <c r="K680" s="8">
        <v>1299</v>
      </c>
      <c r="L680" s="3">
        <v>0</v>
      </c>
      <c r="M680" s="12">
        <f>K680*L680</f>
        <v>0</v>
      </c>
      <c r="N680" s="12">
        <f>K680*J680</f>
        <v>3897</v>
      </c>
      <c r="O680" s="12">
        <f>N680-M680</f>
        <v>3897</v>
      </c>
      <c r="P680" s="2" t="s">
        <v>30</v>
      </c>
      <c r="Q680" s="2" t="s">
        <v>18</v>
      </c>
      <c r="R680" s="2">
        <v>0</v>
      </c>
      <c r="S680" s="20">
        <f>Table1[[#This Row],[Net_revenue]]/Table1[[#This Row],[Gross_revenue]]*100%</f>
        <v>1</v>
      </c>
      <c r="T680" s="18">
        <f>COUNTIFS(Table1[Customer ID], "&gt;1", Table1[Customer ID], 1)</f>
        <v>0</v>
      </c>
    </row>
    <row r="681" spans="1:20" hidden="1" x14ac:dyDescent="0.3">
      <c r="A681" s="2" t="s">
        <v>1180</v>
      </c>
      <c r="B681" s="5">
        <v>45689</v>
      </c>
      <c r="C681" s="5" t="str">
        <f>TEXT(B681,"mmm")</f>
        <v>Feb</v>
      </c>
      <c r="D681" s="2" t="s">
        <v>1181</v>
      </c>
      <c r="E681" s="2" t="s">
        <v>120</v>
      </c>
      <c r="F681" s="2" t="str" cm="1">
        <f t="array" ref="F6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81" s="2" t="str" cm="1">
        <f t="array" ref="G6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81" s="2" t="s">
        <v>63</v>
      </c>
      <c r="I681" s="2" t="s">
        <v>23</v>
      </c>
      <c r="J681" s="2">
        <v>4</v>
      </c>
      <c r="K681" s="8">
        <v>2499</v>
      </c>
      <c r="L681" s="3">
        <v>0</v>
      </c>
      <c r="M681" s="12">
        <f>K681*L681</f>
        <v>0</v>
      </c>
      <c r="N681" s="12">
        <f>K681*J681</f>
        <v>9996</v>
      </c>
      <c r="O681" s="12">
        <f>N681-M681</f>
        <v>9996</v>
      </c>
      <c r="P681" s="2" t="s">
        <v>17</v>
      </c>
      <c r="Q681" s="2" t="s">
        <v>72</v>
      </c>
      <c r="R681" s="2">
        <v>80</v>
      </c>
      <c r="S681" s="20">
        <f>Table1[[#This Row],[Net_revenue]]/Table1[[#This Row],[Gross_revenue]]*100%</f>
        <v>1</v>
      </c>
      <c r="T681" s="18">
        <f>COUNTIFS(Table1[Customer ID], "&gt;1", Table1[Customer ID], 1)</f>
        <v>0</v>
      </c>
    </row>
    <row r="682" spans="1:20" hidden="1" x14ac:dyDescent="0.3">
      <c r="A682" s="2" t="s">
        <v>1182</v>
      </c>
      <c r="B682" s="5">
        <v>45722</v>
      </c>
      <c r="C682" s="5" t="str">
        <f>TEXT(B682,"mmm")</f>
        <v>Mar</v>
      </c>
      <c r="D682" s="2" t="s">
        <v>1183</v>
      </c>
      <c r="E682" s="2" t="s">
        <v>195</v>
      </c>
      <c r="F682" s="2" t="str" cm="1">
        <f t="array" ref="F6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682" s="2" t="str" cm="1">
        <f t="array" ref="G6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82" s="2" t="s">
        <v>49</v>
      </c>
      <c r="I682" s="2" t="s">
        <v>23</v>
      </c>
      <c r="J682" s="2">
        <v>1</v>
      </c>
      <c r="K682" s="8">
        <v>1299</v>
      </c>
      <c r="L682" s="3">
        <v>0.15</v>
      </c>
      <c r="M682" s="12">
        <f>K682*L682</f>
        <v>194.85</v>
      </c>
      <c r="N682" s="12">
        <f>K682*J682</f>
        <v>1299</v>
      </c>
      <c r="O682" s="12">
        <f>N682-M682</f>
        <v>1104.1500000000001</v>
      </c>
      <c r="P682" s="2" t="s">
        <v>30</v>
      </c>
      <c r="Q682" s="2" t="s">
        <v>18</v>
      </c>
      <c r="R682" s="2">
        <v>80</v>
      </c>
      <c r="S682" s="20">
        <f>Table1[[#This Row],[Net_revenue]]/Table1[[#This Row],[Gross_revenue]]*100%</f>
        <v>0.85000000000000009</v>
      </c>
      <c r="T682" s="18">
        <f>COUNTIFS(Table1[Customer ID], "&gt;1", Table1[Customer ID], 1)</f>
        <v>0</v>
      </c>
    </row>
    <row r="683" spans="1:20" hidden="1" x14ac:dyDescent="0.3">
      <c r="A683" s="2" t="s">
        <v>1184</v>
      </c>
      <c r="B683" s="5">
        <v>45820</v>
      </c>
      <c r="C683" s="5" t="str">
        <f>TEXT(B683,"mmm")</f>
        <v>Jun</v>
      </c>
      <c r="D683" s="2" t="s">
        <v>604</v>
      </c>
      <c r="E683" s="2" t="s">
        <v>27</v>
      </c>
      <c r="F683" s="2" t="str" cm="1">
        <f t="array" ref="F6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83" s="2" t="str" cm="1">
        <f t="array" ref="G6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83" s="2" t="s">
        <v>49</v>
      </c>
      <c r="I683" s="2" t="s">
        <v>23</v>
      </c>
      <c r="J683" s="2">
        <v>2</v>
      </c>
      <c r="K683" s="8">
        <v>1299</v>
      </c>
      <c r="L683" s="3">
        <v>0.1</v>
      </c>
      <c r="M683" s="12">
        <f>K683*L683</f>
        <v>129.9</v>
      </c>
      <c r="N683" s="12">
        <f>K683*J683</f>
        <v>2598</v>
      </c>
      <c r="O683" s="12">
        <f>N683-M683</f>
        <v>2468.1</v>
      </c>
      <c r="P683" s="2" t="s">
        <v>17</v>
      </c>
      <c r="Q683" s="2" t="s">
        <v>18</v>
      </c>
      <c r="R683" s="2">
        <v>0</v>
      </c>
      <c r="S683" s="20">
        <f>Table1[[#This Row],[Net_revenue]]/Table1[[#This Row],[Gross_revenue]]*100%</f>
        <v>0.95</v>
      </c>
      <c r="T683" s="18">
        <f>COUNTIFS(Table1[Customer ID], "&gt;1", Table1[Customer ID], 1)</f>
        <v>0</v>
      </c>
    </row>
    <row r="684" spans="1:20" hidden="1" x14ac:dyDescent="0.3">
      <c r="A684" s="2" t="s">
        <v>1185</v>
      </c>
      <c r="B684" s="5">
        <v>45833</v>
      </c>
      <c r="C684" s="5" t="str">
        <f>TEXT(B684,"mmm")</f>
        <v>Jun</v>
      </c>
      <c r="D684" s="2" t="s">
        <v>1012</v>
      </c>
      <c r="E684" s="2" t="s">
        <v>27</v>
      </c>
      <c r="F684" s="2" t="str" cm="1">
        <f t="array" ref="F6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84" s="2" t="str" cm="1">
        <f t="array" ref="G6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84" s="2" t="s">
        <v>44</v>
      </c>
      <c r="I684" s="2" t="s">
        <v>16</v>
      </c>
      <c r="J684" s="2">
        <v>1</v>
      </c>
      <c r="K684" s="8">
        <v>1599</v>
      </c>
      <c r="L684" s="3">
        <v>0.1</v>
      </c>
      <c r="M684" s="12">
        <f>K684*L684</f>
        <v>159.9</v>
      </c>
      <c r="N684" s="12">
        <f>K684*J684</f>
        <v>1599</v>
      </c>
      <c r="O684" s="12">
        <f>N684-M684</f>
        <v>1439.1</v>
      </c>
      <c r="P684" s="2" t="s">
        <v>30</v>
      </c>
      <c r="Q684" s="2" t="s">
        <v>18</v>
      </c>
      <c r="R684" s="2">
        <v>40</v>
      </c>
      <c r="S684" s="20">
        <f>Table1[[#This Row],[Net_revenue]]/Table1[[#This Row],[Gross_revenue]]*100%</f>
        <v>0.89999999999999991</v>
      </c>
      <c r="T684" s="18">
        <f>COUNTIFS(Table1[Customer ID], "&gt;1", Table1[Customer ID], 1)</f>
        <v>0</v>
      </c>
    </row>
    <row r="685" spans="1:20" hidden="1" x14ac:dyDescent="0.3">
      <c r="A685" s="2" t="s">
        <v>1186</v>
      </c>
      <c r="B685" s="5">
        <v>45769</v>
      </c>
      <c r="C685" s="5" t="str">
        <f>TEXT(B685,"mmm")</f>
        <v>Apr</v>
      </c>
      <c r="D685" s="2" t="s">
        <v>1087</v>
      </c>
      <c r="E685" s="2" t="s">
        <v>40</v>
      </c>
      <c r="F685" s="2" t="str" cm="1">
        <f t="array" ref="F6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85" s="2" t="str" cm="1">
        <f t="array" ref="G6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85" s="2" t="s">
        <v>22</v>
      </c>
      <c r="I685" s="2" t="s">
        <v>23</v>
      </c>
      <c r="J685" s="2">
        <v>1</v>
      </c>
      <c r="K685" s="8">
        <v>3999</v>
      </c>
      <c r="L685" s="3">
        <v>0.15</v>
      </c>
      <c r="M685" s="12">
        <f>K685*L685</f>
        <v>599.85</v>
      </c>
      <c r="N685" s="12">
        <f>K685*J685</f>
        <v>3999</v>
      </c>
      <c r="O685" s="12">
        <f>N685-M685</f>
        <v>3399.15</v>
      </c>
      <c r="P685" s="2" t="s">
        <v>45</v>
      </c>
      <c r="Q685" s="2" t="s">
        <v>18</v>
      </c>
      <c r="R685" s="2">
        <v>0</v>
      </c>
      <c r="S685" s="20">
        <f>Table1[[#This Row],[Net_revenue]]/Table1[[#This Row],[Gross_revenue]]*100%</f>
        <v>0.85</v>
      </c>
      <c r="T685" s="18">
        <f>COUNTIFS(Table1[Customer ID], "&gt;1", Table1[Customer ID], 1)</f>
        <v>0</v>
      </c>
    </row>
    <row r="686" spans="1:20" hidden="1" x14ac:dyDescent="0.3">
      <c r="A686" s="2" t="s">
        <v>1187</v>
      </c>
      <c r="B686" s="5">
        <v>46019</v>
      </c>
      <c r="C686" s="5" t="str">
        <f>TEXT(B686,"mmm")</f>
        <v>Dec</v>
      </c>
      <c r="D686" s="2" t="s">
        <v>687</v>
      </c>
      <c r="E686" s="2" t="s">
        <v>40</v>
      </c>
      <c r="F686" s="2" t="str" cm="1">
        <f t="array" ref="F6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86" s="2" t="str" cm="1">
        <f t="array" ref="G6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86" s="2" t="s">
        <v>41</v>
      </c>
      <c r="I686" s="2" t="s">
        <v>16</v>
      </c>
      <c r="J686" s="2">
        <v>2</v>
      </c>
      <c r="K686" s="8">
        <v>2299</v>
      </c>
      <c r="L686" s="3">
        <v>0.25</v>
      </c>
      <c r="M686" s="12">
        <f>K686*L686</f>
        <v>574.75</v>
      </c>
      <c r="N686" s="12">
        <f>K686*J686</f>
        <v>4598</v>
      </c>
      <c r="O686" s="12">
        <f>N686-M686</f>
        <v>4023.25</v>
      </c>
      <c r="P686" s="2" t="s">
        <v>45</v>
      </c>
      <c r="Q686" s="2" t="s">
        <v>18</v>
      </c>
      <c r="R686" s="2">
        <v>80</v>
      </c>
      <c r="S686" s="20">
        <f>Table1[[#This Row],[Net_revenue]]/Table1[[#This Row],[Gross_revenue]]*100%</f>
        <v>0.875</v>
      </c>
      <c r="T686" s="18">
        <f>COUNTIFS(Table1[Customer ID], "&gt;1", Table1[Customer ID], 1)</f>
        <v>0</v>
      </c>
    </row>
    <row r="687" spans="1:20" hidden="1" x14ac:dyDescent="0.3">
      <c r="A687" s="2" t="s">
        <v>1188</v>
      </c>
      <c r="B687" s="5">
        <v>45663</v>
      </c>
      <c r="C687" s="5" t="str">
        <f>TEXT(B687,"mmm")</f>
        <v>Jan</v>
      </c>
      <c r="D687" s="2" t="s">
        <v>321</v>
      </c>
      <c r="E687" s="2" t="s">
        <v>21</v>
      </c>
      <c r="F687" s="2" t="str" cm="1">
        <f t="array" ref="F6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87" s="2" t="str" cm="1">
        <f t="array" ref="G6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87" s="2" t="s">
        <v>80</v>
      </c>
      <c r="I687" s="2" t="s">
        <v>23</v>
      </c>
      <c r="J687" s="2">
        <v>5</v>
      </c>
      <c r="K687" s="8">
        <v>799</v>
      </c>
      <c r="L687" s="3">
        <v>0</v>
      </c>
      <c r="M687" s="12">
        <f>K687*L687</f>
        <v>0</v>
      </c>
      <c r="N687" s="12">
        <f>K687*J687</f>
        <v>3995</v>
      </c>
      <c r="O687" s="12">
        <f>N687-M687</f>
        <v>3995</v>
      </c>
      <c r="P687" s="2" t="s">
        <v>45</v>
      </c>
      <c r="Q687" s="2" t="s">
        <v>18</v>
      </c>
      <c r="R687" s="2">
        <v>60</v>
      </c>
      <c r="S687" s="20">
        <f>Table1[[#This Row],[Net_revenue]]/Table1[[#This Row],[Gross_revenue]]*100%</f>
        <v>1</v>
      </c>
      <c r="T687" s="18">
        <f>COUNTIFS(Table1[Customer ID], "&gt;1", Table1[Customer ID], 1)</f>
        <v>0</v>
      </c>
    </row>
    <row r="688" spans="1:20" hidden="1" x14ac:dyDescent="0.3">
      <c r="A688" s="2" t="s">
        <v>1189</v>
      </c>
      <c r="B688" s="5">
        <v>45942</v>
      </c>
      <c r="C688" s="5" t="str">
        <f>TEXT(B688,"mmm")</f>
        <v>Oct</v>
      </c>
      <c r="D688" s="2" t="s">
        <v>1190</v>
      </c>
      <c r="E688" s="2" t="s">
        <v>75</v>
      </c>
      <c r="F688" s="2" t="str" cm="1">
        <f t="array" ref="F6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688" s="2" t="str" cm="1">
        <f t="array" ref="G6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88" s="2" t="s">
        <v>121</v>
      </c>
      <c r="I688" s="2" t="s">
        <v>95</v>
      </c>
      <c r="J688" s="2">
        <v>1</v>
      </c>
      <c r="K688" s="8">
        <v>1299</v>
      </c>
      <c r="L688" s="3">
        <v>0.1</v>
      </c>
      <c r="M688" s="12">
        <f>K688*L688</f>
        <v>129.9</v>
      </c>
      <c r="N688" s="12">
        <f>K688*J688</f>
        <v>1299</v>
      </c>
      <c r="O688" s="12">
        <f>N688-M688</f>
        <v>1169.0999999999999</v>
      </c>
      <c r="P688" s="2" t="s">
        <v>45</v>
      </c>
      <c r="Q688" s="2" t="s">
        <v>18</v>
      </c>
      <c r="R688" s="2">
        <v>40</v>
      </c>
      <c r="S688" s="20">
        <f>Table1[[#This Row],[Net_revenue]]/Table1[[#This Row],[Gross_revenue]]*100%</f>
        <v>0.89999999999999991</v>
      </c>
      <c r="T688" s="18">
        <f>COUNTIFS(Table1[Customer ID], "&gt;1", Table1[Customer ID], 1)</f>
        <v>0</v>
      </c>
    </row>
    <row r="689" spans="1:20" hidden="1" x14ac:dyDescent="0.3">
      <c r="A689" s="2" t="s">
        <v>1191</v>
      </c>
      <c r="B689" s="5">
        <v>45968</v>
      </c>
      <c r="C689" s="5" t="str">
        <f>TEXT(B689,"mmm")</f>
        <v>Nov</v>
      </c>
      <c r="D689" s="2" t="s">
        <v>1192</v>
      </c>
      <c r="E689" s="2" t="s">
        <v>56</v>
      </c>
      <c r="F689" s="2" t="str" cm="1">
        <f t="array" ref="F6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89" s="2" t="str" cm="1">
        <f t="array" ref="G6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89" s="2" t="s">
        <v>22</v>
      </c>
      <c r="I689" s="2" t="s">
        <v>23</v>
      </c>
      <c r="J689" s="2">
        <v>3</v>
      </c>
      <c r="K689" s="8">
        <v>3999</v>
      </c>
      <c r="L689" s="3">
        <v>0.2</v>
      </c>
      <c r="M689" s="12">
        <f>K689*L689</f>
        <v>799.80000000000007</v>
      </c>
      <c r="N689" s="12">
        <f>K689*J689</f>
        <v>11997</v>
      </c>
      <c r="O689" s="12">
        <f>N689-M689</f>
        <v>11197.2</v>
      </c>
      <c r="P689" s="2" t="s">
        <v>45</v>
      </c>
      <c r="Q689" s="2" t="s">
        <v>18</v>
      </c>
      <c r="R689" s="2">
        <v>40</v>
      </c>
      <c r="S689" s="20">
        <f>Table1[[#This Row],[Net_revenue]]/Table1[[#This Row],[Gross_revenue]]*100%</f>
        <v>0.93333333333333335</v>
      </c>
      <c r="T689" s="18">
        <f>COUNTIFS(Table1[Customer ID], "&gt;1", Table1[Customer ID], 1)</f>
        <v>0</v>
      </c>
    </row>
    <row r="690" spans="1:20" hidden="1" x14ac:dyDescent="0.3">
      <c r="A690" s="2" t="s">
        <v>1193</v>
      </c>
      <c r="B690" s="5">
        <v>45904</v>
      </c>
      <c r="C690" s="5" t="str">
        <f>TEXT(B690,"mmm")</f>
        <v>Sep</v>
      </c>
      <c r="D690" s="2" t="s">
        <v>1194</v>
      </c>
      <c r="E690" s="2" t="s">
        <v>53</v>
      </c>
      <c r="F690" s="2" t="str" cm="1">
        <f t="array" ref="F6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690" s="2" t="str" cm="1">
        <f t="array" ref="G6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90" s="2" t="s">
        <v>33</v>
      </c>
      <c r="I690" s="2" t="s">
        <v>16</v>
      </c>
      <c r="J690" s="2">
        <v>2</v>
      </c>
      <c r="K690" s="8">
        <v>899</v>
      </c>
      <c r="L690" s="3">
        <v>0</v>
      </c>
      <c r="M690" s="12">
        <f>K690*L690</f>
        <v>0</v>
      </c>
      <c r="N690" s="12">
        <f>K690*J690</f>
        <v>1798</v>
      </c>
      <c r="O690" s="12">
        <f>N690-M690</f>
        <v>1798</v>
      </c>
      <c r="P690" s="2" t="s">
        <v>45</v>
      </c>
      <c r="Q690" s="2" t="s">
        <v>18</v>
      </c>
      <c r="R690" s="2">
        <v>0</v>
      </c>
      <c r="S690" s="20">
        <f>Table1[[#This Row],[Net_revenue]]/Table1[[#This Row],[Gross_revenue]]*100%</f>
        <v>1</v>
      </c>
      <c r="T690" s="18">
        <f>COUNTIFS(Table1[Customer ID], "&gt;1", Table1[Customer ID], 1)</f>
        <v>0</v>
      </c>
    </row>
    <row r="691" spans="1:20" hidden="1" x14ac:dyDescent="0.3">
      <c r="A691" s="2" t="s">
        <v>1195</v>
      </c>
      <c r="B691" s="5">
        <v>45931</v>
      </c>
      <c r="C691" s="5" t="str">
        <f>TEXT(B691,"mmm")</f>
        <v>Oct</v>
      </c>
      <c r="D691" s="2" t="s">
        <v>197</v>
      </c>
      <c r="E691" s="2" t="s">
        <v>56</v>
      </c>
      <c r="F691" s="2" t="str" cm="1">
        <f t="array" ref="F6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91" s="2" t="str" cm="1">
        <f t="array" ref="G6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91" s="2" t="s">
        <v>134</v>
      </c>
      <c r="I691" s="2" t="s">
        <v>29</v>
      </c>
      <c r="J691" s="2">
        <v>1</v>
      </c>
      <c r="K691" s="8">
        <v>1499</v>
      </c>
      <c r="L691" s="3">
        <v>0.1</v>
      </c>
      <c r="M691" s="12">
        <f>K691*L691</f>
        <v>149.9</v>
      </c>
      <c r="N691" s="12">
        <f>K691*J691</f>
        <v>1499</v>
      </c>
      <c r="O691" s="12">
        <f>N691-M691</f>
        <v>1349.1</v>
      </c>
      <c r="P691" s="2" t="s">
        <v>17</v>
      </c>
      <c r="Q691" s="2" t="s">
        <v>18</v>
      </c>
      <c r="R691" s="2">
        <v>0</v>
      </c>
      <c r="S691" s="20">
        <f>Table1[[#This Row],[Net_revenue]]/Table1[[#This Row],[Gross_revenue]]*100%</f>
        <v>0.89999999999999991</v>
      </c>
      <c r="T691" s="18">
        <f>COUNTIFS(Table1[Customer ID], "&gt;1", Table1[Customer ID], 1)</f>
        <v>0</v>
      </c>
    </row>
    <row r="692" spans="1:20" hidden="1" x14ac:dyDescent="0.3">
      <c r="A692" s="2" t="s">
        <v>1196</v>
      </c>
      <c r="B692" s="5">
        <v>45893</v>
      </c>
      <c r="C692" s="5" t="str">
        <f>TEXT(B692,"mmm")</f>
        <v>Aug</v>
      </c>
      <c r="D692" s="2" t="s">
        <v>1197</v>
      </c>
      <c r="E692" s="2" t="s">
        <v>40</v>
      </c>
      <c r="F692" s="2" t="str" cm="1">
        <f t="array" ref="F6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692" s="2" t="str" cm="1">
        <f t="array" ref="G6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92" s="2" t="s">
        <v>68</v>
      </c>
      <c r="I692" s="2" t="s">
        <v>16</v>
      </c>
      <c r="J692" s="2">
        <v>1</v>
      </c>
      <c r="K692" s="8">
        <v>599</v>
      </c>
      <c r="L692" s="3">
        <v>0.15</v>
      </c>
      <c r="M692" s="12">
        <f>K692*L692</f>
        <v>89.85</v>
      </c>
      <c r="N692" s="12">
        <f>K692*J692</f>
        <v>599</v>
      </c>
      <c r="O692" s="12">
        <f>N692-M692</f>
        <v>509.15</v>
      </c>
      <c r="P692" s="2" t="s">
        <v>30</v>
      </c>
      <c r="Q692" s="2" t="s">
        <v>18</v>
      </c>
      <c r="R692" s="2">
        <v>80</v>
      </c>
      <c r="S692" s="20">
        <f>Table1[[#This Row],[Net_revenue]]/Table1[[#This Row],[Gross_revenue]]*100%</f>
        <v>0.85</v>
      </c>
      <c r="T692" s="18">
        <f>COUNTIFS(Table1[Customer ID], "&gt;1", Table1[Customer ID], 1)</f>
        <v>0</v>
      </c>
    </row>
    <row r="693" spans="1:20" hidden="1" x14ac:dyDescent="0.3">
      <c r="A693" s="2" t="s">
        <v>1198</v>
      </c>
      <c r="B693" s="5">
        <v>45913</v>
      </c>
      <c r="C693" s="5" t="str">
        <f>TEXT(B693,"mmm")</f>
        <v>Sep</v>
      </c>
      <c r="D693" s="2" t="s">
        <v>266</v>
      </c>
      <c r="E693" s="2" t="s">
        <v>56</v>
      </c>
      <c r="F693" s="2" t="str" cm="1">
        <f t="array" ref="F6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693" s="2" t="str" cm="1">
        <f t="array" ref="G6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93" s="2" t="s">
        <v>49</v>
      </c>
      <c r="I693" s="2" t="s">
        <v>23</v>
      </c>
      <c r="J693" s="2">
        <v>4</v>
      </c>
      <c r="K693" s="8">
        <v>1299</v>
      </c>
      <c r="L693" s="3">
        <v>0.25</v>
      </c>
      <c r="M693" s="12">
        <f>K693*L693</f>
        <v>324.75</v>
      </c>
      <c r="N693" s="12">
        <f>K693*J693</f>
        <v>5196</v>
      </c>
      <c r="O693" s="12">
        <f>N693-M693</f>
        <v>4871.25</v>
      </c>
      <c r="P693" s="2" t="s">
        <v>30</v>
      </c>
      <c r="Q693" s="2" t="s">
        <v>50</v>
      </c>
      <c r="R693" s="2">
        <v>80</v>
      </c>
      <c r="S693" s="20">
        <f>Table1[[#This Row],[Net_revenue]]/Table1[[#This Row],[Gross_revenue]]*100%</f>
        <v>0.9375</v>
      </c>
      <c r="T693" s="18">
        <f>COUNTIFS(Table1[Customer ID], "&gt;1", Table1[Customer ID], 1)</f>
        <v>0</v>
      </c>
    </row>
    <row r="694" spans="1:20" hidden="1" x14ac:dyDescent="0.3">
      <c r="A694" s="2" t="s">
        <v>1199</v>
      </c>
      <c r="B694" s="5">
        <v>45669</v>
      </c>
      <c r="C694" s="5" t="str">
        <f>TEXT(B694,"mmm")</f>
        <v>Jan</v>
      </c>
      <c r="D694" s="2" t="s">
        <v>1146</v>
      </c>
      <c r="E694" s="2" t="s">
        <v>21</v>
      </c>
      <c r="F694" s="2" t="str" cm="1">
        <f t="array" ref="F6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94" s="2" t="str" cm="1">
        <f t="array" ref="G6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94" s="2" t="s">
        <v>80</v>
      </c>
      <c r="I694" s="2" t="s">
        <v>23</v>
      </c>
      <c r="J694" s="2">
        <v>1</v>
      </c>
      <c r="K694" s="8">
        <v>799</v>
      </c>
      <c r="L694" s="3">
        <v>0.25</v>
      </c>
      <c r="M694" s="12">
        <f>K694*L694</f>
        <v>199.75</v>
      </c>
      <c r="N694" s="12">
        <f>K694*J694</f>
        <v>799</v>
      </c>
      <c r="O694" s="12">
        <f>N694-M694</f>
        <v>599.25</v>
      </c>
      <c r="P694" s="2" t="s">
        <v>45</v>
      </c>
      <c r="Q694" s="2" t="s">
        <v>18</v>
      </c>
      <c r="R694" s="2">
        <v>80</v>
      </c>
      <c r="S694" s="20">
        <f>Table1[[#This Row],[Net_revenue]]/Table1[[#This Row],[Gross_revenue]]*100%</f>
        <v>0.75</v>
      </c>
      <c r="T694" s="18">
        <f>COUNTIFS(Table1[Customer ID], "&gt;1", Table1[Customer ID], 1)</f>
        <v>0</v>
      </c>
    </row>
    <row r="695" spans="1:20" hidden="1" x14ac:dyDescent="0.3">
      <c r="A695" s="2" t="s">
        <v>1200</v>
      </c>
      <c r="B695" s="5">
        <v>45946</v>
      </c>
      <c r="C695" s="5" t="str">
        <f>TEXT(B695,"mmm")</f>
        <v>Oct</v>
      </c>
      <c r="D695" s="2" t="s">
        <v>1201</v>
      </c>
      <c r="E695" s="2" t="s">
        <v>53</v>
      </c>
      <c r="F695" s="2" t="str" cm="1">
        <f t="array" ref="F6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695" s="2" t="str" cm="1">
        <f t="array" ref="G6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695" s="2" t="s">
        <v>41</v>
      </c>
      <c r="I695" s="2" t="s">
        <v>16</v>
      </c>
      <c r="J695" s="2">
        <v>1</v>
      </c>
      <c r="K695" s="8">
        <v>2299</v>
      </c>
      <c r="L695" s="3">
        <v>0.1</v>
      </c>
      <c r="M695" s="12">
        <f>K695*L695</f>
        <v>229.9</v>
      </c>
      <c r="N695" s="12">
        <f>K695*J695</f>
        <v>2299</v>
      </c>
      <c r="O695" s="12">
        <f>N695-M695</f>
        <v>2069.1</v>
      </c>
      <c r="P695" s="2" t="s">
        <v>45</v>
      </c>
      <c r="Q695" s="2" t="s">
        <v>50</v>
      </c>
      <c r="R695" s="2">
        <v>80</v>
      </c>
      <c r="S695" s="20">
        <f>Table1[[#This Row],[Net_revenue]]/Table1[[#This Row],[Gross_revenue]]*100%</f>
        <v>0.89999999999999991</v>
      </c>
      <c r="T695" s="18">
        <f>COUNTIFS(Table1[Customer ID], "&gt;1", Table1[Customer ID], 1)</f>
        <v>0</v>
      </c>
    </row>
    <row r="696" spans="1:20" hidden="1" x14ac:dyDescent="0.3">
      <c r="A696" s="2" t="s">
        <v>1202</v>
      </c>
      <c r="B696" s="5">
        <v>45905</v>
      </c>
      <c r="C696" s="5" t="str">
        <f>TEXT(B696,"mmm")</f>
        <v>Sep</v>
      </c>
      <c r="D696" s="2" t="s">
        <v>1041</v>
      </c>
      <c r="E696" s="2" t="s">
        <v>48</v>
      </c>
      <c r="F696" s="2" t="str" cm="1">
        <f t="array" ref="F6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696" s="2" t="str" cm="1">
        <f t="array" ref="G6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96" s="2" t="s">
        <v>68</v>
      </c>
      <c r="I696" s="2" t="s">
        <v>16</v>
      </c>
      <c r="J696" s="2">
        <v>2</v>
      </c>
      <c r="K696" s="8">
        <v>599</v>
      </c>
      <c r="L696" s="3">
        <v>0.1</v>
      </c>
      <c r="M696" s="12">
        <f>K696*L696</f>
        <v>59.900000000000006</v>
      </c>
      <c r="N696" s="12">
        <f>K696*J696</f>
        <v>1198</v>
      </c>
      <c r="O696" s="12">
        <f>N696-M696</f>
        <v>1138.0999999999999</v>
      </c>
      <c r="P696" s="2" t="s">
        <v>24</v>
      </c>
      <c r="Q696" s="2" t="s">
        <v>50</v>
      </c>
      <c r="R696" s="2">
        <v>0</v>
      </c>
      <c r="S696" s="20">
        <f>Table1[[#This Row],[Net_revenue]]/Table1[[#This Row],[Gross_revenue]]*100%</f>
        <v>0.95</v>
      </c>
      <c r="T696" s="18">
        <f>COUNTIFS(Table1[Customer ID], "&gt;1", Table1[Customer ID], 1)</f>
        <v>0</v>
      </c>
    </row>
    <row r="697" spans="1:20" hidden="1" x14ac:dyDescent="0.3">
      <c r="A697" s="2" t="s">
        <v>1203</v>
      </c>
      <c r="B697" s="5">
        <v>45741</v>
      </c>
      <c r="C697" s="5" t="str">
        <f>TEXT(B697,"mmm")</f>
        <v>Mar</v>
      </c>
      <c r="D697" s="2" t="s">
        <v>266</v>
      </c>
      <c r="E697" s="2" t="s">
        <v>27</v>
      </c>
      <c r="F697" s="2" t="str" cm="1">
        <f t="array" ref="F6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697" s="2" t="str" cm="1">
        <f t="array" ref="G6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697" s="2" t="s">
        <v>28</v>
      </c>
      <c r="I697" s="2" t="s">
        <v>29</v>
      </c>
      <c r="J697" s="2">
        <v>1</v>
      </c>
      <c r="K697" s="8">
        <v>2799</v>
      </c>
      <c r="L697" s="3">
        <v>0</v>
      </c>
      <c r="M697" s="12">
        <f>K697*L697</f>
        <v>0</v>
      </c>
      <c r="N697" s="12">
        <f>K697*J697</f>
        <v>2799</v>
      </c>
      <c r="O697" s="12">
        <f>N697-M697</f>
        <v>2799</v>
      </c>
      <c r="P697" s="2" t="s">
        <v>30</v>
      </c>
      <c r="Q697" s="2" t="s">
        <v>18</v>
      </c>
      <c r="R697" s="2">
        <v>80</v>
      </c>
      <c r="S697" s="20">
        <f>Table1[[#This Row],[Net_revenue]]/Table1[[#This Row],[Gross_revenue]]*100%</f>
        <v>1</v>
      </c>
      <c r="T697" s="18">
        <f>COUNTIFS(Table1[Customer ID], "&gt;1", Table1[Customer ID], 1)</f>
        <v>0</v>
      </c>
    </row>
    <row r="698" spans="1:20" hidden="1" x14ac:dyDescent="0.3">
      <c r="A698" s="2" t="s">
        <v>1204</v>
      </c>
      <c r="B698" s="5">
        <v>45937</v>
      </c>
      <c r="C698" s="5" t="str">
        <f>TEXT(B698,"mmm")</f>
        <v>Oct</v>
      </c>
      <c r="D698" s="2" t="s">
        <v>303</v>
      </c>
      <c r="E698" s="2" t="s">
        <v>21</v>
      </c>
      <c r="F698" s="2" t="str" cm="1">
        <f t="array" ref="F6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98" s="2" t="str" cm="1">
        <f t="array" ref="G6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98" s="2" t="s">
        <v>33</v>
      </c>
      <c r="I698" s="2" t="s">
        <v>16</v>
      </c>
      <c r="J698" s="2">
        <v>1</v>
      </c>
      <c r="K698" s="8">
        <v>899</v>
      </c>
      <c r="L698" s="3">
        <v>0.05</v>
      </c>
      <c r="M698" s="12">
        <f>K698*L698</f>
        <v>44.95</v>
      </c>
      <c r="N698" s="12">
        <f>K698*J698</f>
        <v>899</v>
      </c>
      <c r="O698" s="12">
        <f>N698-M698</f>
        <v>854.05</v>
      </c>
      <c r="P698" s="2" t="s">
        <v>17</v>
      </c>
      <c r="Q698" s="2" t="s">
        <v>18</v>
      </c>
      <c r="R698" s="2">
        <v>0</v>
      </c>
      <c r="S698" s="20">
        <f>Table1[[#This Row],[Net_revenue]]/Table1[[#This Row],[Gross_revenue]]*100%</f>
        <v>0.95</v>
      </c>
      <c r="T698" s="18">
        <f>COUNTIFS(Table1[Customer ID], "&gt;1", Table1[Customer ID], 1)</f>
        <v>0</v>
      </c>
    </row>
    <row r="699" spans="1:20" hidden="1" x14ac:dyDescent="0.3">
      <c r="A699" s="2" t="s">
        <v>1205</v>
      </c>
      <c r="B699" s="5">
        <v>45984</v>
      </c>
      <c r="C699" s="5" t="str">
        <f>TEXT(B699,"mmm")</f>
        <v>Nov</v>
      </c>
      <c r="D699" s="2" t="s">
        <v>1206</v>
      </c>
      <c r="E699" s="2" t="s">
        <v>21</v>
      </c>
      <c r="F699" s="2" t="str" cm="1">
        <f t="array" ref="F6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699" s="2" t="str" cm="1">
        <f t="array" ref="G6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699" s="2" t="s">
        <v>94</v>
      </c>
      <c r="I699" s="2" t="s">
        <v>95</v>
      </c>
      <c r="J699" s="2">
        <v>1</v>
      </c>
      <c r="K699" s="8">
        <v>399</v>
      </c>
      <c r="L699" s="3">
        <v>0.15</v>
      </c>
      <c r="M699" s="12">
        <f>K699*L699</f>
        <v>59.849999999999994</v>
      </c>
      <c r="N699" s="12">
        <f>K699*J699</f>
        <v>399</v>
      </c>
      <c r="O699" s="12">
        <f>N699-M699</f>
        <v>339.15</v>
      </c>
      <c r="P699" s="2" t="s">
        <v>45</v>
      </c>
      <c r="Q699" s="2" t="s">
        <v>18</v>
      </c>
      <c r="R699" s="2">
        <v>80</v>
      </c>
      <c r="S699" s="20">
        <f>Table1[[#This Row],[Net_revenue]]/Table1[[#This Row],[Gross_revenue]]*100%</f>
        <v>0.85</v>
      </c>
      <c r="T699" s="18">
        <f>COUNTIFS(Table1[Customer ID], "&gt;1", Table1[Customer ID], 1)</f>
        <v>0</v>
      </c>
    </row>
    <row r="700" spans="1:20" hidden="1" x14ac:dyDescent="0.3">
      <c r="A700" s="2" t="s">
        <v>1207</v>
      </c>
      <c r="B700" s="5">
        <v>45817</v>
      </c>
      <c r="C700" s="5" t="str">
        <f>TEXT(B700,"mmm")</f>
        <v>Jun</v>
      </c>
      <c r="D700" s="2" t="s">
        <v>430</v>
      </c>
      <c r="E700" s="2" t="s">
        <v>120</v>
      </c>
      <c r="F700" s="2" t="str" cm="1">
        <f t="array" ref="F7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00" s="2" t="str" cm="1">
        <f t="array" ref="G7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0" s="2" t="s">
        <v>44</v>
      </c>
      <c r="I700" s="2" t="s">
        <v>16</v>
      </c>
      <c r="J700" s="2">
        <v>2</v>
      </c>
      <c r="K700" s="8">
        <v>1599</v>
      </c>
      <c r="L700" s="3">
        <v>0.15</v>
      </c>
      <c r="M700" s="12">
        <f>K700*L700</f>
        <v>239.85</v>
      </c>
      <c r="N700" s="12">
        <f>K700*J700</f>
        <v>3198</v>
      </c>
      <c r="O700" s="12">
        <f>N700-M700</f>
        <v>2958.15</v>
      </c>
      <c r="P700" s="2" t="s">
        <v>45</v>
      </c>
      <c r="Q700" s="2" t="s">
        <v>18</v>
      </c>
      <c r="R700" s="2">
        <v>0</v>
      </c>
      <c r="S700" s="20">
        <f>Table1[[#This Row],[Net_revenue]]/Table1[[#This Row],[Gross_revenue]]*100%</f>
        <v>0.92500000000000004</v>
      </c>
      <c r="T700" s="18">
        <f>COUNTIFS(Table1[Customer ID], "&gt;1", Table1[Customer ID], 1)</f>
        <v>0</v>
      </c>
    </row>
    <row r="701" spans="1:20" hidden="1" x14ac:dyDescent="0.3">
      <c r="A701" s="2" t="s">
        <v>1208</v>
      </c>
      <c r="B701" s="5">
        <v>45745</v>
      </c>
      <c r="C701" s="5" t="str">
        <f>TEXT(B701,"mmm")</f>
        <v>Mar</v>
      </c>
      <c r="D701" s="2" t="s">
        <v>1209</v>
      </c>
      <c r="E701" s="2" t="s">
        <v>48</v>
      </c>
      <c r="F701" s="2" t="str" cm="1">
        <f t="array" ref="F7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01" s="2" t="str" cm="1">
        <f t="array" ref="G7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01" s="2" t="s">
        <v>80</v>
      </c>
      <c r="I701" s="2" t="s">
        <v>23</v>
      </c>
      <c r="J701" s="2">
        <v>1</v>
      </c>
      <c r="K701" s="8">
        <v>799</v>
      </c>
      <c r="L701" s="3">
        <v>0.1</v>
      </c>
      <c r="M701" s="12">
        <f>K701*L701</f>
        <v>79.900000000000006</v>
      </c>
      <c r="N701" s="12">
        <f>K701*J701</f>
        <v>799</v>
      </c>
      <c r="O701" s="12">
        <f>N701-M701</f>
        <v>719.1</v>
      </c>
      <c r="P701" s="2" t="s">
        <v>30</v>
      </c>
      <c r="Q701" s="2" t="s">
        <v>18</v>
      </c>
      <c r="R701" s="2">
        <v>60</v>
      </c>
      <c r="S701" s="20">
        <f>Table1[[#This Row],[Net_revenue]]/Table1[[#This Row],[Gross_revenue]]*100%</f>
        <v>0.9</v>
      </c>
      <c r="T701" s="18">
        <f>COUNTIFS(Table1[Customer ID], "&gt;1", Table1[Customer ID], 1)</f>
        <v>0</v>
      </c>
    </row>
    <row r="702" spans="1:20" hidden="1" x14ac:dyDescent="0.3">
      <c r="A702" s="2" t="s">
        <v>1210</v>
      </c>
      <c r="B702" s="5">
        <v>45793</v>
      </c>
      <c r="C702" s="5" t="str">
        <f>TEXT(B702,"mmm")</f>
        <v>May</v>
      </c>
      <c r="D702" s="2" t="s">
        <v>515</v>
      </c>
      <c r="E702" s="2" t="s">
        <v>75</v>
      </c>
      <c r="F702" s="2" t="str" cm="1">
        <f t="array" ref="F7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702" s="2" t="str" cm="1">
        <f t="array" ref="G7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2" s="2" t="s">
        <v>94</v>
      </c>
      <c r="I702" s="2" t="s">
        <v>95</v>
      </c>
      <c r="J702" s="2">
        <v>1</v>
      </c>
      <c r="K702" s="8">
        <v>399</v>
      </c>
      <c r="L702" s="3">
        <v>0.2</v>
      </c>
      <c r="M702" s="12">
        <f>K702*L702</f>
        <v>79.800000000000011</v>
      </c>
      <c r="N702" s="12">
        <f>K702*J702</f>
        <v>399</v>
      </c>
      <c r="O702" s="12">
        <f>N702-M702</f>
        <v>319.2</v>
      </c>
      <c r="P702" s="2" t="s">
        <v>45</v>
      </c>
      <c r="Q702" s="2" t="s">
        <v>18</v>
      </c>
      <c r="R702" s="2">
        <v>0</v>
      </c>
      <c r="S702" s="20">
        <f>Table1[[#This Row],[Net_revenue]]/Table1[[#This Row],[Gross_revenue]]*100%</f>
        <v>0.79999999999999993</v>
      </c>
      <c r="T702" s="18">
        <f>COUNTIFS(Table1[Customer ID], "&gt;1", Table1[Customer ID], 1)</f>
        <v>0</v>
      </c>
    </row>
    <row r="703" spans="1:20" hidden="1" x14ac:dyDescent="0.3">
      <c r="A703" s="2" t="s">
        <v>1211</v>
      </c>
      <c r="B703" s="5">
        <v>45786</v>
      </c>
      <c r="C703" s="5" t="str">
        <f>TEXT(B703,"mmm")</f>
        <v>May</v>
      </c>
      <c r="D703" s="2" t="s">
        <v>1212</v>
      </c>
      <c r="E703" s="2" t="s">
        <v>53</v>
      </c>
      <c r="F703" s="2" t="str" cm="1">
        <f t="array" ref="F7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703" s="2" t="str" cm="1">
        <f t="array" ref="G7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03" s="2" t="s">
        <v>36</v>
      </c>
      <c r="I703" s="2" t="s">
        <v>37</v>
      </c>
      <c r="J703" s="2">
        <v>1</v>
      </c>
      <c r="K703" s="8">
        <v>349</v>
      </c>
      <c r="L703" s="3">
        <v>0.1</v>
      </c>
      <c r="M703" s="12">
        <f>K703*L703</f>
        <v>34.9</v>
      </c>
      <c r="N703" s="12">
        <f>K703*J703</f>
        <v>349</v>
      </c>
      <c r="O703" s="12">
        <f>N703-M703</f>
        <v>314.10000000000002</v>
      </c>
      <c r="P703" s="2" t="s">
        <v>17</v>
      </c>
      <c r="Q703" s="2" t="s">
        <v>18</v>
      </c>
      <c r="R703" s="2">
        <v>40</v>
      </c>
      <c r="S703" s="20">
        <f>Table1[[#This Row],[Net_revenue]]/Table1[[#This Row],[Gross_revenue]]*100%</f>
        <v>0.9</v>
      </c>
      <c r="T703" s="18">
        <f>COUNTIFS(Table1[Customer ID], "&gt;1", Table1[Customer ID], 1)</f>
        <v>0</v>
      </c>
    </row>
    <row r="704" spans="1:20" hidden="1" x14ac:dyDescent="0.3">
      <c r="A704" s="2" t="s">
        <v>1213</v>
      </c>
      <c r="B704" s="5">
        <v>45659</v>
      </c>
      <c r="C704" s="5" t="str">
        <f>TEXT(B704,"mmm")</f>
        <v>Jan</v>
      </c>
      <c r="D704" s="2" t="s">
        <v>819</v>
      </c>
      <c r="E704" s="2" t="s">
        <v>21</v>
      </c>
      <c r="F704" s="2" t="str" cm="1">
        <f t="array" ref="F7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04" s="2" t="str" cm="1">
        <f t="array" ref="G7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4" s="2" t="s">
        <v>217</v>
      </c>
      <c r="I704" s="2" t="s">
        <v>29</v>
      </c>
      <c r="J704" s="2">
        <v>4</v>
      </c>
      <c r="K704" s="8">
        <v>3299</v>
      </c>
      <c r="L704" s="3">
        <v>0</v>
      </c>
      <c r="M704" s="12">
        <f>K704*L704</f>
        <v>0</v>
      </c>
      <c r="N704" s="12">
        <f>K704*J704</f>
        <v>13196</v>
      </c>
      <c r="O704" s="12">
        <f>N704-M704</f>
        <v>13196</v>
      </c>
      <c r="P704" s="2" t="s">
        <v>45</v>
      </c>
      <c r="Q704" s="2" t="s">
        <v>18</v>
      </c>
      <c r="R704" s="2">
        <v>80</v>
      </c>
      <c r="S704" s="20">
        <f>Table1[[#This Row],[Net_revenue]]/Table1[[#This Row],[Gross_revenue]]*100%</f>
        <v>1</v>
      </c>
      <c r="T704" s="18">
        <f>COUNTIFS(Table1[Customer ID], "&gt;1", Table1[Customer ID], 1)</f>
        <v>0</v>
      </c>
    </row>
    <row r="705" spans="1:20" hidden="1" x14ac:dyDescent="0.3">
      <c r="A705" s="2" t="s">
        <v>1214</v>
      </c>
      <c r="B705" s="5">
        <v>45934</v>
      </c>
      <c r="C705" s="5" t="str">
        <f>TEXT(B705,"mmm")</f>
        <v>Oct</v>
      </c>
      <c r="D705" s="2" t="s">
        <v>1215</v>
      </c>
      <c r="E705" s="2" t="s">
        <v>21</v>
      </c>
      <c r="F705" s="2" t="str" cm="1">
        <f t="array" ref="F7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05" s="2" t="str" cm="1">
        <f t="array" ref="G7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5" s="2" t="s">
        <v>49</v>
      </c>
      <c r="I705" s="2" t="s">
        <v>23</v>
      </c>
      <c r="J705" s="2">
        <v>2</v>
      </c>
      <c r="K705" s="8">
        <v>1299</v>
      </c>
      <c r="L705" s="3">
        <v>0.05</v>
      </c>
      <c r="M705" s="12">
        <f>K705*L705</f>
        <v>64.95</v>
      </c>
      <c r="N705" s="12">
        <f>K705*J705</f>
        <v>2598</v>
      </c>
      <c r="O705" s="12">
        <f>N705-M705</f>
        <v>2533.0500000000002</v>
      </c>
      <c r="P705" s="2" t="s">
        <v>24</v>
      </c>
      <c r="Q705" s="2" t="s">
        <v>18</v>
      </c>
      <c r="R705" s="2">
        <v>0</v>
      </c>
      <c r="S705" s="20">
        <f>Table1[[#This Row],[Net_revenue]]/Table1[[#This Row],[Gross_revenue]]*100%</f>
        <v>0.97500000000000009</v>
      </c>
      <c r="T705" s="18">
        <f>COUNTIFS(Table1[Customer ID], "&gt;1", Table1[Customer ID], 1)</f>
        <v>0</v>
      </c>
    </row>
    <row r="706" spans="1:20" hidden="1" x14ac:dyDescent="0.3">
      <c r="A706" s="2" t="s">
        <v>1216</v>
      </c>
      <c r="B706" s="5">
        <v>45988</v>
      </c>
      <c r="C706" s="5" t="str">
        <f>TEXT(B706,"mmm")</f>
        <v>Nov</v>
      </c>
      <c r="D706" s="2" t="s">
        <v>327</v>
      </c>
      <c r="E706" s="2" t="s">
        <v>21</v>
      </c>
      <c r="F706" s="2" t="str" cm="1">
        <f t="array" ref="F7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06" s="2" t="str" cm="1">
        <f t="array" ref="G7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6" s="2" t="s">
        <v>65</v>
      </c>
      <c r="I706" s="2" t="s">
        <v>23</v>
      </c>
      <c r="J706" s="2">
        <v>2</v>
      </c>
      <c r="K706" s="8">
        <v>1899</v>
      </c>
      <c r="L706" s="3">
        <v>0.1</v>
      </c>
      <c r="M706" s="12">
        <f>K706*L706</f>
        <v>189.9</v>
      </c>
      <c r="N706" s="12">
        <f>K706*J706</f>
        <v>3798</v>
      </c>
      <c r="O706" s="12">
        <f>N706-M706</f>
        <v>3608.1</v>
      </c>
      <c r="P706" s="2" t="s">
        <v>17</v>
      </c>
      <c r="Q706" s="2" t="s">
        <v>72</v>
      </c>
      <c r="R706" s="2">
        <v>80</v>
      </c>
      <c r="S706" s="20">
        <f>Table1[[#This Row],[Net_revenue]]/Table1[[#This Row],[Gross_revenue]]*100%</f>
        <v>0.95</v>
      </c>
      <c r="T706" s="18">
        <f>COUNTIFS(Table1[Customer ID], "&gt;1", Table1[Customer ID], 1)</f>
        <v>0</v>
      </c>
    </row>
    <row r="707" spans="1:20" hidden="1" x14ac:dyDescent="0.3">
      <c r="A707" s="2" t="s">
        <v>1217</v>
      </c>
      <c r="B707" s="5">
        <v>45908</v>
      </c>
      <c r="C707" s="5" t="str">
        <f>TEXT(B707,"mmm")</f>
        <v>Sep</v>
      </c>
      <c r="D707" s="2" t="s">
        <v>787</v>
      </c>
      <c r="E707" s="2" t="s">
        <v>21</v>
      </c>
      <c r="F707" s="2" t="str" cm="1">
        <f t="array" ref="F7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07" s="2" t="str" cm="1">
        <f t="array" ref="G7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07" s="2" t="s">
        <v>15</v>
      </c>
      <c r="I707" s="2" t="s">
        <v>16</v>
      </c>
      <c r="J707" s="2">
        <v>1</v>
      </c>
      <c r="K707" s="8">
        <v>1799</v>
      </c>
      <c r="L707" s="3">
        <v>0.1</v>
      </c>
      <c r="M707" s="12">
        <f>K707*L707</f>
        <v>179.9</v>
      </c>
      <c r="N707" s="12">
        <f>K707*J707</f>
        <v>1799</v>
      </c>
      <c r="O707" s="12">
        <f>N707-M707</f>
        <v>1619.1</v>
      </c>
      <c r="P707" s="2" t="s">
        <v>45</v>
      </c>
      <c r="Q707" s="2" t="s">
        <v>18</v>
      </c>
      <c r="R707" s="2">
        <v>0</v>
      </c>
      <c r="S707" s="20">
        <f>Table1[[#This Row],[Net_revenue]]/Table1[[#This Row],[Gross_revenue]]*100%</f>
        <v>0.89999999999999991</v>
      </c>
      <c r="T707" s="18">
        <f>COUNTIFS(Table1[Customer ID], "&gt;1", Table1[Customer ID], 1)</f>
        <v>0</v>
      </c>
    </row>
    <row r="708" spans="1:20" hidden="1" x14ac:dyDescent="0.3">
      <c r="A708" s="2" t="s">
        <v>1218</v>
      </c>
      <c r="B708" s="5">
        <v>45928</v>
      </c>
      <c r="C708" s="5" t="str">
        <f>TEXT(B708,"mmm")</f>
        <v>Sep</v>
      </c>
      <c r="D708" s="2" t="s">
        <v>800</v>
      </c>
      <c r="E708" s="2" t="s">
        <v>27</v>
      </c>
      <c r="F708" s="2" t="str" cm="1">
        <f t="array" ref="F7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08" s="2" t="str" cm="1">
        <f t="array" ref="G7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08" s="2" t="s">
        <v>117</v>
      </c>
      <c r="I708" s="2" t="s">
        <v>23</v>
      </c>
      <c r="J708" s="2">
        <v>4</v>
      </c>
      <c r="K708" s="8">
        <v>2199</v>
      </c>
      <c r="L708" s="3">
        <v>0.1</v>
      </c>
      <c r="M708" s="12">
        <f>K708*L708</f>
        <v>219.9</v>
      </c>
      <c r="N708" s="12">
        <f>K708*J708</f>
        <v>8796</v>
      </c>
      <c r="O708" s="12">
        <f>N708-M708</f>
        <v>8576.1</v>
      </c>
      <c r="P708" s="2" t="s">
        <v>45</v>
      </c>
      <c r="Q708" s="2" t="s">
        <v>18</v>
      </c>
      <c r="R708" s="2">
        <v>60</v>
      </c>
      <c r="S708" s="20">
        <f>Table1[[#This Row],[Net_revenue]]/Table1[[#This Row],[Gross_revenue]]*100%</f>
        <v>0.97500000000000009</v>
      </c>
      <c r="T708" s="18">
        <f>COUNTIFS(Table1[Customer ID], "&gt;1", Table1[Customer ID], 1)</f>
        <v>0</v>
      </c>
    </row>
    <row r="709" spans="1:20" hidden="1" x14ac:dyDescent="0.3">
      <c r="A709" s="2" t="s">
        <v>1219</v>
      </c>
      <c r="B709" s="5">
        <v>45664</v>
      </c>
      <c r="C709" s="5" t="str">
        <f>TEXT(B709,"mmm")</f>
        <v>Jan</v>
      </c>
      <c r="D709" s="2" t="s">
        <v>364</v>
      </c>
      <c r="E709" s="2" t="s">
        <v>56</v>
      </c>
      <c r="F709" s="2" t="str" cm="1">
        <f t="array" ref="F7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09" s="2" t="str" cm="1">
        <f t="array" ref="G7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09" s="2" t="s">
        <v>117</v>
      </c>
      <c r="I709" s="2" t="s">
        <v>23</v>
      </c>
      <c r="J709" s="2">
        <v>1</v>
      </c>
      <c r="K709" s="8">
        <v>2199</v>
      </c>
      <c r="L709" s="3">
        <v>0.1</v>
      </c>
      <c r="M709" s="12">
        <f>K709*L709</f>
        <v>219.9</v>
      </c>
      <c r="N709" s="12">
        <f>K709*J709</f>
        <v>2199</v>
      </c>
      <c r="O709" s="12">
        <f>N709-M709</f>
        <v>1979.1</v>
      </c>
      <c r="P709" s="2" t="s">
        <v>45</v>
      </c>
      <c r="Q709" s="2" t="s">
        <v>18</v>
      </c>
      <c r="R709" s="2">
        <v>40</v>
      </c>
      <c r="S709" s="20">
        <f>Table1[[#This Row],[Net_revenue]]/Table1[[#This Row],[Gross_revenue]]*100%</f>
        <v>0.89999999999999991</v>
      </c>
      <c r="T709" s="18">
        <f>COUNTIFS(Table1[Customer ID], "&gt;1", Table1[Customer ID], 1)</f>
        <v>0</v>
      </c>
    </row>
    <row r="710" spans="1:20" hidden="1" x14ac:dyDescent="0.3">
      <c r="A710" s="2" t="s">
        <v>1220</v>
      </c>
      <c r="B710" s="5">
        <v>45692</v>
      </c>
      <c r="C710" s="5" t="str">
        <f>TEXT(B710,"mmm")</f>
        <v>Feb</v>
      </c>
      <c r="D710" s="2" t="s">
        <v>874</v>
      </c>
      <c r="E710" s="2" t="s">
        <v>27</v>
      </c>
      <c r="F710" s="2" t="str" cm="1">
        <f t="array" ref="F7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10" s="2" t="str" cm="1">
        <f t="array" ref="G7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10" s="2" t="s">
        <v>22</v>
      </c>
      <c r="I710" s="2" t="s">
        <v>23</v>
      </c>
      <c r="J710" s="2">
        <v>1</v>
      </c>
      <c r="K710" s="8">
        <v>3999</v>
      </c>
      <c r="L710" s="3">
        <v>0.1</v>
      </c>
      <c r="M710" s="12">
        <f>K710*L710</f>
        <v>399.90000000000003</v>
      </c>
      <c r="N710" s="12">
        <f>K710*J710</f>
        <v>3999</v>
      </c>
      <c r="O710" s="12">
        <f>N710-M710</f>
        <v>3599.1</v>
      </c>
      <c r="P710" s="2" t="s">
        <v>45</v>
      </c>
      <c r="Q710" s="2" t="s">
        <v>18</v>
      </c>
      <c r="R710" s="2">
        <v>40</v>
      </c>
      <c r="S710" s="20">
        <f>Table1[[#This Row],[Net_revenue]]/Table1[[#This Row],[Gross_revenue]]*100%</f>
        <v>0.9</v>
      </c>
      <c r="T710" s="18">
        <f>COUNTIFS(Table1[Customer ID], "&gt;1", Table1[Customer ID], 1)</f>
        <v>0</v>
      </c>
    </row>
    <row r="711" spans="1:20" hidden="1" x14ac:dyDescent="0.3">
      <c r="A711" s="2" t="s">
        <v>1221</v>
      </c>
      <c r="B711" s="5">
        <v>45662</v>
      </c>
      <c r="C711" s="5" t="str">
        <f>TEXT(B711,"mmm")</f>
        <v>Jan</v>
      </c>
      <c r="D711" s="2" t="s">
        <v>1222</v>
      </c>
      <c r="E711" s="2" t="s">
        <v>27</v>
      </c>
      <c r="F711" s="2" t="str" cm="1">
        <f t="array" ref="F7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11" s="2" t="str" cm="1">
        <f t="array" ref="G7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11" s="2" t="s">
        <v>68</v>
      </c>
      <c r="I711" s="2" t="s">
        <v>16</v>
      </c>
      <c r="J711" s="2">
        <v>1</v>
      </c>
      <c r="K711" s="8">
        <v>599</v>
      </c>
      <c r="L711" s="3">
        <v>0</v>
      </c>
      <c r="M711" s="12">
        <f>K711*L711</f>
        <v>0</v>
      </c>
      <c r="N711" s="12">
        <f>K711*J711</f>
        <v>599</v>
      </c>
      <c r="O711" s="12">
        <f>N711-M711</f>
        <v>599</v>
      </c>
      <c r="P711" s="2" t="s">
        <v>17</v>
      </c>
      <c r="Q711" s="2" t="s">
        <v>18</v>
      </c>
      <c r="R711" s="2">
        <v>60</v>
      </c>
      <c r="S711" s="20">
        <f>Table1[[#This Row],[Net_revenue]]/Table1[[#This Row],[Gross_revenue]]*100%</f>
        <v>1</v>
      </c>
      <c r="T711" s="18">
        <f>COUNTIFS(Table1[Customer ID], "&gt;1", Table1[Customer ID], 1)</f>
        <v>0</v>
      </c>
    </row>
    <row r="712" spans="1:20" hidden="1" x14ac:dyDescent="0.3">
      <c r="A712" s="2" t="s">
        <v>1223</v>
      </c>
      <c r="B712" s="5">
        <v>45762</v>
      </c>
      <c r="C712" s="5" t="str">
        <f>TEXT(B712,"mmm")</f>
        <v>Apr</v>
      </c>
      <c r="D712" s="2" t="s">
        <v>1224</v>
      </c>
      <c r="E712" s="2" t="s">
        <v>14</v>
      </c>
      <c r="F712" s="2" t="str" cm="1">
        <f t="array" ref="F7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12" s="2" t="str" cm="1">
        <f t="array" ref="G7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12" s="2" t="s">
        <v>28</v>
      </c>
      <c r="I712" s="2" t="s">
        <v>29</v>
      </c>
      <c r="J712" s="2">
        <v>2</v>
      </c>
      <c r="K712" s="8">
        <v>2799</v>
      </c>
      <c r="L712" s="3">
        <v>0.1</v>
      </c>
      <c r="M712" s="12">
        <f>K712*L712</f>
        <v>279.90000000000003</v>
      </c>
      <c r="N712" s="12">
        <f>K712*J712</f>
        <v>5598</v>
      </c>
      <c r="O712" s="12">
        <f>N712-M712</f>
        <v>5318.1</v>
      </c>
      <c r="P712" s="2" t="s">
        <v>45</v>
      </c>
      <c r="Q712" s="2" t="s">
        <v>72</v>
      </c>
      <c r="R712" s="2">
        <v>0</v>
      </c>
      <c r="S712" s="20">
        <f>Table1[[#This Row],[Net_revenue]]/Table1[[#This Row],[Gross_revenue]]*100%</f>
        <v>0.95000000000000007</v>
      </c>
      <c r="T712" s="18">
        <f>COUNTIFS(Table1[Customer ID], "&gt;1", Table1[Customer ID], 1)</f>
        <v>0</v>
      </c>
    </row>
    <row r="713" spans="1:20" hidden="1" x14ac:dyDescent="0.3">
      <c r="A713" s="2" t="s">
        <v>1225</v>
      </c>
      <c r="B713" s="5">
        <v>45871</v>
      </c>
      <c r="C713" s="5" t="str">
        <f>TEXT(B713,"mmm")</f>
        <v>Aug</v>
      </c>
      <c r="D713" s="2" t="s">
        <v>781</v>
      </c>
      <c r="E713" s="2" t="s">
        <v>53</v>
      </c>
      <c r="F713" s="2" t="str" cm="1">
        <f t="array" ref="F7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713" s="2" t="str" cm="1">
        <f t="array" ref="G7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13" s="2" t="s">
        <v>44</v>
      </c>
      <c r="I713" s="2" t="s">
        <v>16</v>
      </c>
      <c r="J713" s="2">
        <v>2</v>
      </c>
      <c r="K713" s="8">
        <v>1599</v>
      </c>
      <c r="L713" s="3">
        <v>0.25</v>
      </c>
      <c r="M713" s="12">
        <f>K713*L713</f>
        <v>399.75</v>
      </c>
      <c r="N713" s="12">
        <f>K713*J713</f>
        <v>3198</v>
      </c>
      <c r="O713" s="12">
        <f>N713-M713</f>
        <v>2798.25</v>
      </c>
      <c r="P713" s="2" t="s">
        <v>45</v>
      </c>
      <c r="Q713" s="2" t="s">
        <v>18</v>
      </c>
      <c r="R713" s="2">
        <v>80</v>
      </c>
      <c r="S713" s="20">
        <f>Table1[[#This Row],[Net_revenue]]/Table1[[#This Row],[Gross_revenue]]*100%</f>
        <v>0.875</v>
      </c>
      <c r="T713" s="18">
        <f>COUNTIFS(Table1[Customer ID], "&gt;1", Table1[Customer ID], 1)</f>
        <v>0</v>
      </c>
    </row>
    <row r="714" spans="1:20" hidden="1" x14ac:dyDescent="0.3">
      <c r="A714" s="2" t="s">
        <v>1226</v>
      </c>
      <c r="B714" s="5">
        <v>45945</v>
      </c>
      <c r="C714" s="5" t="str">
        <f>TEXT(B714,"mmm")</f>
        <v>Oct</v>
      </c>
      <c r="D714" s="2" t="s">
        <v>653</v>
      </c>
      <c r="E714" s="2" t="s">
        <v>21</v>
      </c>
      <c r="F714" s="2" t="str" cm="1">
        <f t="array" ref="F7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14" s="2" t="str" cm="1">
        <f t="array" ref="G7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14" s="2" t="s">
        <v>80</v>
      </c>
      <c r="I714" s="2" t="s">
        <v>23</v>
      </c>
      <c r="J714" s="2">
        <v>1</v>
      </c>
      <c r="K714" s="8">
        <v>799</v>
      </c>
      <c r="L714" s="3">
        <v>0</v>
      </c>
      <c r="M714" s="12">
        <f>K714*L714</f>
        <v>0</v>
      </c>
      <c r="N714" s="12">
        <f>K714*J714</f>
        <v>799</v>
      </c>
      <c r="O714" s="12">
        <f>N714-M714</f>
        <v>799</v>
      </c>
      <c r="P714" s="2" t="s">
        <v>17</v>
      </c>
      <c r="Q714" s="2" t="s">
        <v>18</v>
      </c>
      <c r="R714" s="2">
        <v>40</v>
      </c>
      <c r="S714" s="20">
        <f>Table1[[#This Row],[Net_revenue]]/Table1[[#This Row],[Gross_revenue]]*100%</f>
        <v>1</v>
      </c>
      <c r="T714" s="18">
        <f>COUNTIFS(Table1[Customer ID], "&gt;1", Table1[Customer ID], 1)</f>
        <v>0</v>
      </c>
    </row>
    <row r="715" spans="1:20" hidden="1" x14ac:dyDescent="0.3">
      <c r="A715" s="2" t="s">
        <v>1227</v>
      </c>
      <c r="B715" s="5">
        <v>45995</v>
      </c>
      <c r="C715" s="5" t="str">
        <f>TEXT(B715,"mmm")</f>
        <v>Dec</v>
      </c>
      <c r="D715" s="2" t="s">
        <v>1228</v>
      </c>
      <c r="E715" s="2" t="s">
        <v>56</v>
      </c>
      <c r="F715" s="2" t="str" cm="1">
        <f t="array" ref="F7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15" s="2" t="str" cm="1">
        <f t="array" ref="G7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15" s="2" t="s">
        <v>107</v>
      </c>
      <c r="I715" s="2" t="s">
        <v>95</v>
      </c>
      <c r="J715" s="2">
        <v>1</v>
      </c>
      <c r="K715" s="8">
        <v>1599</v>
      </c>
      <c r="L715" s="3">
        <v>0.15</v>
      </c>
      <c r="M715" s="12">
        <f>K715*L715</f>
        <v>239.85</v>
      </c>
      <c r="N715" s="12">
        <f>K715*J715</f>
        <v>1599</v>
      </c>
      <c r="O715" s="12">
        <f>N715-M715</f>
        <v>1359.15</v>
      </c>
      <c r="P715" s="2" t="s">
        <v>17</v>
      </c>
      <c r="Q715" s="2" t="s">
        <v>18</v>
      </c>
      <c r="R715" s="2">
        <v>0</v>
      </c>
      <c r="S715" s="20">
        <f>Table1[[#This Row],[Net_revenue]]/Table1[[#This Row],[Gross_revenue]]*100%</f>
        <v>0.85000000000000009</v>
      </c>
      <c r="T715" s="18">
        <f>COUNTIFS(Table1[Customer ID], "&gt;1", Table1[Customer ID], 1)</f>
        <v>0</v>
      </c>
    </row>
    <row r="716" spans="1:20" hidden="1" x14ac:dyDescent="0.3">
      <c r="A716" s="2" t="s">
        <v>1229</v>
      </c>
      <c r="B716" s="5">
        <v>45837</v>
      </c>
      <c r="C716" s="5" t="str">
        <f>TEXT(B716,"mmm")</f>
        <v>Jun</v>
      </c>
      <c r="D716" s="2" t="s">
        <v>373</v>
      </c>
      <c r="E716" s="2" t="s">
        <v>53</v>
      </c>
      <c r="F716" s="2" t="str" cm="1">
        <f t="array" ref="F7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716" s="2" t="str" cm="1">
        <f t="array" ref="G7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16" s="2" t="s">
        <v>65</v>
      </c>
      <c r="I716" s="2" t="s">
        <v>23</v>
      </c>
      <c r="J716" s="2">
        <v>2</v>
      </c>
      <c r="K716" s="8">
        <v>1899</v>
      </c>
      <c r="L716" s="3">
        <v>0.05</v>
      </c>
      <c r="M716" s="12">
        <f>K716*L716</f>
        <v>94.95</v>
      </c>
      <c r="N716" s="12">
        <f>K716*J716</f>
        <v>3798</v>
      </c>
      <c r="O716" s="12">
        <f>N716-M716</f>
        <v>3703.05</v>
      </c>
      <c r="P716" s="2" t="s">
        <v>30</v>
      </c>
      <c r="Q716" s="2" t="s">
        <v>18</v>
      </c>
      <c r="R716" s="2">
        <v>0</v>
      </c>
      <c r="S716" s="20">
        <f>Table1[[#This Row],[Net_revenue]]/Table1[[#This Row],[Gross_revenue]]*100%</f>
        <v>0.97500000000000009</v>
      </c>
      <c r="T716" s="18">
        <f>COUNTIFS(Table1[Customer ID], "&gt;1", Table1[Customer ID], 1)</f>
        <v>0</v>
      </c>
    </row>
    <row r="717" spans="1:20" hidden="1" x14ac:dyDescent="0.3">
      <c r="A717" s="2" t="s">
        <v>1230</v>
      </c>
      <c r="B717" s="5">
        <v>45682</v>
      </c>
      <c r="C717" s="5" t="str">
        <f>TEXT(B717,"mmm")</f>
        <v>Jan</v>
      </c>
      <c r="D717" s="2" t="s">
        <v>1231</v>
      </c>
      <c r="E717" s="2" t="s">
        <v>195</v>
      </c>
      <c r="F717" s="2" t="str" cm="1">
        <f t="array" ref="F7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717" s="2" t="str" cm="1">
        <f t="array" ref="G7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17" s="2" t="s">
        <v>80</v>
      </c>
      <c r="I717" s="2" t="s">
        <v>23</v>
      </c>
      <c r="J717" s="2">
        <v>3</v>
      </c>
      <c r="K717" s="8">
        <v>799</v>
      </c>
      <c r="L717" s="3">
        <v>0.1</v>
      </c>
      <c r="M717" s="12">
        <f>K717*L717</f>
        <v>79.900000000000006</v>
      </c>
      <c r="N717" s="12">
        <f>K717*J717</f>
        <v>2397</v>
      </c>
      <c r="O717" s="12">
        <f>N717-M717</f>
        <v>2317.1</v>
      </c>
      <c r="P717" s="2" t="s">
        <v>45</v>
      </c>
      <c r="Q717" s="2" t="s">
        <v>72</v>
      </c>
      <c r="R717" s="2">
        <v>40</v>
      </c>
      <c r="S717" s="20">
        <f>Table1[[#This Row],[Net_revenue]]/Table1[[#This Row],[Gross_revenue]]*100%</f>
        <v>0.96666666666666667</v>
      </c>
      <c r="T717" s="18">
        <f>COUNTIFS(Table1[Customer ID], "&gt;1", Table1[Customer ID], 1)</f>
        <v>0</v>
      </c>
    </row>
    <row r="718" spans="1:20" hidden="1" x14ac:dyDescent="0.3">
      <c r="A718" s="2" t="s">
        <v>1232</v>
      </c>
      <c r="B718" s="5">
        <v>45836</v>
      </c>
      <c r="C718" s="5" t="str">
        <f>TEXT(B718,"mmm")</f>
        <v>Jun</v>
      </c>
      <c r="D718" s="2" t="s">
        <v>1233</v>
      </c>
      <c r="E718" s="2" t="s">
        <v>48</v>
      </c>
      <c r="F718" s="2" t="str" cm="1">
        <f t="array" ref="F7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18" s="2" t="str" cm="1">
        <f t="array" ref="G7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18" s="2" t="s">
        <v>121</v>
      </c>
      <c r="I718" s="2" t="s">
        <v>95</v>
      </c>
      <c r="J718" s="2">
        <v>2</v>
      </c>
      <c r="K718" s="8">
        <v>1299</v>
      </c>
      <c r="L718" s="3">
        <v>0.25</v>
      </c>
      <c r="M718" s="12">
        <f>K718*L718</f>
        <v>324.75</v>
      </c>
      <c r="N718" s="12">
        <f>K718*J718</f>
        <v>2598</v>
      </c>
      <c r="O718" s="12">
        <f>N718-M718</f>
        <v>2273.25</v>
      </c>
      <c r="P718" s="2" t="s">
        <v>30</v>
      </c>
      <c r="Q718" s="2" t="s">
        <v>18</v>
      </c>
      <c r="R718" s="2">
        <v>0</v>
      </c>
      <c r="S718" s="20">
        <f>Table1[[#This Row],[Net_revenue]]/Table1[[#This Row],[Gross_revenue]]*100%</f>
        <v>0.875</v>
      </c>
      <c r="T718" s="18">
        <f>COUNTIFS(Table1[Customer ID], "&gt;1", Table1[Customer ID], 1)</f>
        <v>0</v>
      </c>
    </row>
    <row r="719" spans="1:20" hidden="1" x14ac:dyDescent="0.3">
      <c r="A719" s="2" t="s">
        <v>1234</v>
      </c>
      <c r="B719" s="5">
        <v>45876</v>
      </c>
      <c r="C719" s="5" t="str">
        <f>TEXT(B719,"mmm")</f>
        <v>Aug</v>
      </c>
      <c r="D719" s="2" t="s">
        <v>187</v>
      </c>
      <c r="E719" s="2" t="s">
        <v>56</v>
      </c>
      <c r="F719" s="2" t="str" cm="1">
        <f t="array" ref="F7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19" s="2" t="str" cm="1">
        <f t="array" ref="G7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19" s="2" t="s">
        <v>63</v>
      </c>
      <c r="I719" s="2" t="s">
        <v>23</v>
      </c>
      <c r="J719" s="2">
        <v>1</v>
      </c>
      <c r="K719" s="8">
        <v>2499</v>
      </c>
      <c r="L719" s="3">
        <v>0.05</v>
      </c>
      <c r="M719" s="12">
        <f>K719*L719</f>
        <v>124.95</v>
      </c>
      <c r="N719" s="12">
        <f>K719*J719</f>
        <v>2499</v>
      </c>
      <c r="O719" s="12">
        <f>N719-M719</f>
        <v>2374.0500000000002</v>
      </c>
      <c r="P719" s="2" t="s">
        <v>24</v>
      </c>
      <c r="Q719" s="2" t="s">
        <v>50</v>
      </c>
      <c r="R719" s="2">
        <v>60</v>
      </c>
      <c r="S719" s="20">
        <f>Table1[[#This Row],[Net_revenue]]/Table1[[#This Row],[Gross_revenue]]*100%</f>
        <v>0.95000000000000007</v>
      </c>
      <c r="T719" s="18">
        <f>COUNTIFS(Table1[Customer ID], "&gt;1", Table1[Customer ID], 1)</f>
        <v>0</v>
      </c>
    </row>
    <row r="720" spans="1:20" hidden="1" x14ac:dyDescent="0.3">
      <c r="A720" s="2" t="s">
        <v>1235</v>
      </c>
      <c r="B720" s="5">
        <v>45970</v>
      </c>
      <c r="C720" s="5" t="str">
        <f>TEXT(B720,"mmm")</f>
        <v>Nov</v>
      </c>
      <c r="D720" s="2" t="s">
        <v>826</v>
      </c>
      <c r="E720" s="2" t="s">
        <v>56</v>
      </c>
      <c r="F720" s="2" t="str" cm="1">
        <f t="array" ref="F7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20" s="2" t="str" cm="1">
        <f t="array" ref="G7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0" s="2" t="s">
        <v>68</v>
      </c>
      <c r="I720" s="2" t="s">
        <v>16</v>
      </c>
      <c r="J720" s="2">
        <v>3</v>
      </c>
      <c r="K720" s="8">
        <v>599</v>
      </c>
      <c r="L720" s="3">
        <v>0.25</v>
      </c>
      <c r="M720" s="12">
        <f>K720*L720</f>
        <v>149.75</v>
      </c>
      <c r="N720" s="12">
        <f>K720*J720</f>
        <v>1797</v>
      </c>
      <c r="O720" s="12">
        <f>N720-M720</f>
        <v>1647.25</v>
      </c>
      <c r="P720" s="2" t="s">
        <v>45</v>
      </c>
      <c r="Q720" s="2" t="s">
        <v>18</v>
      </c>
      <c r="R720" s="2">
        <v>80</v>
      </c>
      <c r="S720" s="20">
        <f>Table1[[#This Row],[Net_revenue]]/Table1[[#This Row],[Gross_revenue]]*100%</f>
        <v>0.91666666666666663</v>
      </c>
      <c r="T720" s="18">
        <f>COUNTIFS(Table1[Customer ID], "&gt;1", Table1[Customer ID], 1)</f>
        <v>0</v>
      </c>
    </row>
    <row r="721" spans="1:20" hidden="1" x14ac:dyDescent="0.3">
      <c r="A721" s="2" t="s">
        <v>1236</v>
      </c>
      <c r="B721" s="5">
        <v>45949</v>
      </c>
      <c r="C721" s="5" t="str">
        <f>TEXT(B721,"mmm")</f>
        <v>Oct</v>
      </c>
      <c r="D721" s="2" t="s">
        <v>926</v>
      </c>
      <c r="E721" s="2" t="s">
        <v>14</v>
      </c>
      <c r="F721" s="2" t="str" cm="1">
        <f t="array" ref="F7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21" s="2" t="str" cm="1">
        <f t="array" ref="G7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21" s="2" t="s">
        <v>28</v>
      </c>
      <c r="I721" s="2" t="s">
        <v>29</v>
      </c>
      <c r="J721" s="2">
        <v>1</v>
      </c>
      <c r="K721" s="8">
        <v>2799</v>
      </c>
      <c r="L721" s="3">
        <v>0</v>
      </c>
      <c r="M721" s="12">
        <f>K721*L721</f>
        <v>0</v>
      </c>
      <c r="N721" s="12">
        <f>K721*J721</f>
        <v>2799</v>
      </c>
      <c r="O721" s="12">
        <f>N721-M721</f>
        <v>2799</v>
      </c>
      <c r="P721" s="2" t="s">
        <v>45</v>
      </c>
      <c r="Q721" s="2" t="s">
        <v>18</v>
      </c>
      <c r="R721" s="2">
        <v>60</v>
      </c>
      <c r="S721" s="20">
        <f>Table1[[#This Row],[Net_revenue]]/Table1[[#This Row],[Gross_revenue]]*100%</f>
        <v>1</v>
      </c>
      <c r="T721" s="18">
        <f>COUNTIFS(Table1[Customer ID], "&gt;1", Table1[Customer ID], 1)</f>
        <v>0</v>
      </c>
    </row>
    <row r="722" spans="1:20" hidden="1" x14ac:dyDescent="0.3">
      <c r="A722" s="2" t="s">
        <v>1237</v>
      </c>
      <c r="B722" s="5">
        <v>45943</v>
      </c>
      <c r="C722" s="5" t="str">
        <f>TEXT(B722,"mmm")</f>
        <v>Oct</v>
      </c>
      <c r="D722" s="2" t="s">
        <v>1238</v>
      </c>
      <c r="E722" s="2" t="s">
        <v>21</v>
      </c>
      <c r="F722" s="2" t="str" cm="1">
        <f t="array" ref="F7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22" s="2" t="str" cm="1">
        <f t="array" ref="G7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22" s="2" t="s">
        <v>63</v>
      </c>
      <c r="I722" s="2" t="s">
        <v>23</v>
      </c>
      <c r="J722" s="2">
        <v>4</v>
      </c>
      <c r="K722" s="8">
        <v>2499</v>
      </c>
      <c r="L722" s="3">
        <v>0.1</v>
      </c>
      <c r="M722" s="12">
        <f>K722*L722</f>
        <v>249.9</v>
      </c>
      <c r="N722" s="12">
        <f>K722*J722</f>
        <v>9996</v>
      </c>
      <c r="O722" s="12">
        <f>N722-M722</f>
        <v>9746.1</v>
      </c>
      <c r="P722" s="2" t="s">
        <v>45</v>
      </c>
      <c r="Q722" s="2" t="s">
        <v>18</v>
      </c>
      <c r="R722" s="2">
        <v>40</v>
      </c>
      <c r="S722" s="20">
        <f>Table1[[#This Row],[Net_revenue]]/Table1[[#This Row],[Gross_revenue]]*100%</f>
        <v>0.97500000000000009</v>
      </c>
      <c r="T722" s="18">
        <f>COUNTIFS(Table1[Customer ID], "&gt;1", Table1[Customer ID], 1)</f>
        <v>0</v>
      </c>
    </row>
    <row r="723" spans="1:20" hidden="1" x14ac:dyDescent="0.3">
      <c r="A723" s="2" t="s">
        <v>1239</v>
      </c>
      <c r="B723" s="5">
        <v>46011</v>
      </c>
      <c r="C723" s="5" t="str">
        <f>TEXT(B723,"mmm")</f>
        <v>Dec</v>
      </c>
      <c r="D723" s="2" t="s">
        <v>1240</v>
      </c>
      <c r="E723" s="2" t="s">
        <v>48</v>
      </c>
      <c r="F723" s="2" t="str" cm="1">
        <f t="array" ref="F7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23" s="2" t="str" cm="1">
        <f t="array" ref="G7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3" s="2" t="s">
        <v>68</v>
      </c>
      <c r="I723" s="2" t="s">
        <v>16</v>
      </c>
      <c r="J723" s="2">
        <v>1</v>
      </c>
      <c r="K723" s="8">
        <v>599</v>
      </c>
      <c r="L723" s="3">
        <v>0</v>
      </c>
      <c r="M723" s="12">
        <f>K723*L723</f>
        <v>0</v>
      </c>
      <c r="N723" s="12">
        <f>K723*J723</f>
        <v>599</v>
      </c>
      <c r="O723" s="12">
        <f>N723-M723</f>
        <v>599</v>
      </c>
      <c r="P723" s="2" t="s">
        <v>30</v>
      </c>
      <c r="Q723" s="2" t="s">
        <v>18</v>
      </c>
      <c r="R723" s="2">
        <v>60</v>
      </c>
      <c r="S723" s="20">
        <f>Table1[[#This Row],[Net_revenue]]/Table1[[#This Row],[Gross_revenue]]*100%</f>
        <v>1</v>
      </c>
      <c r="T723" s="18">
        <f>COUNTIFS(Table1[Customer ID], "&gt;1", Table1[Customer ID], 1)</f>
        <v>0</v>
      </c>
    </row>
    <row r="724" spans="1:20" hidden="1" x14ac:dyDescent="0.3">
      <c r="A724" s="2" t="s">
        <v>1241</v>
      </c>
      <c r="B724" s="5">
        <v>45935</v>
      </c>
      <c r="C724" s="5" t="str">
        <f>TEXT(B724,"mmm")</f>
        <v>Oct</v>
      </c>
      <c r="D724" s="2" t="s">
        <v>789</v>
      </c>
      <c r="E724" s="2" t="s">
        <v>27</v>
      </c>
      <c r="F724" s="2" t="str" cm="1">
        <f t="array" ref="F7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24" s="2" t="str" cm="1">
        <f t="array" ref="G7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4" s="2" t="s">
        <v>28</v>
      </c>
      <c r="I724" s="2" t="s">
        <v>29</v>
      </c>
      <c r="J724" s="2">
        <v>2</v>
      </c>
      <c r="K724" s="8">
        <v>2799</v>
      </c>
      <c r="L724" s="3">
        <v>0.25</v>
      </c>
      <c r="M724" s="12">
        <f>K724*L724</f>
        <v>699.75</v>
      </c>
      <c r="N724" s="12">
        <f>K724*J724</f>
        <v>5598</v>
      </c>
      <c r="O724" s="12">
        <f>N724-M724</f>
        <v>4898.25</v>
      </c>
      <c r="P724" s="2" t="s">
        <v>24</v>
      </c>
      <c r="Q724" s="2" t="s">
        <v>18</v>
      </c>
      <c r="R724" s="2">
        <v>0</v>
      </c>
      <c r="S724" s="20">
        <f>Table1[[#This Row],[Net_revenue]]/Table1[[#This Row],[Gross_revenue]]*100%</f>
        <v>0.875</v>
      </c>
      <c r="T724" s="18">
        <f>COUNTIFS(Table1[Customer ID], "&gt;1", Table1[Customer ID], 1)</f>
        <v>0</v>
      </c>
    </row>
    <row r="725" spans="1:20" hidden="1" x14ac:dyDescent="0.3">
      <c r="A725" s="2" t="s">
        <v>1242</v>
      </c>
      <c r="B725" s="5">
        <v>45915</v>
      </c>
      <c r="C725" s="5" t="str">
        <f>TEXT(B725,"mmm")</f>
        <v>Sep</v>
      </c>
      <c r="D725" s="2" t="s">
        <v>860</v>
      </c>
      <c r="E725" s="2" t="s">
        <v>40</v>
      </c>
      <c r="F725" s="2" t="str" cm="1">
        <f t="array" ref="F7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25" s="2" t="str" cm="1">
        <f t="array" ref="G7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25" s="2" t="s">
        <v>188</v>
      </c>
      <c r="I725" s="2" t="s">
        <v>95</v>
      </c>
      <c r="J725" s="2">
        <v>2</v>
      </c>
      <c r="K725" s="8">
        <v>699</v>
      </c>
      <c r="L725" s="3">
        <v>0.25</v>
      </c>
      <c r="M725" s="12">
        <f>K725*L725</f>
        <v>174.75</v>
      </c>
      <c r="N725" s="12">
        <f>K725*J725</f>
        <v>1398</v>
      </c>
      <c r="O725" s="12">
        <f>N725-M725</f>
        <v>1223.25</v>
      </c>
      <c r="P725" s="2" t="s">
        <v>45</v>
      </c>
      <c r="Q725" s="2" t="s">
        <v>18</v>
      </c>
      <c r="R725" s="2">
        <v>40</v>
      </c>
      <c r="S725" s="20">
        <f>Table1[[#This Row],[Net_revenue]]/Table1[[#This Row],[Gross_revenue]]*100%</f>
        <v>0.875</v>
      </c>
      <c r="T725" s="18">
        <f>COUNTIFS(Table1[Customer ID], "&gt;1", Table1[Customer ID], 1)</f>
        <v>0</v>
      </c>
    </row>
    <row r="726" spans="1:20" hidden="1" x14ac:dyDescent="0.3">
      <c r="A726" s="2" t="s">
        <v>1243</v>
      </c>
      <c r="B726" s="5">
        <v>45943</v>
      </c>
      <c r="C726" s="5" t="str">
        <f>TEXT(B726,"mmm")</f>
        <v>Oct</v>
      </c>
      <c r="D726" s="2" t="s">
        <v>1095</v>
      </c>
      <c r="E726" s="2" t="s">
        <v>27</v>
      </c>
      <c r="F726" s="2" t="str" cm="1">
        <f t="array" ref="F7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26" s="2" t="str" cm="1">
        <f t="array" ref="G7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6" s="2" t="s">
        <v>98</v>
      </c>
      <c r="I726" s="2" t="s">
        <v>37</v>
      </c>
      <c r="J726" s="2">
        <v>2</v>
      </c>
      <c r="K726" s="8">
        <v>299</v>
      </c>
      <c r="L726" s="3">
        <v>0.15</v>
      </c>
      <c r="M726" s="12">
        <f>K726*L726</f>
        <v>44.85</v>
      </c>
      <c r="N726" s="12">
        <f>K726*J726</f>
        <v>598</v>
      </c>
      <c r="O726" s="12">
        <f>N726-M726</f>
        <v>553.15</v>
      </c>
      <c r="P726" s="2" t="s">
        <v>17</v>
      </c>
      <c r="Q726" s="2" t="s">
        <v>18</v>
      </c>
      <c r="R726" s="2">
        <v>80</v>
      </c>
      <c r="S726" s="20">
        <f>Table1[[#This Row],[Net_revenue]]/Table1[[#This Row],[Gross_revenue]]*100%</f>
        <v>0.92499999999999993</v>
      </c>
      <c r="T726" s="18">
        <f>COUNTIFS(Table1[Customer ID], "&gt;1", Table1[Customer ID], 1)</f>
        <v>0</v>
      </c>
    </row>
    <row r="727" spans="1:20" hidden="1" x14ac:dyDescent="0.3">
      <c r="A727" s="2" t="s">
        <v>1244</v>
      </c>
      <c r="B727" s="5">
        <v>45837</v>
      </c>
      <c r="C727" s="5" t="str">
        <f>TEXT(B727,"mmm")</f>
        <v>Jun</v>
      </c>
      <c r="D727" s="2" t="s">
        <v>222</v>
      </c>
      <c r="E727" s="2" t="s">
        <v>56</v>
      </c>
      <c r="F727" s="2" t="str" cm="1">
        <f t="array" ref="F7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27" s="2" t="str" cm="1">
        <f t="array" ref="G7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7" s="2" t="s">
        <v>68</v>
      </c>
      <c r="I727" s="2" t="s">
        <v>16</v>
      </c>
      <c r="J727" s="2">
        <v>2</v>
      </c>
      <c r="K727" s="8">
        <v>599</v>
      </c>
      <c r="L727" s="3">
        <v>0</v>
      </c>
      <c r="M727" s="12">
        <f>K727*L727</f>
        <v>0</v>
      </c>
      <c r="N727" s="12">
        <f>K727*J727</f>
        <v>1198</v>
      </c>
      <c r="O727" s="12">
        <f>N727-M727</f>
        <v>1198</v>
      </c>
      <c r="P727" s="2" t="s">
        <v>17</v>
      </c>
      <c r="Q727" s="2" t="s">
        <v>18</v>
      </c>
      <c r="R727" s="2">
        <v>0</v>
      </c>
      <c r="S727" s="20">
        <f>Table1[[#This Row],[Net_revenue]]/Table1[[#This Row],[Gross_revenue]]*100%</f>
        <v>1</v>
      </c>
      <c r="T727" s="18">
        <f>COUNTIFS(Table1[Customer ID], "&gt;1", Table1[Customer ID], 1)</f>
        <v>0</v>
      </c>
    </row>
    <row r="728" spans="1:20" hidden="1" x14ac:dyDescent="0.3">
      <c r="A728" s="2" t="s">
        <v>1245</v>
      </c>
      <c r="B728" s="5">
        <v>45748</v>
      </c>
      <c r="C728" s="5" t="str">
        <f>TEXT(B728,"mmm")</f>
        <v>Apr</v>
      </c>
      <c r="D728" s="2" t="s">
        <v>653</v>
      </c>
      <c r="E728" s="2" t="s">
        <v>27</v>
      </c>
      <c r="F728" s="2" t="str" cm="1">
        <f t="array" ref="F7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28" s="2" t="str" cm="1">
        <f t="array" ref="G7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8" s="2" t="s">
        <v>41</v>
      </c>
      <c r="I728" s="2" t="s">
        <v>16</v>
      </c>
      <c r="J728" s="2">
        <v>1</v>
      </c>
      <c r="K728" s="8">
        <v>2299</v>
      </c>
      <c r="L728" s="3">
        <v>0.25</v>
      </c>
      <c r="M728" s="12">
        <f>K728*L728</f>
        <v>574.75</v>
      </c>
      <c r="N728" s="12">
        <f>K728*J728</f>
        <v>2299</v>
      </c>
      <c r="O728" s="12">
        <f>N728-M728</f>
        <v>1724.25</v>
      </c>
      <c r="P728" s="2" t="s">
        <v>24</v>
      </c>
      <c r="Q728" s="2" t="s">
        <v>72</v>
      </c>
      <c r="R728" s="2">
        <v>80</v>
      </c>
      <c r="S728" s="20">
        <f>Table1[[#This Row],[Net_revenue]]/Table1[[#This Row],[Gross_revenue]]*100%</f>
        <v>0.75</v>
      </c>
      <c r="T728" s="18">
        <f>COUNTIFS(Table1[Customer ID], "&gt;1", Table1[Customer ID], 1)</f>
        <v>0</v>
      </c>
    </row>
    <row r="729" spans="1:20" hidden="1" x14ac:dyDescent="0.3">
      <c r="A729" s="2" t="s">
        <v>1246</v>
      </c>
      <c r="B729" s="5">
        <v>45863</v>
      </c>
      <c r="C729" s="5" t="str">
        <f>TEXT(B729,"mmm")</f>
        <v>Jul</v>
      </c>
      <c r="D729" s="2" t="s">
        <v>869</v>
      </c>
      <c r="E729" s="2" t="s">
        <v>27</v>
      </c>
      <c r="F729" s="2" t="str" cm="1">
        <f t="array" ref="F7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29" s="2" t="str" cm="1">
        <f t="array" ref="G7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29" s="2" t="s">
        <v>15</v>
      </c>
      <c r="I729" s="2" t="s">
        <v>16</v>
      </c>
      <c r="J729" s="2">
        <v>1</v>
      </c>
      <c r="K729" s="8">
        <v>1799</v>
      </c>
      <c r="L729" s="3">
        <v>0.15</v>
      </c>
      <c r="M729" s="12">
        <f>K729*L729</f>
        <v>269.84999999999997</v>
      </c>
      <c r="N729" s="12">
        <f>K729*J729</f>
        <v>1799</v>
      </c>
      <c r="O729" s="12">
        <f>N729-M729</f>
        <v>1529.15</v>
      </c>
      <c r="P729" s="2" t="s">
        <v>17</v>
      </c>
      <c r="Q729" s="2" t="s">
        <v>18</v>
      </c>
      <c r="R729" s="2">
        <v>80</v>
      </c>
      <c r="S729" s="20">
        <f>Table1[[#This Row],[Net_revenue]]/Table1[[#This Row],[Gross_revenue]]*100%</f>
        <v>0.85000000000000009</v>
      </c>
      <c r="T729" s="18">
        <f>COUNTIFS(Table1[Customer ID], "&gt;1", Table1[Customer ID], 1)</f>
        <v>0</v>
      </c>
    </row>
    <row r="730" spans="1:20" hidden="1" x14ac:dyDescent="0.3">
      <c r="A730" s="2" t="s">
        <v>1247</v>
      </c>
      <c r="B730" s="5">
        <v>45804</v>
      </c>
      <c r="C730" s="5" t="str">
        <f>TEXT(B730,"mmm")</f>
        <v>May</v>
      </c>
      <c r="D730" s="2" t="s">
        <v>194</v>
      </c>
      <c r="E730" s="2" t="s">
        <v>14</v>
      </c>
      <c r="F730" s="2" t="str" cm="1">
        <f t="array" ref="F7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30" s="2" t="str" cm="1">
        <f t="array" ref="G7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30" s="2" t="s">
        <v>80</v>
      </c>
      <c r="I730" s="2" t="s">
        <v>23</v>
      </c>
      <c r="J730" s="2">
        <v>5</v>
      </c>
      <c r="K730" s="8">
        <v>799</v>
      </c>
      <c r="L730" s="3">
        <v>0.05</v>
      </c>
      <c r="M730" s="12">
        <f>K730*L730</f>
        <v>39.950000000000003</v>
      </c>
      <c r="N730" s="12">
        <f>K730*J730</f>
        <v>3995</v>
      </c>
      <c r="O730" s="12">
        <f>N730-M730</f>
        <v>3955.05</v>
      </c>
      <c r="P730" s="2" t="s">
        <v>30</v>
      </c>
      <c r="Q730" s="2" t="s">
        <v>50</v>
      </c>
      <c r="R730" s="2">
        <v>40</v>
      </c>
      <c r="S730" s="20">
        <f>Table1[[#This Row],[Net_revenue]]/Table1[[#This Row],[Gross_revenue]]*100%</f>
        <v>0.99</v>
      </c>
      <c r="T730" s="18">
        <f>COUNTIFS(Table1[Customer ID], "&gt;1", Table1[Customer ID], 1)</f>
        <v>0</v>
      </c>
    </row>
    <row r="731" spans="1:20" hidden="1" x14ac:dyDescent="0.3">
      <c r="A731" s="2" t="s">
        <v>1248</v>
      </c>
      <c r="B731" s="5">
        <v>45681</v>
      </c>
      <c r="C731" s="5" t="str">
        <f>TEXT(B731,"mmm")</f>
        <v>Jan</v>
      </c>
      <c r="D731" s="2" t="s">
        <v>1249</v>
      </c>
      <c r="E731" s="2" t="s">
        <v>21</v>
      </c>
      <c r="F731" s="2" t="str" cm="1">
        <f t="array" ref="F7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31" s="2" t="str" cm="1">
        <f t="array" ref="G7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31" s="2" t="s">
        <v>15</v>
      </c>
      <c r="I731" s="2" t="s">
        <v>16</v>
      </c>
      <c r="J731" s="2">
        <v>1</v>
      </c>
      <c r="K731" s="8">
        <v>1799</v>
      </c>
      <c r="L731" s="3">
        <v>0.1</v>
      </c>
      <c r="M731" s="12">
        <f>K731*L731</f>
        <v>179.9</v>
      </c>
      <c r="N731" s="12">
        <f>K731*J731</f>
        <v>1799</v>
      </c>
      <c r="O731" s="12">
        <f>N731-M731</f>
        <v>1619.1</v>
      </c>
      <c r="P731" s="2" t="s">
        <v>17</v>
      </c>
      <c r="Q731" s="2" t="s">
        <v>18</v>
      </c>
      <c r="R731" s="2">
        <v>80</v>
      </c>
      <c r="S731" s="20">
        <f>Table1[[#This Row],[Net_revenue]]/Table1[[#This Row],[Gross_revenue]]*100%</f>
        <v>0.89999999999999991</v>
      </c>
      <c r="T731" s="18">
        <f>COUNTIFS(Table1[Customer ID], "&gt;1", Table1[Customer ID], 1)</f>
        <v>0</v>
      </c>
    </row>
    <row r="732" spans="1:20" hidden="1" x14ac:dyDescent="0.3">
      <c r="A732" s="2" t="s">
        <v>1250</v>
      </c>
      <c r="B732" s="5">
        <v>45674</v>
      </c>
      <c r="C732" s="5" t="str">
        <f>TEXT(B732,"mmm")</f>
        <v>Jan</v>
      </c>
      <c r="D732" s="2" t="s">
        <v>1194</v>
      </c>
      <c r="E732" s="2" t="s">
        <v>195</v>
      </c>
      <c r="F732" s="2" t="str" cm="1">
        <f t="array" ref="F7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732" s="2" t="str" cm="1">
        <f t="array" ref="G7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32" s="2" t="s">
        <v>22</v>
      </c>
      <c r="I732" s="2" t="s">
        <v>23</v>
      </c>
      <c r="J732" s="2">
        <v>2</v>
      </c>
      <c r="K732" s="8">
        <v>3999</v>
      </c>
      <c r="L732" s="3">
        <v>0.2</v>
      </c>
      <c r="M732" s="12">
        <f>K732*L732</f>
        <v>799.80000000000007</v>
      </c>
      <c r="N732" s="12">
        <f>K732*J732</f>
        <v>7998</v>
      </c>
      <c r="O732" s="12">
        <f>N732-M732</f>
        <v>7198.2</v>
      </c>
      <c r="P732" s="2" t="s">
        <v>45</v>
      </c>
      <c r="Q732" s="2" t="s">
        <v>18</v>
      </c>
      <c r="R732" s="2">
        <v>40</v>
      </c>
      <c r="S732" s="20">
        <f>Table1[[#This Row],[Net_revenue]]/Table1[[#This Row],[Gross_revenue]]*100%</f>
        <v>0.9</v>
      </c>
      <c r="T732" s="18">
        <f>COUNTIFS(Table1[Customer ID], "&gt;1", Table1[Customer ID], 1)</f>
        <v>0</v>
      </c>
    </row>
    <row r="733" spans="1:20" hidden="1" x14ac:dyDescent="0.3">
      <c r="A733" s="2" t="s">
        <v>1251</v>
      </c>
      <c r="B733" s="5">
        <v>45822</v>
      </c>
      <c r="C733" s="5" t="str">
        <f>TEXT(B733,"mmm")</f>
        <v>Jun</v>
      </c>
      <c r="D733" s="2" t="s">
        <v>1252</v>
      </c>
      <c r="E733" s="2" t="s">
        <v>40</v>
      </c>
      <c r="F733" s="2" t="str" cm="1">
        <f t="array" ref="F7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33" s="2" t="str" cm="1">
        <f t="array" ref="G7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33" s="2" t="s">
        <v>68</v>
      </c>
      <c r="I733" s="2" t="s">
        <v>16</v>
      </c>
      <c r="J733" s="2">
        <v>1</v>
      </c>
      <c r="K733" s="8">
        <v>599</v>
      </c>
      <c r="L733" s="3">
        <v>0.1</v>
      </c>
      <c r="M733" s="12">
        <f>K733*L733</f>
        <v>59.900000000000006</v>
      </c>
      <c r="N733" s="12">
        <f>K733*J733</f>
        <v>599</v>
      </c>
      <c r="O733" s="12">
        <f>N733-M733</f>
        <v>539.1</v>
      </c>
      <c r="P733" s="2" t="s">
        <v>30</v>
      </c>
      <c r="Q733" s="2" t="s">
        <v>18</v>
      </c>
      <c r="R733" s="2">
        <v>40</v>
      </c>
      <c r="S733" s="20">
        <f>Table1[[#This Row],[Net_revenue]]/Table1[[#This Row],[Gross_revenue]]*100%</f>
        <v>0.9</v>
      </c>
      <c r="T733" s="18">
        <f>COUNTIFS(Table1[Customer ID], "&gt;1", Table1[Customer ID], 1)</f>
        <v>0</v>
      </c>
    </row>
    <row r="734" spans="1:20" hidden="1" x14ac:dyDescent="0.3">
      <c r="A734" s="2" t="s">
        <v>1253</v>
      </c>
      <c r="B734" s="5">
        <v>45690</v>
      </c>
      <c r="C734" s="5" t="str">
        <f>TEXT(B734,"mmm")</f>
        <v>Feb</v>
      </c>
      <c r="D734" s="2" t="s">
        <v>1140</v>
      </c>
      <c r="E734" s="2" t="s">
        <v>14</v>
      </c>
      <c r="F734" s="2" t="str" cm="1">
        <f t="array" ref="F7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34" s="2" t="str" cm="1">
        <f t="array" ref="G7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34" s="2" t="s">
        <v>22</v>
      </c>
      <c r="I734" s="2" t="s">
        <v>23</v>
      </c>
      <c r="J734" s="2">
        <v>3</v>
      </c>
      <c r="K734" s="8">
        <v>3999</v>
      </c>
      <c r="L734" s="3">
        <v>0.2</v>
      </c>
      <c r="M734" s="12">
        <f>K734*L734</f>
        <v>799.80000000000007</v>
      </c>
      <c r="N734" s="12">
        <f>K734*J734</f>
        <v>11997</v>
      </c>
      <c r="O734" s="12">
        <f>N734-M734</f>
        <v>11197.2</v>
      </c>
      <c r="P734" s="2" t="s">
        <v>24</v>
      </c>
      <c r="Q734" s="2" t="s">
        <v>72</v>
      </c>
      <c r="R734" s="2">
        <v>60</v>
      </c>
      <c r="S734" s="20">
        <f>Table1[[#This Row],[Net_revenue]]/Table1[[#This Row],[Gross_revenue]]*100%</f>
        <v>0.93333333333333335</v>
      </c>
      <c r="T734" s="18">
        <f>COUNTIFS(Table1[Customer ID], "&gt;1", Table1[Customer ID], 1)</f>
        <v>0</v>
      </c>
    </row>
    <row r="735" spans="1:20" hidden="1" x14ac:dyDescent="0.3">
      <c r="A735" s="2" t="s">
        <v>1254</v>
      </c>
      <c r="B735" s="5">
        <v>45986</v>
      </c>
      <c r="C735" s="5" t="str">
        <f>TEXT(B735,"mmm")</f>
        <v>Nov</v>
      </c>
      <c r="D735" s="2" t="s">
        <v>156</v>
      </c>
      <c r="E735" s="2" t="s">
        <v>120</v>
      </c>
      <c r="F735" s="2" t="str" cm="1">
        <f t="array" ref="F7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35" s="2" t="str" cm="1">
        <f t="array" ref="G7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35" s="2" t="s">
        <v>94</v>
      </c>
      <c r="I735" s="2" t="s">
        <v>95</v>
      </c>
      <c r="J735" s="2">
        <v>1</v>
      </c>
      <c r="K735" s="8">
        <v>399</v>
      </c>
      <c r="L735" s="3">
        <v>0</v>
      </c>
      <c r="M735" s="12">
        <f>K735*L735</f>
        <v>0</v>
      </c>
      <c r="N735" s="12">
        <f>K735*J735</f>
        <v>399</v>
      </c>
      <c r="O735" s="12">
        <f>N735-M735</f>
        <v>399</v>
      </c>
      <c r="P735" s="2" t="s">
        <v>30</v>
      </c>
      <c r="Q735" s="2" t="s">
        <v>18</v>
      </c>
      <c r="R735" s="2">
        <v>60</v>
      </c>
      <c r="S735" s="20">
        <f>Table1[[#This Row],[Net_revenue]]/Table1[[#This Row],[Gross_revenue]]*100%</f>
        <v>1</v>
      </c>
      <c r="T735" s="18">
        <f>COUNTIFS(Table1[Customer ID], "&gt;1", Table1[Customer ID], 1)</f>
        <v>0</v>
      </c>
    </row>
    <row r="736" spans="1:20" hidden="1" x14ac:dyDescent="0.3">
      <c r="A736" s="2" t="s">
        <v>1255</v>
      </c>
      <c r="B736" s="5">
        <v>45788</v>
      </c>
      <c r="C736" s="5" t="str">
        <f>TEXT(B736,"mmm")</f>
        <v>May</v>
      </c>
      <c r="D736" s="2" t="s">
        <v>785</v>
      </c>
      <c r="E736" s="2" t="s">
        <v>48</v>
      </c>
      <c r="F736" s="2" t="str" cm="1">
        <f t="array" ref="F7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36" s="2" t="str" cm="1">
        <f t="array" ref="G7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36" s="2" t="s">
        <v>117</v>
      </c>
      <c r="I736" s="2" t="s">
        <v>23</v>
      </c>
      <c r="J736" s="2">
        <v>1</v>
      </c>
      <c r="K736" s="8">
        <v>2199</v>
      </c>
      <c r="L736" s="3">
        <v>0.25</v>
      </c>
      <c r="M736" s="12">
        <f>K736*L736</f>
        <v>549.75</v>
      </c>
      <c r="N736" s="12">
        <f>K736*J736</f>
        <v>2199</v>
      </c>
      <c r="O736" s="12">
        <f>N736-M736</f>
        <v>1649.25</v>
      </c>
      <c r="P736" s="2" t="s">
        <v>17</v>
      </c>
      <c r="Q736" s="2" t="s">
        <v>50</v>
      </c>
      <c r="R736" s="2">
        <v>60</v>
      </c>
      <c r="S736" s="20">
        <f>Table1[[#This Row],[Net_revenue]]/Table1[[#This Row],[Gross_revenue]]*100%</f>
        <v>0.75</v>
      </c>
      <c r="T736" s="18">
        <f>COUNTIFS(Table1[Customer ID], "&gt;1", Table1[Customer ID], 1)</f>
        <v>0</v>
      </c>
    </row>
    <row r="737" spans="1:20" hidden="1" x14ac:dyDescent="0.3">
      <c r="A737" s="2" t="s">
        <v>1256</v>
      </c>
      <c r="B737" s="5">
        <v>45866</v>
      </c>
      <c r="C737" s="5" t="str">
        <f>TEXT(B737,"mmm")</f>
        <v>Jul</v>
      </c>
      <c r="D737" s="2" t="s">
        <v>1257</v>
      </c>
      <c r="E737" s="2" t="s">
        <v>21</v>
      </c>
      <c r="F737" s="2" t="str" cm="1">
        <f t="array" ref="F7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37" s="2" t="str" cm="1">
        <f t="array" ref="G7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37" s="2" t="s">
        <v>33</v>
      </c>
      <c r="I737" s="2" t="s">
        <v>16</v>
      </c>
      <c r="J737" s="2">
        <v>2</v>
      </c>
      <c r="K737" s="8">
        <v>899</v>
      </c>
      <c r="L737" s="3">
        <v>0.15</v>
      </c>
      <c r="M737" s="12">
        <f>K737*L737</f>
        <v>134.85</v>
      </c>
      <c r="N737" s="12">
        <f>K737*J737</f>
        <v>1798</v>
      </c>
      <c r="O737" s="12">
        <f>N737-M737</f>
        <v>1663.15</v>
      </c>
      <c r="P737" s="2" t="s">
        <v>24</v>
      </c>
      <c r="Q737" s="2" t="s">
        <v>18</v>
      </c>
      <c r="R737" s="2">
        <v>60</v>
      </c>
      <c r="S737" s="20">
        <f>Table1[[#This Row],[Net_revenue]]/Table1[[#This Row],[Gross_revenue]]*100%</f>
        <v>0.92500000000000004</v>
      </c>
      <c r="T737" s="18">
        <f>COUNTIFS(Table1[Customer ID], "&gt;1", Table1[Customer ID], 1)</f>
        <v>0</v>
      </c>
    </row>
    <row r="738" spans="1:20" hidden="1" x14ac:dyDescent="0.3">
      <c r="A738" s="2" t="s">
        <v>1258</v>
      </c>
      <c r="B738" s="5">
        <v>45847</v>
      </c>
      <c r="C738" s="5" t="str">
        <f>TEXT(B738,"mmm")</f>
        <v>Jul</v>
      </c>
      <c r="D738" s="2" t="s">
        <v>649</v>
      </c>
      <c r="E738" s="2" t="s">
        <v>120</v>
      </c>
      <c r="F738" s="2" t="str" cm="1">
        <f t="array" ref="F7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38" s="2" t="str" cm="1">
        <f t="array" ref="G7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38" s="2" t="s">
        <v>71</v>
      </c>
      <c r="I738" s="2" t="s">
        <v>29</v>
      </c>
      <c r="J738" s="2">
        <v>1</v>
      </c>
      <c r="K738" s="8">
        <v>5499</v>
      </c>
      <c r="L738" s="3">
        <v>0.1</v>
      </c>
      <c r="M738" s="12">
        <f>K738*L738</f>
        <v>549.9</v>
      </c>
      <c r="N738" s="12">
        <f>K738*J738</f>
        <v>5499</v>
      </c>
      <c r="O738" s="12">
        <f>N738-M738</f>
        <v>4949.1000000000004</v>
      </c>
      <c r="P738" s="2" t="s">
        <v>45</v>
      </c>
      <c r="Q738" s="2" t="s">
        <v>18</v>
      </c>
      <c r="R738" s="2">
        <v>80</v>
      </c>
      <c r="S738" s="20">
        <f>Table1[[#This Row],[Net_revenue]]/Table1[[#This Row],[Gross_revenue]]*100%</f>
        <v>0.9</v>
      </c>
      <c r="T738" s="18">
        <f>COUNTIFS(Table1[Customer ID], "&gt;1", Table1[Customer ID], 1)</f>
        <v>0</v>
      </c>
    </row>
    <row r="739" spans="1:20" hidden="1" x14ac:dyDescent="0.3">
      <c r="A739" s="2" t="s">
        <v>1259</v>
      </c>
      <c r="B739" s="5">
        <v>45673</v>
      </c>
      <c r="C739" s="5" t="str">
        <f>TEXT(B739,"mmm")</f>
        <v>Jan</v>
      </c>
      <c r="D739" s="2" t="s">
        <v>1260</v>
      </c>
      <c r="E739" s="2" t="s">
        <v>40</v>
      </c>
      <c r="F739" s="2" t="str" cm="1">
        <f t="array" ref="F7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39" s="2" t="str" cm="1">
        <f t="array" ref="G7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39" s="2" t="s">
        <v>33</v>
      </c>
      <c r="I739" s="2" t="s">
        <v>16</v>
      </c>
      <c r="J739" s="2">
        <v>1</v>
      </c>
      <c r="K739" s="8">
        <v>899</v>
      </c>
      <c r="L739" s="3">
        <v>0</v>
      </c>
      <c r="M739" s="12">
        <f>K739*L739</f>
        <v>0</v>
      </c>
      <c r="N739" s="12">
        <f>K739*J739</f>
        <v>899</v>
      </c>
      <c r="O739" s="12">
        <f>N739-M739</f>
        <v>899</v>
      </c>
      <c r="P739" s="2" t="s">
        <v>30</v>
      </c>
      <c r="Q739" s="2" t="s">
        <v>18</v>
      </c>
      <c r="R739" s="2">
        <v>40</v>
      </c>
      <c r="S739" s="20">
        <f>Table1[[#This Row],[Net_revenue]]/Table1[[#This Row],[Gross_revenue]]*100%</f>
        <v>1</v>
      </c>
      <c r="T739" s="18">
        <f>COUNTIFS(Table1[Customer ID], "&gt;1", Table1[Customer ID], 1)</f>
        <v>0</v>
      </c>
    </row>
    <row r="740" spans="1:20" hidden="1" x14ac:dyDescent="0.3">
      <c r="A740" s="2" t="s">
        <v>1261</v>
      </c>
      <c r="B740" s="5">
        <v>45801</v>
      </c>
      <c r="C740" s="5" t="str">
        <f>TEXT(B740,"mmm")</f>
        <v>May</v>
      </c>
      <c r="D740" s="2" t="s">
        <v>1262</v>
      </c>
      <c r="E740" s="2" t="s">
        <v>40</v>
      </c>
      <c r="F740" s="2" t="str" cm="1">
        <f t="array" ref="F7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40" s="2" t="str" cm="1">
        <f t="array" ref="G7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40" s="2" t="s">
        <v>71</v>
      </c>
      <c r="I740" s="2" t="s">
        <v>29</v>
      </c>
      <c r="J740" s="2">
        <v>2</v>
      </c>
      <c r="K740" s="8">
        <v>5499</v>
      </c>
      <c r="L740" s="3">
        <v>0</v>
      </c>
      <c r="M740" s="12">
        <f>K740*L740</f>
        <v>0</v>
      </c>
      <c r="N740" s="12">
        <f>K740*J740</f>
        <v>10998</v>
      </c>
      <c r="O740" s="12">
        <f>N740-M740</f>
        <v>10998</v>
      </c>
      <c r="P740" s="2" t="s">
        <v>45</v>
      </c>
      <c r="Q740" s="2" t="s">
        <v>18</v>
      </c>
      <c r="R740" s="2">
        <v>0</v>
      </c>
      <c r="S740" s="20">
        <f>Table1[[#This Row],[Net_revenue]]/Table1[[#This Row],[Gross_revenue]]*100%</f>
        <v>1</v>
      </c>
      <c r="T740" s="18">
        <f>COUNTIFS(Table1[Customer ID], "&gt;1", Table1[Customer ID], 1)</f>
        <v>0</v>
      </c>
    </row>
    <row r="741" spans="1:20" hidden="1" x14ac:dyDescent="0.3">
      <c r="A741" s="2" t="s">
        <v>1263</v>
      </c>
      <c r="B741" s="5">
        <v>45992</v>
      </c>
      <c r="C741" s="5" t="str">
        <f>TEXT(B741,"mmm")</f>
        <v>Dec</v>
      </c>
      <c r="D741" s="2" t="s">
        <v>164</v>
      </c>
      <c r="E741" s="2" t="s">
        <v>75</v>
      </c>
      <c r="F741" s="2" t="str" cm="1">
        <f t="array" ref="F7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741" s="2" t="str" cm="1">
        <f t="array" ref="G7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41" s="2" t="s">
        <v>65</v>
      </c>
      <c r="I741" s="2" t="s">
        <v>23</v>
      </c>
      <c r="J741" s="2">
        <v>2</v>
      </c>
      <c r="K741" s="8">
        <v>1899</v>
      </c>
      <c r="L741" s="3">
        <v>0.1</v>
      </c>
      <c r="M741" s="12">
        <f>K741*L741</f>
        <v>189.9</v>
      </c>
      <c r="N741" s="12">
        <f>K741*J741</f>
        <v>3798</v>
      </c>
      <c r="O741" s="12">
        <f>N741-M741</f>
        <v>3608.1</v>
      </c>
      <c r="P741" s="2" t="s">
        <v>30</v>
      </c>
      <c r="Q741" s="2" t="s">
        <v>18</v>
      </c>
      <c r="R741" s="2">
        <v>80</v>
      </c>
      <c r="S741" s="20">
        <f>Table1[[#This Row],[Net_revenue]]/Table1[[#This Row],[Gross_revenue]]*100%</f>
        <v>0.95</v>
      </c>
      <c r="T741" s="18">
        <f>COUNTIFS(Table1[Customer ID], "&gt;1", Table1[Customer ID], 1)</f>
        <v>0</v>
      </c>
    </row>
    <row r="742" spans="1:20" hidden="1" x14ac:dyDescent="0.3">
      <c r="A742" s="2" t="s">
        <v>1264</v>
      </c>
      <c r="B742" s="5">
        <v>45779</v>
      </c>
      <c r="C742" s="5" t="str">
        <f>TEXT(B742,"mmm")</f>
        <v>May</v>
      </c>
      <c r="D742" s="2" t="s">
        <v>1265</v>
      </c>
      <c r="E742" s="2" t="s">
        <v>48</v>
      </c>
      <c r="F742" s="2" t="str" cm="1">
        <f t="array" ref="F7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42" s="2" t="str" cm="1">
        <f t="array" ref="G7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42" s="2" t="s">
        <v>98</v>
      </c>
      <c r="I742" s="2" t="s">
        <v>37</v>
      </c>
      <c r="J742" s="2">
        <v>3</v>
      </c>
      <c r="K742" s="8">
        <v>299</v>
      </c>
      <c r="L742" s="3">
        <v>0.05</v>
      </c>
      <c r="M742" s="12">
        <f>K742*L742</f>
        <v>14.950000000000001</v>
      </c>
      <c r="N742" s="12">
        <f>K742*J742</f>
        <v>897</v>
      </c>
      <c r="O742" s="12">
        <f>N742-M742</f>
        <v>882.05</v>
      </c>
      <c r="P742" s="2" t="s">
        <v>17</v>
      </c>
      <c r="Q742" s="2" t="s">
        <v>18</v>
      </c>
      <c r="R742" s="2">
        <v>60</v>
      </c>
      <c r="S742" s="20">
        <f>Table1[[#This Row],[Net_revenue]]/Table1[[#This Row],[Gross_revenue]]*100%</f>
        <v>0.98333333333333328</v>
      </c>
      <c r="T742" s="18">
        <f>COUNTIFS(Table1[Customer ID], "&gt;1", Table1[Customer ID], 1)</f>
        <v>0</v>
      </c>
    </row>
    <row r="743" spans="1:20" hidden="1" x14ac:dyDescent="0.3">
      <c r="A743" s="2" t="s">
        <v>1266</v>
      </c>
      <c r="B743" s="5">
        <v>45686</v>
      </c>
      <c r="C743" s="5" t="str">
        <f>TEXT(B743,"mmm")</f>
        <v>Jan</v>
      </c>
      <c r="D743" s="2" t="s">
        <v>1267</v>
      </c>
      <c r="E743" s="2" t="s">
        <v>195</v>
      </c>
      <c r="F743" s="2" t="str" cm="1">
        <f t="array" ref="F7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743" s="2" t="str" cm="1">
        <f t="array" ref="G7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43" s="2" t="s">
        <v>33</v>
      </c>
      <c r="I743" s="2" t="s">
        <v>16</v>
      </c>
      <c r="J743" s="2">
        <v>3</v>
      </c>
      <c r="K743" s="8">
        <v>899</v>
      </c>
      <c r="L743" s="3">
        <v>0.1</v>
      </c>
      <c r="M743" s="12">
        <f>K743*L743</f>
        <v>89.9</v>
      </c>
      <c r="N743" s="12">
        <f>K743*J743</f>
        <v>2697</v>
      </c>
      <c r="O743" s="12">
        <f>N743-M743</f>
        <v>2607.1</v>
      </c>
      <c r="P743" s="2" t="s">
        <v>30</v>
      </c>
      <c r="Q743" s="2" t="s">
        <v>50</v>
      </c>
      <c r="R743" s="2">
        <v>40</v>
      </c>
      <c r="S743" s="20">
        <f>Table1[[#This Row],[Net_revenue]]/Table1[[#This Row],[Gross_revenue]]*100%</f>
        <v>0.96666666666666667</v>
      </c>
      <c r="T743" s="18">
        <f>COUNTIFS(Table1[Customer ID], "&gt;1", Table1[Customer ID], 1)</f>
        <v>0</v>
      </c>
    </row>
    <row r="744" spans="1:20" hidden="1" x14ac:dyDescent="0.3">
      <c r="A744" s="2" t="s">
        <v>1268</v>
      </c>
      <c r="B744" s="5">
        <v>45689</v>
      </c>
      <c r="C744" s="5" t="str">
        <f>TEXT(B744,"mmm")</f>
        <v>Feb</v>
      </c>
      <c r="D744" s="2" t="s">
        <v>292</v>
      </c>
      <c r="E744" s="2" t="s">
        <v>120</v>
      </c>
      <c r="F744" s="2" t="str" cm="1">
        <f t="array" ref="F7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44" s="2" t="str" cm="1">
        <f t="array" ref="G7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44" s="2" t="s">
        <v>65</v>
      </c>
      <c r="I744" s="2" t="s">
        <v>23</v>
      </c>
      <c r="J744" s="2">
        <v>1</v>
      </c>
      <c r="K744" s="8">
        <v>1899</v>
      </c>
      <c r="L744" s="3">
        <v>0</v>
      </c>
      <c r="M744" s="12">
        <f>K744*L744</f>
        <v>0</v>
      </c>
      <c r="N744" s="12">
        <f>K744*J744</f>
        <v>1899</v>
      </c>
      <c r="O744" s="12">
        <f>N744-M744</f>
        <v>1899</v>
      </c>
      <c r="P744" s="2" t="s">
        <v>30</v>
      </c>
      <c r="Q744" s="2" t="s">
        <v>18</v>
      </c>
      <c r="R744" s="2">
        <v>0</v>
      </c>
      <c r="S744" s="20">
        <f>Table1[[#This Row],[Net_revenue]]/Table1[[#This Row],[Gross_revenue]]*100%</f>
        <v>1</v>
      </c>
      <c r="T744" s="18">
        <f>COUNTIFS(Table1[Customer ID], "&gt;1", Table1[Customer ID], 1)</f>
        <v>0</v>
      </c>
    </row>
    <row r="745" spans="1:20" hidden="1" x14ac:dyDescent="0.3">
      <c r="A745" s="2" t="s">
        <v>1269</v>
      </c>
      <c r="B745" s="5">
        <v>45968</v>
      </c>
      <c r="C745" s="5" t="str">
        <f>TEXT(B745,"mmm")</f>
        <v>Nov</v>
      </c>
      <c r="D745" s="2" t="s">
        <v>1270</v>
      </c>
      <c r="E745" s="2" t="s">
        <v>120</v>
      </c>
      <c r="F745" s="2" t="str" cm="1">
        <f t="array" ref="F7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45" s="2" t="str" cm="1">
        <f t="array" ref="G7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45" s="2" t="s">
        <v>121</v>
      </c>
      <c r="I745" s="2" t="s">
        <v>95</v>
      </c>
      <c r="J745" s="2">
        <v>3</v>
      </c>
      <c r="K745" s="8">
        <v>1299</v>
      </c>
      <c r="L745" s="3">
        <v>0.1</v>
      </c>
      <c r="M745" s="12">
        <f>K745*L745</f>
        <v>129.9</v>
      </c>
      <c r="N745" s="12">
        <f>K745*J745</f>
        <v>3897</v>
      </c>
      <c r="O745" s="12">
        <f>N745-M745</f>
        <v>3767.1</v>
      </c>
      <c r="P745" s="2" t="s">
        <v>45</v>
      </c>
      <c r="Q745" s="2" t="s">
        <v>18</v>
      </c>
      <c r="R745" s="2">
        <v>80</v>
      </c>
      <c r="S745" s="20">
        <f>Table1[[#This Row],[Net_revenue]]/Table1[[#This Row],[Gross_revenue]]*100%</f>
        <v>0.96666666666666667</v>
      </c>
      <c r="T745" s="18">
        <f>COUNTIFS(Table1[Customer ID], "&gt;1", Table1[Customer ID], 1)</f>
        <v>0</v>
      </c>
    </row>
    <row r="746" spans="1:20" hidden="1" x14ac:dyDescent="0.3">
      <c r="A746" s="2" t="s">
        <v>1271</v>
      </c>
      <c r="B746" s="5">
        <v>45934</v>
      </c>
      <c r="C746" s="5" t="str">
        <f>TEXT(B746,"mmm")</f>
        <v>Oct</v>
      </c>
      <c r="D746" s="2" t="s">
        <v>343</v>
      </c>
      <c r="E746" s="2" t="s">
        <v>40</v>
      </c>
      <c r="F746" s="2" t="str" cm="1">
        <f t="array" ref="F7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46" s="2" t="str" cm="1">
        <f t="array" ref="G7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46" s="2" t="s">
        <v>68</v>
      </c>
      <c r="I746" s="2" t="s">
        <v>16</v>
      </c>
      <c r="J746" s="2">
        <v>2</v>
      </c>
      <c r="K746" s="8">
        <v>599</v>
      </c>
      <c r="L746" s="3">
        <v>0.15</v>
      </c>
      <c r="M746" s="12">
        <f>K746*L746</f>
        <v>89.85</v>
      </c>
      <c r="N746" s="12">
        <f>K746*J746</f>
        <v>1198</v>
      </c>
      <c r="O746" s="12">
        <f>N746-M746</f>
        <v>1108.1500000000001</v>
      </c>
      <c r="P746" s="2" t="s">
        <v>17</v>
      </c>
      <c r="Q746" s="2" t="s">
        <v>18</v>
      </c>
      <c r="R746" s="2">
        <v>80</v>
      </c>
      <c r="S746" s="20">
        <f>Table1[[#This Row],[Net_revenue]]/Table1[[#This Row],[Gross_revenue]]*100%</f>
        <v>0.92500000000000004</v>
      </c>
      <c r="T746" s="18">
        <f>COUNTIFS(Table1[Customer ID], "&gt;1", Table1[Customer ID], 1)</f>
        <v>0</v>
      </c>
    </row>
    <row r="747" spans="1:20" hidden="1" x14ac:dyDescent="0.3">
      <c r="A747" s="2" t="s">
        <v>1272</v>
      </c>
      <c r="B747" s="5">
        <v>45944</v>
      </c>
      <c r="C747" s="5" t="str">
        <f>TEXT(B747,"mmm")</f>
        <v>Oct</v>
      </c>
      <c r="D747" s="2" t="s">
        <v>1273</v>
      </c>
      <c r="E747" s="2" t="s">
        <v>56</v>
      </c>
      <c r="F747" s="2" t="str" cm="1">
        <f t="array" ref="F7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47" s="2" t="str" cm="1">
        <f t="array" ref="G7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47" s="2" t="s">
        <v>71</v>
      </c>
      <c r="I747" s="2" t="s">
        <v>29</v>
      </c>
      <c r="J747" s="2">
        <v>2</v>
      </c>
      <c r="K747" s="8">
        <v>5499</v>
      </c>
      <c r="L747" s="3">
        <v>0.25</v>
      </c>
      <c r="M747" s="12">
        <f>K747*L747</f>
        <v>1374.75</v>
      </c>
      <c r="N747" s="12">
        <f>K747*J747</f>
        <v>10998</v>
      </c>
      <c r="O747" s="12">
        <f>N747-M747</f>
        <v>9623.25</v>
      </c>
      <c r="P747" s="2" t="s">
        <v>45</v>
      </c>
      <c r="Q747" s="2" t="s">
        <v>18</v>
      </c>
      <c r="R747" s="2">
        <v>40</v>
      </c>
      <c r="S747" s="20">
        <f>Table1[[#This Row],[Net_revenue]]/Table1[[#This Row],[Gross_revenue]]*100%</f>
        <v>0.875</v>
      </c>
      <c r="T747" s="18">
        <f>COUNTIFS(Table1[Customer ID], "&gt;1", Table1[Customer ID], 1)</f>
        <v>0</v>
      </c>
    </row>
    <row r="748" spans="1:20" hidden="1" x14ac:dyDescent="0.3">
      <c r="A748" s="2" t="s">
        <v>1274</v>
      </c>
      <c r="B748" s="5">
        <v>45895</v>
      </c>
      <c r="C748" s="5" t="str">
        <f>TEXT(B748,"mmm")</f>
        <v>Aug</v>
      </c>
      <c r="D748" s="2" t="s">
        <v>1275</v>
      </c>
      <c r="E748" s="2" t="s">
        <v>120</v>
      </c>
      <c r="F748" s="2" t="str" cm="1">
        <f t="array" ref="F7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48" s="2" t="str" cm="1">
        <f t="array" ref="G7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48" s="2" t="s">
        <v>80</v>
      </c>
      <c r="I748" s="2" t="s">
        <v>23</v>
      </c>
      <c r="J748" s="2">
        <v>1</v>
      </c>
      <c r="K748" s="8">
        <v>799</v>
      </c>
      <c r="L748" s="3">
        <v>0.1</v>
      </c>
      <c r="M748" s="12">
        <f>K748*L748</f>
        <v>79.900000000000006</v>
      </c>
      <c r="N748" s="12">
        <f>K748*J748</f>
        <v>799</v>
      </c>
      <c r="O748" s="12">
        <f>N748-M748</f>
        <v>719.1</v>
      </c>
      <c r="P748" s="2" t="s">
        <v>45</v>
      </c>
      <c r="Q748" s="2" t="s">
        <v>18</v>
      </c>
      <c r="R748" s="2">
        <v>80</v>
      </c>
      <c r="S748" s="20">
        <f>Table1[[#This Row],[Net_revenue]]/Table1[[#This Row],[Gross_revenue]]*100%</f>
        <v>0.9</v>
      </c>
      <c r="T748" s="18">
        <f>COUNTIFS(Table1[Customer ID], "&gt;1", Table1[Customer ID], 1)</f>
        <v>0</v>
      </c>
    </row>
    <row r="749" spans="1:20" hidden="1" x14ac:dyDescent="0.3">
      <c r="A749" s="2" t="s">
        <v>1276</v>
      </c>
      <c r="B749" s="5">
        <v>45965</v>
      </c>
      <c r="C749" s="5" t="str">
        <f>TEXT(B749,"mmm")</f>
        <v>Nov</v>
      </c>
      <c r="D749" s="2" t="s">
        <v>58</v>
      </c>
      <c r="E749" s="2" t="s">
        <v>40</v>
      </c>
      <c r="F749" s="2" t="str" cm="1">
        <f t="array" ref="F7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49" s="2" t="str" cm="1">
        <f t="array" ref="G7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49" s="2" t="s">
        <v>188</v>
      </c>
      <c r="I749" s="2" t="s">
        <v>95</v>
      </c>
      <c r="J749" s="2">
        <v>1</v>
      </c>
      <c r="K749" s="8">
        <v>699</v>
      </c>
      <c r="L749" s="3">
        <v>0</v>
      </c>
      <c r="M749" s="12">
        <f>K749*L749</f>
        <v>0</v>
      </c>
      <c r="N749" s="12">
        <f>K749*J749</f>
        <v>699</v>
      </c>
      <c r="O749" s="12">
        <f>N749-M749</f>
        <v>699</v>
      </c>
      <c r="P749" s="2" t="s">
        <v>45</v>
      </c>
      <c r="Q749" s="2" t="s">
        <v>18</v>
      </c>
      <c r="R749" s="2">
        <v>60</v>
      </c>
      <c r="S749" s="20">
        <f>Table1[[#This Row],[Net_revenue]]/Table1[[#This Row],[Gross_revenue]]*100%</f>
        <v>1</v>
      </c>
      <c r="T749" s="18">
        <f>COUNTIFS(Table1[Customer ID], "&gt;1", Table1[Customer ID], 1)</f>
        <v>0</v>
      </c>
    </row>
    <row r="750" spans="1:20" hidden="1" x14ac:dyDescent="0.3">
      <c r="A750" s="2" t="s">
        <v>1277</v>
      </c>
      <c r="B750" s="5">
        <v>45843</v>
      </c>
      <c r="C750" s="5" t="str">
        <f>TEXT(B750,"mmm")</f>
        <v>Jul</v>
      </c>
      <c r="D750" s="2" t="s">
        <v>1278</v>
      </c>
      <c r="E750" s="2" t="s">
        <v>120</v>
      </c>
      <c r="F750" s="2" t="str" cm="1">
        <f t="array" ref="F7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50" s="2" t="str" cm="1">
        <f t="array" ref="G7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50" s="2" t="s">
        <v>22</v>
      </c>
      <c r="I750" s="2" t="s">
        <v>23</v>
      </c>
      <c r="J750" s="2">
        <v>2</v>
      </c>
      <c r="K750" s="8">
        <v>3999</v>
      </c>
      <c r="L750" s="3">
        <v>0.15</v>
      </c>
      <c r="M750" s="12">
        <f>K750*L750</f>
        <v>599.85</v>
      </c>
      <c r="N750" s="12">
        <f>K750*J750</f>
        <v>7998</v>
      </c>
      <c r="O750" s="12">
        <f>N750-M750</f>
        <v>7398.15</v>
      </c>
      <c r="P750" s="2" t="s">
        <v>24</v>
      </c>
      <c r="Q750" s="2" t="s">
        <v>18</v>
      </c>
      <c r="R750" s="2">
        <v>60</v>
      </c>
      <c r="S750" s="20">
        <f>Table1[[#This Row],[Net_revenue]]/Table1[[#This Row],[Gross_revenue]]*100%</f>
        <v>0.92499999999999993</v>
      </c>
      <c r="T750" s="18">
        <f>COUNTIFS(Table1[Customer ID], "&gt;1", Table1[Customer ID], 1)</f>
        <v>0</v>
      </c>
    </row>
    <row r="751" spans="1:20" hidden="1" x14ac:dyDescent="0.3">
      <c r="A751" s="2" t="s">
        <v>1279</v>
      </c>
      <c r="B751" s="5">
        <v>45954</v>
      </c>
      <c r="C751" s="5" t="str">
        <f>TEXT(B751,"mmm")</f>
        <v>Oct</v>
      </c>
      <c r="D751" s="2" t="s">
        <v>1000</v>
      </c>
      <c r="E751" s="2" t="s">
        <v>40</v>
      </c>
      <c r="F751" s="2" t="str" cm="1">
        <f t="array" ref="F7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51" s="2" t="str" cm="1">
        <f t="array" ref="G7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51" s="2" t="s">
        <v>49</v>
      </c>
      <c r="I751" s="2" t="s">
        <v>23</v>
      </c>
      <c r="J751" s="2">
        <v>2</v>
      </c>
      <c r="K751" s="8">
        <v>1299</v>
      </c>
      <c r="L751" s="3">
        <v>0.15</v>
      </c>
      <c r="M751" s="12">
        <f>K751*L751</f>
        <v>194.85</v>
      </c>
      <c r="N751" s="12">
        <f>K751*J751</f>
        <v>2598</v>
      </c>
      <c r="O751" s="12">
        <f>N751-M751</f>
        <v>2403.15</v>
      </c>
      <c r="P751" s="2" t="s">
        <v>45</v>
      </c>
      <c r="Q751" s="2" t="s">
        <v>18</v>
      </c>
      <c r="R751" s="2">
        <v>40</v>
      </c>
      <c r="S751" s="20">
        <f>Table1[[#This Row],[Net_revenue]]/Table1[[#This Row],[Gross_revenue]]*100%</f>
        <v>0.92500000000000004</v>
      </c>
      <c r="T751" s="18">
        <f>COUNTIFS(Table1[Customer ID], "&gt;1", Table1[Customer ID], 1)</f>
        <v>0</v>
      </c>
    </row>
    <row r="752" spans="1:20" hidden="1" x14ac:dyDescent="0.3">
      <c r="A752" s="2" t="s">
        <v>1280</v>
      </c>
      <c r="B752" s="5">
        <v>45736</v>
      </c>
      <c r="C752" s="5" t="str">
        <f>TEXT(B752,"mmm")</f>
        <v>Mar</v>
      </c>
      <c r="D752" s="2" t="s">
        <v>417</v>
      </c>
      <c r="E752" s="2" t="s">
        <v>48</v>
      </c>
      <c r="F752" s="2" t="str" cm="1">
        <f t="array" ref="F7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52" s="2" t="str" cm="1">
        <f t="array" ref="G7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2" s="2" t="s">
        <v>188</v>
      </c>
      <c r="I752" s="2" t="s">
        <v>95</v>
      </c>
      <c r="J752" s="2">
        <v>1</v>
      </c>
      <c r="K752" s="8">
        <v>699</v>
      </c>
      <c r="L752" s="3">
        <v>0.1</v>
      </c>
      <c r="M752" s="12">
        <f>K752*L752</f>
        <v>69.900000000000006</v>
      </c>
      <c r="N752" s="12">
        <f>K752*J752</f>
        <v>699</v>
      </c>
      <c r="O752" s="12">
        <f>N752-M752</f>
        <v>629.1</v>
      </c>
      <c r="P752" s="2" t="s">
        <v>45</v>
      </c>
      <c r="Q752" s="2" t="s">
        <v>18</v>
      </c>
      <c r="R752" s="2">
        <v>60</v>
      </c>
      <c r="S752" s="20">
        <f>Table1[[#This Row],[Net_revenue]]/Table1[[#This Row],[Gross_revenue]]*100%</f>
        <v>0.9</v>
      </c>
      <c r="T752" s="18">
        <f>COUNTIFS(Table1[Customer ID], "&gt;1", Table1[Customer ID], 1)</f>
        <v>0</v>
      </c>
    </row>
    <row r="753" spans="1:20" hidden="1" x14ac:dyDescent="0.3">
      <c r="A753" s="2" t="s">
        <v>1281</v>
      </c>
      <c r="B753" s="5">
        <v>45850</v>
      </c>
      <c r="C753" s="5" t="str">
        <f>TEXT(B753,"mmm")</f>
        <v>Jul</v>
      </c>
      <c r="D753" s="2" t="s">
        <v>530</v>
      </c>
      <c r="E753" s="2" t="s">
        <v>27</v>
      </c>
      <c r="F753" s="2" t="str" cm="1">
        <f t="array" ref="F7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53" s="2" t="str" cm="1">
        <f t="array" ref="G7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3" s="2" t="s">
        <v>63</v>
      </c>
      <c r="I753" s="2" t="s">
        <v>23</v>
      </c>
      <c r="J753" s="2">
        <v>3</v>
      </c>
      <c r="K753" s="8">
        <v>2499</v>
      </c>
      <c r="L753" s="3">
        <v>0.25</v>
      </c>
      <c r="M753" s="12">
        <f>K753*L753</f>
        <v>624.75</v>
      </c>
      <c r="N753" s="12">
        <f>K753*J753</f>
        <v>7497</v>
      </c>
      <c r="O753" s="12">
        <f>N753-M753</f>
        <v>6872.25</v>
      </c>
      <c r="P753" s="2" t="s">
        <v>45</v>
      </c>
      <c r="Q753" s="2" t="s">
        <v>18</v>
      </c>
      <c r="R753" s="2">
        <v>0</v>
      </c>
      <c r="S753" s="20">
        <f>Table1[[#This Row],[Net_revenue]]/Table1[[#This Row],[Gross_revenue]]*100%</f>
        <v>0.91666666666666663</v>
      </c>
      <c r="T753" s="18">
        <f>COUNTIFS(Table1[Customer ID], "&gt;1", Table1[Customer ID], 1)</f>
        <v>0</v>
      </c>
    </row>
    <row r="754" spans="1:20" hidden="1" x14ac:dyDescent="0.3">
      <c r="A754" s="2" t="s">
        <v>1282</v>
      </c>
      <c r="B754" s="5">
        <v>45816</v>
      </c>
      <c r="C754" s="5" t="str">
        <f>TEXT(B754,"mmm")</f>
        <v>Jun</v>
      </c>
      <c r="D754" s="2" t="s">
        <v>241</v>
      </c>
      <c r="E754" s="2" t="s">
        <v>27</v>
      </c>
      <c r="F754" s="2" t="str" cm="1">
        <f t="array" ref="F7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54" s="2" t="str" cm="1">
        <f t="array" ref="G7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4" s="2" t="s">
        <v>65</v>
      </c>
      <c r="I754" s="2" t="s">
        <v>23</v>
      </c>
      <c r="J754" s="2">
        <v>1</v>
      </c>
      <c r="K754" s="8">
        <v>1899</v>
      </c>
      <c r="L754" s="3">
        <v>0.1</v>
      </c>
      <c r="M754" s="12">
        <f>K754*L754</f>
        <v>189.9</v>
      </c>
      <c r="N754" s="12">
        <f>K754*J754</f>
        <v>1899</v>
      </c>
      <c r="O754" s="12">
        <f>N754-M754</f>
        <v>1709.1</v>
      </c>
      <c r="P754" s="2" t="s">
        <v>45</v>
      </c>
      <c r="Q754" s="2" t="s">
        <v>72</v>
      </c>
      <c r="R754" s="2">
        <v>40</v>
      </c>
      <c r="S754" s="20">
        <f>Table1[[#This Row],[Net_revenue]]/Table1[[#This Row],[Gross_revenue]]*100%</f>
        <v>0.89999999999999991</v>
      </c>
      <c r="T754" s="18">
        <f>COUNTIFS(Table1[Customer ID], "&gt;1", Table1[Customer ID], 1)</f>
        <v>0</v>
      </c>
    </row>
    <row r="755" spans="1:20" hidden="1" x14ac:dyDescent="0.3">
      <c r="A755" s="2" t="s">
        <v>1283</v>
      </c>
      <c r="B755" s="5">
        <v>45672</v>
      </c>
      <c r="C755" s="5" t="str">
        <f>TEXT(B755,"mmm")</f>
        <v>Jan</v>
      </c>
      <c r="D755" s="2" t="s">
        <v>1284</v>
      </c>
      <c r="E755" s="2" t="s">
        <v>56</v>
      </c>
      <c r="F755" s="2" t="str" cm="1">
        <f t="array" ref="F7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55" s="2" t="str" cm="1">
        <f t="array" ref="G7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5" s="2" t="s">
        <v>44</v>
      </c>
      <c r="I755" s="2" t="s">
        <v>16</v>
      </c>
      <c r="J755" s="2">
        <v>1</v>
      </c>
      <c r="K755" s="8">
        <v>1599</v>
      </c>
      <c r="L755" s="3">
        <v>0.15</v>
      </c>
      <c r="M755" s="12">
        <f>K755*L755</f>
        <v>239.85</v>
      </c>
      <c r="N755" s="12">
        <f>K755*J755</f>
        <v>1599</v>
      </c>
      <c r="O755" s="12">
        <f>N755-M755</f>
        <v>1359.15</v>
      </c>
      <c r="P755" s="2" t="s">
        <v>45</v>
      </c>
      <c r="Q755" s="2" t="s">
        <v>18</v>
      </c>
      <c r="R755" s="2">
        <v>0</v>
      </c>
      <c r="S755" s="20">
        <f>Table1[[#This Row],[Net_revenue]]/Table1[[#This Row],[Gross_revenue]]*100%</f>
        <v>0.85000000000000009</v>
      </c>
      <c r="T755" s="18">
        <f>COUNTIFS(Table1[Customer ID], "&gt;1", Table1[Customer ID], 1)</f>
        <v>0</v>
      </c>
    </row>
    <row r="756" spans="1:20" hidden="1" x14ac:dyDescent="0.3">
      <c r="A756" s="2" t="s">
        <v>1285</v>
      </c>
      <c r="B756" s="5">
        <v>45766</v>
      </c>
      <c r="C756" s="5" t="str">
        <f>TEXT(B756,"mmm")</f>
        <v>Apr</v>
      </c>
      <c r="D756" s="2" t="s">
        <v>109</v>
      </c>
      <c r="E756" s="2" t="s">
        <v>56</v>
      </c>
      <c r="F756" s="2" t="str" cm="1">
        <f t="array" ref="F7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56" s="2" t="str" cm="1">
        <f t="array" ref="G7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6" s="2" t="s">
        <v>33</v>
      </c>
      <c r="I756" s="2" t="s">
        <v>16</v>
      </c>
      <c r="J756" s="2">
        <v>1</v>
      </c>
      <c r="K756" s="8">
        <v>899</v>
      </c>
      <c r="L756" s="3">
        <v>0.1</v>
      </c>
      <c r="M756" s="12">
        <f>K756*L756</f>
        <v>89.9</v>
      </c>
      <c r="N756" s="12">
        <f>K756*J756</f>
        <v>899</v>
      </c>
      <c r="O756" s="12">
        <f>N756-M756</f>
        <v>809.1</v>
      </c>
      <c r="P756" s="2" t="s">
        <v>17</v>
      </c>
      <c r="Q756" s="2" t="s">
        <v>18</v>
      </c>
      <c r="R756" s="2">
        <v>60</v>
      </c>
      <c r="S756" s="20">
        <f>Table1[[#This Row],[Net_revenue]]/Table1[[#This Row],[Gross_revenue]]*100%</f>
        <v>0.9</v>
      </c>
      <c r="T756" s="18">
        <f>COUNTIFS(Table1[Customer ID], "&gt;1", Table1[Customer ID], 1)</f>
        <v>0</v>
      </c>
    </row>
    <row r="757" spans="1:20" hidden="1" x14ac:dyDescent="0.3">
      <c r="A757" s="2" t="s">
        <v>1286</v>
      </c>
      <c r="B757" s="5">
        <v>45797</v>
      </c>
      <c r="C757" s="5" t="str">
        <f>TEXT(B757,"mmm")</f>
        <v>May</v>
      </c>
      <c r="D757" s="2" t="s">
        <v>1287</v>
      </c>
      <c r="E757" s="2" t="s">
        <v>40</v>
      </c>
      <c r="F757" s="2" t="str" cm="1">
        <f t="array" ref="F7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57" s="2" t="str" cm="1">
        <f t="array" ref="G7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57" s="2" t="s">
        <v>117</v>
      </c>
      <c r="I757" s="2" t="s">
        <v>23</v>
      </c>
      <c r="J757" s="2">
        <v>1</v>
      </c>
      <c r="K757" s="8">
        <v>2199</v>
      </c>
      <c r="L757" s="3">
        <v>0</v>
      </c>
      <c r="M757" s="12">
        <f>K757*L757</f>
        <v>0</v>
      </c>
      <c r="N757" s="12">
        <f>K757*J757</f>
        <v>2199</v>
      </c>
      <c r="O757" s="12">
        <f>N757-M757</f>
        <v>2199</v>
      </c>
      <c r="P757" s="2" t="s">
        <v>30</v>
      </c>
      <c r="Q757" s="2" t="s">
        <v>18</v>
      </c>
      <c r="R757" s="2">
        <v>80</v>
      </c>
      <c r="S757" s="20">
        <f>Table1[[#This Row],[Net_revenue]]/Table1[[#This Row],[Gross_revenue]]*100%</f>
        <v>1</v>
      </c>
      <c r="T757" s="18">
        <f>COUNTIFS(Table1[Customer ID], "&gt;1", Table1[Customer ID], 1)</f>
        <v>0</v>
      </c>
    </row>
    <row r="758" spans="1:20" hidden="1" x14ac:dyDescent="0.3">
      <c r="A758" s="2" t="s">
        <v>1288</v>
      </c>
      <c r="B758" s="5">
        <v>45813</v>
      </c>
      <c r="C758" s="5" t="str">
        <f>TEXT(B758,"mmm")</f>
        <v>Jun</v>
      </c>
      <c r="D758" s="2" t="s">
        <v>209</v>
      </c>
      <c r="E758" s="2" t="s">
        <v>48</v>
      </c>
      <c r="F758" s="2" t="str" cm="1">
        <f t="array" ref="F7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58" s="2" t="str" cm="1">
        <f t="array" ref="G7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8" s="2" t="s">
        <v>188</v>
      </c>
      <c r="I758" s="2" t="s">
        <v>95</v>
      </c>
      <c r="J758" s="2">
        <v>2</v>
      </c>
      <c r="K758" s="8">
        <v>699</v>
      </c>
      <c r="L758" s="3">
        <v>0.05</v>
      </c>
      <c r="M758" s="12">
        <f>K758*L758</f>
        <v>34.950000000000003</v>
      </c>
      <c r="N758" s="12">
        <f>K758*J758</f>
        <v>1398</v>
      </c>
      <c r="O758" s="12">
        <f>N758-M758</f>
        <v>1363.05</v>
      </c>
      <c r="P758" s="2" t="s">
        <v>17</v>
      </c>
      <c r="Q758" s="2" t="s">
        <v>18</v>
      </c>
      <c r="R758" s="2">
        <v>0</v>
      </c>
      <c r="S758" s="20">
        <f>Table1[[#This Row],[Net_revenue]]/Table1[[#This Row],[Gross_revenue]]*100%</f>
        <v>0.97499999999999998</v>
      </c>
      <c r="T758" s="18">
        <f>COUNTIFS(Table1[Customer ID], "&gt;1", Table1[Customer ID], 1)</f>
        <v>0</v>
      </c>
    </row>
    <row r="759" spans="1:20" hidden="1" x14ac:dyDescent="0.3">
      <c r="A759" s="2" t="s">
        <v>1289</v>
      </c>
      <c r="B759" s="5">
        <v>45976</v>
      </c>
      <c r="C759" s="5" t="str">
        <f>TEXT(B759,"mmm")</f>
        <v>Nov</v>
      </c>
      <c r="D759" s="2" t="s">
        <v>834</v>
      </c>
      <c r="E759" s="2" t="s">
        <v>48</v>
      </c>
      <c r="F759" s="2" t="str" cm="1">
        <f t="array" ref="F7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59" s="2" t="str" cm="1">
        <f t="array" ref="G7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59" s="2" t="s">
        <v>117</v>
      </c>
      <c r="I759" s="2" t="s">
        <v>23</v>
      </c>
      <c r="J759" s="2">
        <v>3</v>
      </c>
      <c r="K759" s="8">
        <v>2199</v>
      </c>
      <c r="L759" s="3">
        <v>0.15</v>
      </c>
      <c r="M759" s="12">
        <f>K759*L759</f>
        <v>329.84999999999997</v>
      </c>
      <c r="N759" s="12">
        <f>K759*J759</f>
        <v>6597</v>
      </c>
      <c r="O759" s="12">
        <f>N759-M759</f>
        <v>6267.15</v>
      </c>
      <c r="P759" s="2" t="s">
        <v>30</v>
      </c>
      <c r="Q759" s="2" t="s">
        <v>18</v>
      </c>
      <c r="R759" s="2">
        <v>60</v>
      </c>
      <c r="S759" s="20">
        <f>Table1[[#This Row],[Net_revenue]]/Table1[[#This Row],[Gross_revenue]]*100%</f>
        <v>0.95</v>
      </c>
      <c r="T759" s="18">
        <f>COUNTIFS(Table1[Customer ID], "&gt;1", Table1[Customer ID], 1)</f>
        <v>0</v>
      </c>
    </row>
    <row r="760" spans="1:20" hidden="1" x14ac:dyDescent="0.3">
      <c r="A760" s="2" t="s">
        <v>1290</v>
      </c>
      <c r="B760" s="5">
        <v>45794</v>
      </c>
      <c r="C760" s="5" t="str">
        <f>TEXT(B760,"mmm")</f>
        <v>May</v>
      </c>
      <c r="D760" s="2" t="s">
        <v>1291</v>
      </c>
      <c r="E760" s="2" t="s">
        <v>48</v>
      </c>
      <c r="F760" s="2" t="str" cm="1">
        <f t="array" ref="F7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60" s="2" t="str" cm="1">
        <f t="array" ref="G7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60" s="2" t="s">
        <v>121</v>
      </c>
      <c r="I760" s="2" t="s">
        <v>95</v>
      </c>
      <c r="J760" s="2">
        <v>1</v>
      </c>
      <c r="K760" s="8">
        <v>1299</v>
      </c>
      <c r="L760" s="3">
        <v>0.1</v>
      </c>
      <c r="M760" s="12">
        <f>K760*L760</f>
        <v>129.9</v>
      </c>
      <c r="N760" s="12">
        <f>K760*J760</f>
        <v>1299</v>
      </c>
      <c r="O760" s="12">
        <f>N760-M760</f>
        <v>1169.0999999999999</v>
      </c>
      <c r="P760" s="2" t="s">
        <v>17</v>
      </c>
      <c r="Q760" s="2" t="s">
        <v>18</v>
      </c>
      <c r="R760" s="2">
        <v>60</v>
      </c>
      <c r="S760" s="20">
        <f>Table1[[#This Row],[Net_revenue]]/Table1[[#This Row],[Gross_revenue]]*100%</f>
        <v>0.89999999999999991</v>
      </c>
      <c r="T760" s="18">
        <f>COUNTIFS(Table1[Customer ID], "&gt;1", Table1[Customer ID], 1)</f>
        <v>0</v>
      </c>
    </row>
    <row r="761" spans="1:20" hidden="1" x14ac:dyDescent="0.3">
      <c r="A761" s="2" t="s">
        <v>1292</v>
      </c>
      <c r="B761" s="5">
        <v>46003</v>
      </c>
      <c r="C761" s="5" t="str">
        <f>TEXT(B761,"mmm")</f>
        <v>Dec</v>
      </c>
      <c r="D761" s="2" t="s">
        <v>1170</v>
      </c>
      <c r="E761" s="2" t="s">
        <v>21</v>
      </c>
      <c r="F761" s="2" t="str" cm="1">
        <f t="array" ref="F7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61" s="2" t="str" cm="1">
        <f t="array" ref="G7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61" s="2" t="s">
        <v>22</v>
      </c>
      <c r="I761" s="2" t="s">
        <v>23</v>
      </c>
      <c r="J761" s="2">
        <v>1</v>
      </c>
      <c r="K761" s="8">
        <v>3999</v>
      </c>
      <c r="L761" s="3">
        <v>0.05</v>
      </c>
      <c r="M761" s="12">
        <f>K761*L761</f>
        <v>199.95000000000002</v>
      </c>
      <c r="N761" s="12">
        <f>K761*J761</f>
        <v>3999</v>
      </c>
      <c r="O761" s="12">
        <f>N761-M761</f>
        <v>3799.05</v>
      </c>
      <c r="P761" s="2" t="s">
        <v>30</v>
      </c>
      <c r="Q761" s="2" t="s">
        <v>18</v>
      </c>
      <c r="R761" s="2">
        <v>40</v>
      </c>
      <c r="S761" s="20">
        <f>Table1[[#This Row],[Net_revenue]]/Table1[[#This Row],[Gross_revenue]]*100%</f>
        <v>0.95000000000000007</v>
      </c>
      <c r="T761" s="18">
        <f>COUNTIFS(Table1[Customer ID], "&gt;1", Table1[Customer ID], 1)</f>
        <v>0</v>
      </c>
    </row>
    <row r="762" spans="1:20" hidden="1" x14ac:dyDescent="0.3">
      <c r="A762" s="2" t="s">
        <v>1293</v>
      </c>
      <c r="B762" s="5">
        <v>45902</v>
      </c>
      <c r="C762" s="5" t="str">
        <f>TEXT(B762,"mmm")</f>
        <v>Sep</v>
      </c>
      <c r="D762" s="2" t="s">
        <v>828</v>
      </c>
      <c r="E762" s="2" t="s">
        <v>56</v>
      </c>
      <c r="F762" s="2" t="str" cm="1">
        <f t="array" ref="F7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62" s="2" t="str" cm="1">
        <f t="array" ref="G7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62" s="2" t="s">
        <v>107</v>
      </c>
      <c r="I762" s="2" t="s">
        <v>95</v>
      </c>
      <c r="J762" s="2">
        <v>1</v>
      </c>
      <c r="K762" s="8">
        <v>1599</v>
      </c>
      <c r="L762" s="3">
        <v>0.25</v>
      </c>
      <c r="M762" s="12">
        <f>K762*L762</f>
        <v>399.75</v>
      </c>
      <c r="N762" s="12">
        <f>K762*J762</f>
        <v>1599</v>
      </c>
      <c r="O762" s="12">
        <f>N762-M762</f>
        <v>1199.25</v>
      </c>
      <c r="P762" s="2" t="s">
        <v>30</v>
      </c>
      <c r="Q762" s="2" t="s">
        <v>18</v>
      </c>
      <c r="R762" s="2">
        <v>80</v>
      </c>
      <c r="S762" s="20">
        <f>Table1[[#This Row],[Net_revenue]]/Table1[[#This Row],[Gross_revenue]]*100%</f>
        <v>0.75</v>
      </c>
      <c r="T762" s="18">
        <f>COUNTIFS(Table1[Customer ID], "&gt;1", Table1[Customer ID], 1)</f>
        <v>0</v>
      </c>
    </row>
    <row r="763" spans="1:20" hidden="1" x14ac:dyDescent="0.3">
      <c r="A763" s="2" t="s">
        <v>1294</v>
      </c>
      <c r="B763" s="5">
        <v>45915</v>
      </c>
      <c r="C763" s="5" t="str">
        <f>TEXT(B763,"mmm")</f>
        <v>Sep</v>
      </c>
      <c r="D763" s="2" t="s">
        <v>199</v>
      </c>
      <c r="E763" s="2" t="s">
        <v>56</v>
      </c>
      <c r="F763" s="2" t="str" cm="1">
        <f t="array" ref="F7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63" s="2" t="str" cm="1">
        <f t="array" ref="G7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63" s="2" t="s">
        <v>71</v>
      </c>
      <c r="I763" s="2" t="s">
        <v>29</v>
      </c>
      <c r="J763" s="2">
        <v>1</v>
      </c>
      <c r="K763" s="8">
        <v>5499</v>
      </c>
      <c r="L763" s="3">
        <v>0.05</v>
      </c>
      <c r="M763" s="12">
        <f>K763*L763</f>
        <v>274.95</v>
      </c>
      <c r="N763" s="12">
        <f>K763*J763</f>
        <v>5499</v>
      </c>
      <c r="O763" s="12">
        <f>N763-M763</f>
        <v>5224.05</v>
      </c>
      <c r="P763" s="2" t="s">
        <v>45</v>
      </c>
      <c r="Q763" s="2" t="s">
        <v>18</v>
      </c>
      <c r="R763" s="2">
        <v>0</v>
      </c>
      <c r="S763" s="20">
        <f>Table1[[#This Row],[Net_revenue]]/Table1[[#This Row],[Gross_revenue]]*100%</f>
        <v>0.95000000000000007</v>
      </c>
      <c r="T763" s="18">
        <f>COUNTIFS(Table1[Customer ID], "&gt;1", Table1[Customer ID], 1)</f>
        <v>0</v>
      </c>
    </row>
    <row r="764" spans="1:20" hidden="1" x14ac:dyDescent="0.3">
      <c r="A764" s="2" t="s">
        <v>1295</v>
      </c>
      <c r="B764" s="5">
        <v>45935</v>
      </c>
      <c r="C764" s="5" t="str">
        <f>TEXT(B764,"mmm")</f>
        <v>Oct</v>
      </c>
      <c r="D764" s="2" t="s">
        <v>1296</v>
      </c>
      <c r="E764" s="2" t="s">
        <v>21</v>
      </c>
      <c r="F764" s="2" t="str" cm="1">
        <f t="array" ref="F7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64" s="2" t="str" cm="1">
        <f t="array" ref="G7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64" s="2" t="s">
        <v>117</v>
      </c>
      <c r="I764" s="2" t="s">
        <v>23</v>
      </c>
      <c r="J764" s="2">
        <v>2</v>
      </c>
      <c r="K764" s="8">
        <v>2199</v>
      </c>
      <c r="L764" s="3">
        <v>0.1</v>
      </c>
      <c r="M764" s="12">
        <f>K764*L764</f>
        <v>219.9</v>
      </c>
      <c r="N764" s="12">
        <f>K764*J764</f>
        <v>4398</v>
      </c>
      <c r="O764" s="12">
        <f>N764-M764</f>
        <v>4178.1000000000004</v>
      </c>
      <c r="P764" s="2" t="s">
        <v>30</v>
      </c>
      <c r="Q764" s="2" t="s">
        <v>50</v>
      </c>
      <c r="R764" s="2">
        <v>40</v>
      </c>
      <c r="S764" s="20">
        <f>Table1[[#This Row],[Net_revenue]]/Table1[[#This Row],[Gross_revenue]]*100%</f>
        <v>0.95000000000000007</v>
      </c>
      <c r="T764" s="18">
        <f>COUNTIFS(Table1[Customer ID], "&gt;1", Table1[Customer ID], 1)</f>
        <v>0</v>
      </c>
    </row>
    <row r="765" spans="1:20" hidden="1" x14ac:dyDescent="0.3">
      <c r="A765" s="2" t="s">
        <v>1297</v>
      </c>
      <c r="B765" s="5">
        <v>45935</v>
      </c>
      <c r="C765" s="5" t="str">
        <f>TEXT(B765,"mmm")</f>
        <v>Oct</v>
      </c>
      <c r="D765" s="2" t="s">
        <v>456</v>
      </c>
      <c r="E765" s="2" t="s">
        <v>21</v>
      </c>
      <c r="F765" s="2" t="str" cm="1">
        <f t="array" ref="F7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65" s="2" t="str" cm="1">
        <f t="array" ref="G7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65" s="2" t="s">
        <v>94</v>
      </c>
      <c r="I765" s="2" t="s">
        <v>95</v>
      </c>
      <c r="J765" s="2">
        <v>2</v>
      </c>
      <c r="K765" s="8">
        <v>399</v>
      </c>
      <c r="L765" s="3">
        <v>0</v>
      </c>
      <c r="M765" s="12">
        <f>K765*L765</f>
        <v>0</v>
      </c>
      <c r="N765" s="12">
        <f>K765*J765</f>
        <v>798</v>
      </c>
      <c r="O765" s="12">
        <f>N765-M765</f>
        <v>798</v>
      </c>
      <c r="P765" s="2" t="s">
        <v>30</v>
      </c>
      <c r="Q765" s="2" t="s">
        <v>18</v>
      </c>
      <c r="R765" s="2">
        <v>0</v>
      </c>
      <c r="S765" s="20">
        <f>Table1[[#This Row],[Net_revenue]]/Table1[[#This Row],[Gross_revenue]]*100%</f>
        <v>1</v>
      </c>
      <c r="T765" s="18">
        <f>COUNTIFS(Table1[Customer ID], "&gt;1", Table1[Customer ID], 1)</f>
        <v>0</v>
      </c>
    </row>
    <row r="766" spans="1:20" hidden="1" x14ac:dyDescent="0.3">
      <c r="A766" s="2" t="s">
        <v>1298</v>
      </c>
      <c r="B766" s="5">
        <v>46008</v>
      </c>
      <c r="C766" s="5" t="str">
        <f>TEXT(B766,"mmm")</f>
        <v>Dec</v>
      </c>
      <c r="D766" s="2" t="s">
        <v>994</v>
      </c>
      <c r="E766" s="2" t="s">
        <v>120</v>
      </c>
      <c r="F766" s="2" t="str" cm="1">
        <f t="array" ref="F7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66" s="2" t="str" cm="1">
        <f t="array" ref="G7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66" s="2" t="s">
        <v>217</v>
      </c>
      <c r="I766" s="2" t="s">
        <v>29</v>
      </c>
      <c r="J766" s="2">
        <v>1</v>
      </c>
      <c r="K766" s="8">
        <v>3299</v>
      </c>
      <c r="L766" s="3">
        <v>0.05</v>
      </c>
      <c r="M766" s="12">
        <f>K766*L766</f>
        <v>164.95000000000002</v>
      </c>
      <c r="N766" s="12">
        <f>K766*J766</f>
        <v>3299</v>
      </c>
      <c r="O766" s="12">
        <f>N766-M766</f>
        <v>3134.05</v>
      </c>
      <c r="P766" s="2" t="s">
        <v>24</v>
      </c>
      <c r="Q766" s="2" t="s">
        <v>18</v>
      </c>
      <c r="R766" s="2">
        <v>40</v>
      </c>
      <c r="S766" s="20">
        <f>Table1[[#This Row],[Net_revenue]]/Table1[[#This Row],[Gross_revenue]]*100%</f>
        <v>0.95000000000000007</v>
      </c>
      <c r="T766" s="18">
        <f>COUNTIFS(Table1[Customer ID], "&gt;1", Table1[Customer ID], 1)</f>
        <v>0</v>
      </c>
    </row>
    <row r="767" spans="1:20" hidden="1" x14ac:dyDescent="0.3">
      <c r="A767" s="2" t="s">
        <v>1299</v>
      </c>
      <c r="B767" s="5">
        <v>45688</v>
      </c>
      <c r="C767" s="5" t="str">
        <f>TEXT(B767,"mmm")</f>
        <v>Jan</v>
      </c>
      <c r="D767" s="2" t="s">
        <v>1300</v>
      </c>
      <c r="E767" s="2" t="s">
        <v>27</v>
      </c>
      <c r="F767" s="2" t="str" cm="1">
        <f t="array" ref="F7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67" s="2" t="str" cm="1">
        <f t="array" ref="G7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67" s="2" t="s">
        <v>217</v>
      </c>
      <c r="I767" s="2" t="s">
        <v>29</v>
      </c>
      <c r="J767" s="2">
        <v>2</v>
      </c>
      <c r="K767" s="8">
        <v>3299</v>
      </c>
      <c r="L767" s="3">
        <v>0.1</v>
      </c>
      <c r="M767" s="12">
        <f>K767*L767</f>
        <v>329.90000000000003</v>
      </c>
      <c r="N767" s="12">
        <f>K767*J767</f>
        <v>6598</v>
      </c>
      <c r="O767" s="12">
        <f>N767-M767</f>
        <v>6268.1</v>
      </c>
      <c r="P767" s="2" t="s">
        <v>45</v>
      </c>
      <c r="Q767" s="2" t="s">
        <v>18</v>
      </c>
      <c r="R767" s="2">
        <v>40</v>
      </c>
      <c r="S767" s="20">
        <f>Table1[[#This Row],[Net_revenue]]/Table1[[#This Row],[Gross_revenue]]*100%</f>
        <v>0.95000000000000007</v>
      </c>
      <c r="T767" s="18">
        <f>COUNTIFS(Table1[Customer ID], "&gt;1", Table1[Customer ID], 1)</f>
        <v>0</v>
      </c>
    </row>
    <row r="768" spans="1:20" hidden="1" x14ac:dyDescent="0.3">
      <c r="A768" s="2" t="s">
        <v>1301</v>
      </c>
      <c r="B768" s="5">
        <v>45742</v>
      </c>
      <c r="C768" s="5" t="str">
        <f>TEXT(B768,"mmm")</f>
        <v>Mar</v>
      </c>
      <c r="D768" s="2" t="s">
        <v>1302</v>
      </c>
      <c r="E768" s="2" t="s">
        <v>27</v>
      </c>
      <c r="F768" s="2" t="str" cm="1">
        <f t="array" ref="F7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68" s="2" t="str" cm="1">
        <f t="array" ref="G7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68" s="2" t="s">
        <v>22</v>
      </c>
      <c r="I768" s="2" t="s">
        <v>23</v>
      </c>
      <c r="J768" s="2">
        <v>1</v>
      </c>
      <c r="K768" s="8">
        <v>3999</v>
      </c>
      <c r="L768" s="3">
        <v>0.05</v>
      </c>
      <c r="M768" s="12">
        <f>K768*L768</f>
        <v>199.95000000000002</v>
      </c>
      <c r="N768" s="12">
        <f>K768*J768</f>
        <v>3999</v>
      </c>
      <c r="O768" s="12">
        <f>N768-M768</f>
        <v>3799.05</v>
      </c>
      <c r="P768" s="2" t="s">
        <v>17</v>
      </c>
      <c r="Q768" s="2" t="s">
        <v>18</v>
      </c>
      <c r="R768" s="2">
        <v>80</v>
      </c>
      <c r="S768" s="20">
        <f>Table1[[#This Row],[Net_revenue]]/Table1[[#This Row],[Gross_revenue]]*100%</f>
        <v>0.95000000000000007</v>
      </c>
      <c r="T768" s="18">
        <f>COUNTIFS(Table1[Customer ID], "&gt;1", Table1[Customer ID], 1)</f>
        <v>0</v>
      </c>
    </row>
    <row r="769" spans="1:20" hidden="1" x14ac:dyDescent="0.3">
      <c r="A769" s="2" t="s">
        <v>1303</v>
      </c>
      <c r="B769" s="5">
        <v>45870</v>
      </c>
      <c r="C769" s="5" t="str">
        <f>TEXT(B769,"mmm")</f>
        <v>Aug</v>
      </c>
      <c r="D769" s="2" t="s">
        <v>1304</v>
      </c>
      <c r="E769" s="2" t="s">
        <v>120</v>
      </c>
      <c r="F769" s="2" t="str" cm="1">
        <f t="array" ref="F7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69" s="2" t="str" cm="1">
        <f t="array" ref="G7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69" s="2" t="s">
        <v>41</v>
      </c>
      <c r="I769" s="2" t="s">
        <v>16</v>
      </c>
      <c r="J769" s="2">
        <v>5</v>
      </c>
      <c r="K769" s="8">
        <v>2299</v>
      </c>
      <c r="L769" s="3">
        <v>0.15</v>
      </c>
      <c r="M769" s="12">
        <f>K769*L769</f>
        <v>344.84999999999997</v>
      </c>
      <c r="N769" s="12">
        <f>K769*J769</f>
        <v>11495</v>
      </c>
      <c r="O769" s="12">
        <f>N769-M769</f>
        <v>11150.15</v>
      </c>
      <c r="P769" s="2" t="s">
        <v>30</v>
      </c>
      <c r="Q769" s="2" t="s">
        <v>18</v>
      </c>
      <c r="R769" s="2">
        <v>80</v>
      </c>
      <c r="S769" s="20">
        <f>Table1[[#This Row],[Net_revenue]]/Table1[[#This Row],[Gross_revenue]]*100%</f>
        <v>0.97</v>
      </c>
      <c r="T769" s="18">
        <f>COUNTIFS(Table1[Customer ID], "&gt;1", Table1[Customer ID], 1)</f>
        <v>0</v>
      </c>
    </row>
    <row r="770" spans="1:20" hidden="1" x14ac:dyDescent="0.3">
      <c r="A770" s="2" t="s">
        <v>1305</v>
      </c>
      <c r="B770" s="5">
        <v>46011</v>
      </c>
      <c r="C770" s="5" t="str">
        <f>TEXT(B770,"mmm")</f>
        <v>Dec</v>
      </c>
      <c r="D770" s="2" t="s">
        <v>280</v>
      </c>
      <c r="E770" s="2" t="s">
        <v>48</v>
      </c>
      <c r="F770" s="2" t="str" cm="1">
        <f t="array" ref="F7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70" s="2" t="str" cm="1">
        <f t="array" ref="G7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70" s="2" t="s">
        <v>80</v>
      </c>
      <c r="I770" s="2" t="s">
        <v>23</v>
      </c>
      <c r="J770" s="2">
        <v>1</v>
      </c>
      <c r="K770" s="8">
        <v>799</v>
      </c>
      <c r="L770" s="3">
        <v>0.05</v>
      </c>
      <c r="M770" s="12">
        <f>K770*L770</f>
        <v>39.950000000000003</v>
      </c>
      <c r="N770" s="12">
        <f>K770*J770</f>
        <v>799</v>
      </c>
      <c r="O770" s="12">
        <f>N770-M770</f>
        <v>759.05</v>
      </c>
      <c r="P770" s="2" t="s">
        <v>45</v>
      </c>
      <c r="Q770" s="2" t="s">
        <v>18</v>
      </c>
      <c r="R770" s="2">
        <v>60</v>
      </c>
      <c r="S770" s="20">
        <f>Table1[[#This Row],[Net_revenue]]/Table1[[#This Row],[Gross_revenue]]*100%</f>
        <v>0.95</v>
      </c>
      <c r="T770" s="18">
        <f>COUNTIFS(Table1[Customer ID], "&gt;1", Table1[Customer ID], 1)</f>
        <v>0</v>
      </c>
    </row>
    <row r="771" spans="1:20" hidden="1" x14ac:dyDescent="0.3">
      <c r="A771" s="2" t="s">
        <v>1306</v>
      </c>
      <c r="B771" s="5">
        <v>45719</v>
      </c>
      <c r="C771" s="5" t="str">
        <f>TEXT(B771,"mmm")</f>
        <v>Mar</v>
      </c>
      <c r="D771" s="2" t="s">
        <v>1307</v>
      </c>
      <c r="E771" s="2" t="s">
        <v>120</v>
      </c>
      <c r="F771" s="2" t="str" cm="1">
        <f t="array" ref="F7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71" s="2" t="str" cm="1">
        <f t="array" ref="G7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71" s="2" t="s">
        <v>117</v>
      </c>
      <c r="I771" s="2" t="s">
        <v>23</v>
      </c>
      <c r="J771" s="2">
        <v>2</v>
      </c>
      <c r="K771" s="8">
        <v>2199</v>
      </c>
      <c r="L771" s="3">
        <v>0.1</v>
      </c>
      <c r="M771" s="12">
        <f>K771*L771</f>
        <v>219.9</v>
      </c>
      <c r="N771" s="12">
        <f>K771*J771</f>
        <v>4398</v>
      </c>
      <c r="O771" s="12">
        <f>N771-M771</f>
        <v>4178.1000000000004</v>
      </c>
      <c r="P771" s="2" t="s">
        <v>17</v>
      </c>
      <c r="Q771" s="2" t="s">
        <v>18</v>
      </c>
      <c r="R771" s="2">
        <v>40</v>
      </c>
      <c r="S771" s="20">
        <f>Table1[[#This Row],[Net_revenue]]/Table1[[#This Row],[Gross_revenue]]*100%</f>
        <v>0.95000000000000007</v>
      </c>
      <c r="T771" s="18">
        <f>COUNTIFS(Table1[Customer ID], "&gt;1", Table1[Customer ID], 1)</f>
        <v>0</v>
      </c>
    </row>
    <row r="772" spans="1:20" hidden="1" x14ac:dyDescent="0.3">
      <c r="A772" s="2" t="s">
        <v>1308</v>
      </c>
      <c r="B772" s="5">
        <v>45688</v>
      </c>
      <c r="C772" s="5" t="str">
        <f>TEXT(B772,"mmm")</f>
        <v>Jan</v>
      </c>
      <c r="D772" s="2" t="s">
        <v>349</v>
      </c>
      <c r="E772" s="2" t="s">
        <v>40</v>
      </c>
      <c r="F772" s="2" t="str" cm="1">
        <f t="array" ref="F7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72" s="2" t="str" cm="1">
        <f t="array" ref="G7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72" s="2" t="s">
        <v>121</v>
      </c>
      <c r="I772" s="2" t="s">
        <v>95</v>
      </c>
      <c r="J772" s="2">
        <v>1</v>
      </c>
      <c r="K772" s="8">
        <v>1299</v>
      </c>
      <c r="L772" s="3">
        <v>0.25</v>
      </c>
      <c r="M772" s="12">
        <f>K772*L772</f>
        <v>324.75</v>
      </c>
      <c r="N772" s="12">
        <f>K772*J772</f>
        <v>1299</v>
      </c>
      <c r="O772" s="12">
        <f>N772-M772</f>
        <v>974.25</v>
      </c>
      <c r="P772" s="2" t="s">
        <v>45</v>
      </c>
      <c r="Q772" s="2" t="s">
        <v>18</v>
      </c>
      <c r="R772" s="2">
        <v>80</v>
      </c>
      <c r="S772" s="20">
        <f>Table1[[#This Row],[Net_revenue]]/Table1[[#This Row],[Gross_revenue]]*100%</f>
        <v>0.75</v>
      </c>
      <c r="T772" s="18">
        <f>COUNTIFS(Table1[Customer ID], "&gt;1", Table1[Customer ID], 1)</f>
        <v>0</v>
      </c>
    </row>
    <row r="773" spans="1:20" hidden="1" x14ac:dyDescent="0.3">
      <c r="A773" s="2" t="s">
        <v>1309</v>
      </c>
      <c r="B773" s="5">
        <v>45941</v>
      </c>
      <c r="C773" s="5" t="str">
        <f>TEXT(B773,"mmm")</f>
        <v>Oct</v>
      </c>
      <c r="D773" s="2" t="s">
        <v>1291</v>
      </c>
      <c r="E773" s="2" t="s">
        <v>14</v>
      </c>
      <c r="F773" s="2" t="str" cm="1">
        <f t="array" ref="F7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73" s="2" t="str" cm="1">
        <f t="array" ref="G7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73" s="2" t="s">
        <v>188</v>
      </c>
      <c r="I773" s="2" t="s">
        <v>95</v>
      </c>
      <c r="J773" s="2">
        <v>3</v>
      </c>
      <c r="K773" s="8">
        <v>699</v>
      </c>
      <c r="L773" s="3">
        <v>0.1</v>
      </c>
      <c r="M773" s="12">
        <f>K773*L773</f>
        <v>69.900000000000006</v>
      </c>
      <c r="N773" s="12">
        <f>K773*J773</f>
        <v>2097</v>
      </c>
      <c r="O773" s="12">
        <f>N773-M773</f>
        <v>2027.1</v>
      </c>
      <c r="P773" s="2" t="s">
        <v>45</v>
      </c>
      <c r="Q773" s="2" t="s">
        <v>18</v>
      </c>
      <c r="R773" s="2">
        <v>0</v>
      </c>
      <c r="S773" s="20">
        <f>Table1[[#This Row],[Net_revenue]]/Table1[[#This Row],[Gross_revenue]]*100%</f>
        <v>0.96666666666666667</v>
      </c>
      <c r="T773" s="18">
        <f>COUNTIFS(Table1[Customer ID], "&gt;1", Table1[Customer ID], 1)</f>
        <v>0</v>
      </c>
    </row>
    <row r="774" spans="1:20" hidden="1" x14ac:dyDescent="0.3">
      <c r="A774" s="2" t="s">
        <v>1310</v>
      </c>
      <c r="B774" s="5">
        <v>45680</v>
      </c>
      <c r="C774" s="5" t="str">
        <f>TEXT(B774,"mmm")</f>
        <v>Jan</v>
      </c>
      <c r="D774" s="2" t="s">
        <v>717</v>
      </c>
      <c r="E774" s="2" t="s">
        <v>75</v>
      </c>
      <c r="F774" s="2" t="str" cm="1">
        <f t="array" ref="F7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774" s="2" t="str" cm="1">
        <f t="array" ref="G7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74" s="2" t="s">
        <v>121</v>
      </c>
      <c r="I774" s="2" t="s">
        <v>95</v>
      </c>
      <c r="J774" s="2">
        <v>1</v>
      </c>
      <c r="K774" s="8">
        <v>1299</v>
      </c>
      <c r="L774" s="3">
        <v>0</v>
      </c>
      <c r="M774" s="12">
        <f>K774*L774</f>
        <v>0</v>
      </c>
      <c r="N774" s="12">
        <f>K774*J774</f>
        <v>1299</v>
      </c>
      <c r="O774" s="12">
        <f>N774-M774</f>
        <v>1299</v>
      </c>
      <c r="P774" s="2" t="s">
        <v>45</v>
      </c>
      <c r="Q774" s="2" t="s">
        <v>18</v>
      </c>
      <c r="R774" s="2">
        <v>60</v>
      </c>
      <c r="S774" s="20">
        <f>Table1[[#This Row],[Net_revenue]]/Table1[[#This Row],[Gross_revenue]]*100%</f>
        <v>1</v>
      </c>
      <c r="T774" s="18">
        <f>COUNTIFS(Table1[Customer ID], "&gt;1", Table1[Customer ID], 1)</f>
        <v>0</v>
      </c>
    </row>
    <row r="775" spans="1:20" hidden="1" x14ac:dyDescent="0.3">
      <c r="A775" s="2" t="s">
        <v>1311</v>
      </c>
      <c r="B775" s="5">
        <v>45802</v>
      </c>
      <c r="C775" s="5" t="str">
        <f>TEXT(B775,"mmm")</f>
        <v>May</v>
      </c>
      <c r="D775" s="2" t="s">
        <v>1192</v>
      </c>
      <c r="E775" s="2" t="s">
        <v>53</v>
      </c>
      <c r="F775" s="2" t="str" cm="1">
        <f t="array" ref="F7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775" s="2" t="str" cm="1">
        <f t="array" ref="G7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75" s="2" t="s">
        <v>188</v>
      </c>
      <c r="I775" s="2" t="s">
        <v>95</v>
      </c>
      <c r="J775" s="2">
        <v>1</v>
      </c>
      <c r="K775" s="8">
        <v>699</v>
      </c>
      <c r="L775" s="3">
        <v>0.1</v>
      </c>
      <c r="M775" s="12">
        <f>K775*L775</f>
        <v>69.900000000000006</v>
      </c>
      <c r="N775" s="12">
        <f>K775*J775</f>
        <v>699</v>
      </c>
      <c r="O775" s="12">
        <f>N775-M775</f>
        <v>629.1</v>
      </c>
      <c r="P775" s="2" t="s">
        <v>24</v>
      </c>
      <c r="Q775" s="2" t="s">
        <v>50</v>
      </c>
      <c r="R775" s="2">
        <v>40</v>
      </c>
      <c r="S775" s="20">
        <f>Table1[[#This Row],[Net_revenue]]/Table1[[#This Row],[Gross_revenue]]*100%</f>
        <v>0.9</v>
      </c>
      <c r="T775" s="18">
        <f>COUNTIFS(Table1[Customer ID], "&gt;1", Table1[Customer ID], 1)</f>
        <v>0</v>
      </c>
    </row>
    <row r="776" spans="1:20" hidden="1" x14ac:dyDescent="0.3">
      <c r="A776" s="2" t="s">
        <v>1312</v>
      </c>
      <c r="B776" s="5">
        <v>45718</v>
      </c>
      <c r="C776" s="5" t="str">
        <f>TEXT(B776,"mmm")</f>
        <v>Mar</v>
      </c>
      <c r="D776" s="2" t="s">
        <v>201</v>
      </c>
      <c r="E776" s="2" t="s">
        <v>40</v>
      </c>
      <c r="F776" s="2" t="str" cm="1">
        <f t="array" ref="F7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76" s="2" t="str" cm="1">
        <f t="array" ref="G7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76" s="2" t="s">
        <v>80</v>
      </c>
      <c r="I776" s="2" t="s">
        <v>23</v>
      </c>
      <c r="J776" s="2">
        <v>1</v>
      </c>
      <c r="K776" s="8">
        <v>799</v>
      </c>
      <c r="L776" s="3">
        <v>0.15</v>
      </c>
      <c r="M776" s="12">
        <f>K776*L776</f>
        <v>119.85</v>
      </c>
      <c r="N776" s="12">
        <f>K776*J776</f>
        <v>799</v>
      </c>
      <c r="O776" s="12">
        <f>N776-M776</f>
        <v>679.15</v>
      </c>
      <c r="P776" s="2" t="s">
        <v>45</v>
      </c>
      <c r="Q776" s="2" t="s">
        <v>18</v>
      </c>
      <c r="R776" s="2">
        <v>40</v>
      </c>
      <c r="S776" s="20">
        <f>Table1[[#This Row],[Net_revenue]]/Table1[[#This Row],[Gross_revenue]]*100%</f>
        <v>0.85</v>
      </c>
      <c r="T776" s="18">
        <f>COUNTIFS(Table1[Customer ID], "&gt;1", Table1[Customer ID], 1)</f>
        <v>0</v>
      </c>
    </row>
    <row r="777" spans="1:20" hidden="1" x14ac:dyDescent="0.3">
      <c r="A777" s="2" t="s">
        <v>1313</v>
      </c>
      <c r="B777" s="5">
        <v>45755</v>
      </c>
      <c r="C777" s="5" t="str">
        <f>TEXT(B777,"mmm")</f>
        <v>Apr</v>
      </c>
      <c r="D777" s="2" t="s">
        <v>566</v>
      </c>
      <c r="E777" s="2" t="s">
        <v>53</v>
      </c>
      <c r="F777" s="2" t="str" cm="1">
        <f t="array" ref="F7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777" s="2" t="str" cm="1">
        <f t="array" ref="G7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77" s="2" t="s">
        <v>217</v>
      </c>
      <c r="I777" s="2" t="s">
        <v>29</v>
      </c>
      <c r="J777" s="2">
        <v>1</v>
      </c>
      <c r="K777" s="8">
        <v>3299</v>
      </c>
      <c r="L777" s="3">
        <v>0.1</v>
      </c>
      <c r="M777" s="12">
        <f>K777*L777</f>
        <v>329.90000000000003</v>
      </c>
      <c r="N777" s="12">
        <f>K777*J777</f>
        <v>3299</v>
      </c>
      <c r="O777" s="12">
        <f>N777-M777</f>
        <v>2969.1</v>
      </c>
      <c r="P777" s="2" t="s">
        <v>17</v>
      </c>
      <c r="Q777" s="2" t="s">
        <v>50</v>
      </c>
      <c r="R777" s="2">
        <v>80</v>
      </c>
      <c r="S777" s="20">
        <f>Table1[[#This Row],[Net_revenue]]/Table1[[#This Row],[Gross_revenue]]*100%</f>
        <v>0.9</v>
      </c>
      <c r="T777" s="18">
        <f>COUNTIFS(Table1[Customer ID], "&gt;1", Table1[Customer ID], 1)</f>
        <v>0</v>
      </c>
    </row>
    <row r="778" spans="1:20" hidden="1" x14ac:dyDescent="0.3">
      <c r="A778" s="2" t="s">
        <v>1314</v>
      </c>
      <c r="B778" s="5">
        <v>45868</v>
      </c>
      <c r="C778" s="5" t="str">
        <f>TEXT(B778,"mmm")</f>
        <v>Jul</v>
      </c>
      <c r="D778" s="2" t="s">
        <v>1315</v>
      </c>
      <c r="E778" s="2" t="s">
        <v>27</v>
      </c>
      <c r="F778" s="2" t="str" cm="1">
        <f t="array" ref="F7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78" s="2" t="str" cm="1">
        <f t="array" ref="G7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78" s="2" t="s">
        <v>98</v>
      </c>
      <c r="I778" s="2" t="s">
        <v>37</v>
      </c>
      <c r="J778" s="2">
        <v>4</v>
      </c>
      <c r="K778" s="8">
        <v>299</v>
      </c>
      <c r="L778" s="3">
        <v>0</v>
      </c>
      <c r="M778" s="12">
        <f>K778*L778</f>
        <v>0</v>
      </c>
      <c r="N778" s="12">
        <f>K778*J778</f>
        <v>1196</v>
      </c>
      <c r="O778" s="12">
        <f>N778-M778</f>
        <v>1196</v>
      </c>
      <c r="P778" s="2" t="s">
        <v>17</v>
      </c>
      <c r="Q778" s="2" t="s">
        <v>18</v>
      </c>
      <c r="R778" s="2">
        <v>60</v>
      </c>
      <c r="S778" s="20">
        <f>Table1[[#This Row],[Net_revenue]]/Table1[[#This Row],[Gross_revenue]]*100%</f>
        <v>1</v>
      </c>
      <c r="T778" s="18">
        <f>COUNTIFS(Table1[Customer ID], "&gt;1", Table1[Customer ID], 1)</f>
        <v>0</v>
      </c>
    </row>
    <row r="779" spans="1:20" hidden="1" x14ac:dyDescent="0.3">
      <c r="A779" s="2" t="s">
        <v>1316</v>
      </c>
      <c r="B779" s="5">
        <v>45706</v>
      </c>
      <c r="C779" s="5" t="str">
        <f>TEXT(B779,"mmm")</f>
        <v>Feb</v>
      </c>
      <c r="D779" s="2" t="s">
        <v>1304</v>
      </c>
      <c r="E779" s="2" t="s">
        <v>53</v>
      </c>
      <c r="F779" s="2" t="str" cm="1">
        <f t="array" ref="F7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779" s="2" t="str" cm="1">
        <f t="array" ref="G7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79" s="2" t="s">
        <v>94</v>
      </c>
      <c r="I779" s="2" t="s">
        <v>95</v>
      </c>
      <c r="J779" s="2">
        <v>1</v>
      </c>
      <c r="K779" s="8">
        <v>399</v>
      </c>
      <c r="L779" s="3">
        <v>0.2</v>
      </c>
      <c r="M779" s="12">
        <f>K779*L779</f>
        <v>79.800000000000011</v>
      </c>
      <c r="N779" s="12">
        <f>K779*J779</f>
        <v>399</v>
      </c>
      <c r="O779" s="12">
        <f>N779-M779</f>
        <v>319.2</v>
      </c>
      <c r="P779" s="2" t="s">
        <v>45</v>
      </c>
      <c r="Q779" s="2" t="s">
        <v>18</v>
      </c>
      <c r="R779" s="2">
        <v>40</v>
      </c>
      <c r="S779" s="20">
        <f>Table1[[#This Row],[Net_revenue]]/Table1[[#This Row],[Gross_revenue]]*100%</f>
        <v>0.79999999999999993</v>
      </c>
      <c r="T779" s="18">
        <f>COUNTIFS(Table1[Customer ID], "&gt;1", Table1[Customer ID], 1)</f>
        <v>0</v>
      </c>
    </row>
    <row r="780" spans="1:20" hidden="1" x14ac:dyDescent="0.3">
      <c r="A780" s="2" t="s">
        <v>1317</v>
      </c>
      <c r="B780" s="5">
        <v>45823</v>
      </c>
      <c r="C780" s="5" t="str">
        <f>TEXT(B780,"mmm")</f>
        <v>Jun</v>
      </c>
      <c r="D780" s="2" t="s">
        <v>534</v>
      </c>
      <c r="E780" s="2" t="s">
        <v>40</v>
      </c>
      <c r="F780" s="2" t="str" cm="1">
        <f t="array" ref="F7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80" s="2" t="str" cm="1">
        <f t="array" ref="G7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80" s="2" t="s">
        <v>117</v>
      </c>
      <c r="I780" s="2" t="s">
        <v>23</v>
      </c>
      <c r="J780" s="2">
        <v>1</v>
      </c>
      <c r="K780" s="8">
        <v>2199</v>
      </c>
      <c r="L780" s="3">
        <v>0.05</v>
      </c>
      <c r="M780" s="12">
        <f>K780*L780</f>
        <v>109.95</v>
      </c>
      <c r="N780" s="12">
        <f>K780*J780</f>
        <v>2199</v>
      </c>
      <c r="O780" s="12">
        <f>N780-M780</f>
        <v>2089.0500000000002</v>
      </c>
      <c r="P780" s="2" t="s">
        <v>24</v>
      </c>
      <c r="Q780" s="2" t="s">
        <v>18</v>
      </c>
      <c r="R780" s="2">
        <v>60</v>
      </c>
      <c r="S780" s="20">
        <f>Table1[[#This Row],[Net_revenue]]/Table1[[#This Row],[Gross_revenue]]*100%</f>
        <v>0.95000000000000007</v>
      </c>
      <c r="T780" s="18">
        <f>COUNTIFS(Table1[Customer ID], "&gt;1", Table1[Customer ID], 1)</f>
        <v>0</v>
      </c>
    </row>
    <row r="781" spans="1:20" hidden="1" x14ac:dyDescent="0.3">
      <c r="A781" s="2" t="s">
        <v>1318</v>
      </c>
      <c r="B781" s="5">
        <v>45862</v>
      </c>
      <c r="C781" s="5" t="str">
        <f>TEXT(B781,"mmm")</f>
        <v>Jul</v>
      </c>
      <c r="D781" s="2" t="s">
        <v>286</v>
      </c>
      <c r="E781" s="2" t="s">
        <v>40</v>
      </c>
      <c r="F781" s="2" t="str" cm="1">
        <f t="array" ref="F7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81" s="2" t="str" cm="1">
        <f t="array" ref="G7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81" s="2" t="s">
        <v>217</v>
      </c>
      <c r="I781" s="2" t="s">
        <v>29</v>
      </c>
      <c r="J781" s="2">
        <v>3</v>
      </c>
      <c r="K781" s="8">
        <v>3299</v>
      </c>
      <c r="L781" s="3">
        <v>0.1</v>
      </c>
      <c r="M781" s="12">
        <f>K781*L781</f>
        <v>329.90000000000003</v>
      </c>
      <c r="N781" s="12">
        <f>K781*J781</f>
        <v>9897</v>
      </c>
      <c r="O781" s="12">
        <f>N781-M781</f>
        <v>9567.1</v>
      </c>
      <c r="P781" s="2" t="s">
        <v>24</v>
      </c>
      <c r="Q781" s="2" t="s">
        <v>18</v>
      </c>
      <c r="R781" s="2">
        <v>40</v>
      </c>
      <c r="S781" s="20">
        <f>Table1[[#This Row],[Net_revenue]]/Table1[[#This Row],[Gross_revenue]]*100%</f>
        <v>0.96666666666666667</v>
      </c>
      <c r="T781" s="18">
        <f>COUNTIFS(Table1[Customer ID], "&gt;1", Table1[Customer ID], 1)</f>
        <v>0</v>
      </c>
    </row>
    <row r="782" spans="1:20" hidden="1" x14ac:dyDescent="0.3">
      <c r="A782" s="2" t="s">
        <v>1319</v>
      </c>
      <c r="B782" s="5">
        <v>45921</v>
      </c>
      <c r="C782" s="5" t="str">
        <f>TEXT(B782,"mmm")</f>
        <v>Sep</v>
      </c>
      <c r="D782" s="2" t="s">
        <v>442</v>
      </c>
      <c r="E782" s="2" t="s">
        <v>48</v>
      </c>
      <c r="F782" s="2" t="str" cm="1">
        <f t="array" ref="F7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82" s="2" t="str" cm="1">
        <f t="array" ref="G7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82" s="2" t="s">
        <v>121</v>
      </c>
      <c r="I782" s="2" t="s">
        <v>95</v>
      </c>
      <c r="J782" s="2">
        <v>2</v>
      </c>
      <c r="K782" s="8">
        <v>1299</v>
      </c>
      <c r="L782" s="3">
        <v>0.1</v>
      </c>
      <c r="M782" s="12">
        <f>K782*L782</f>
        <v>129.9</v>
      </c>
      <c r="N782" s="12">
        <f>K782*J782</f>
        <v>2598</v>
      </c>
      <c r="O782" s="12">
        <f>N782-M782</f>
        <v>2468.1</v>
      </c>
      <c r="P782" s="2" t="s">
        <v>24</v>
      </c>
      <c r="Q782" s="2" t="s">
        <v>18</v>
      </c>
      <c r="R782" s="2">
        <v>40</v>
      </c>
      <c r="S782" s="20">
        <f>Table1[[#This Row],[Net_revenue]]/Table1[[#This Row],[Gross_revenue]]*100%</f>
        <v>0.95</v>
      </c>
      <c r="T782" s="18">
        <f>COUNTIFS(Table1[Customer ID], "&gt;1", Table1[Customer ID], 1)</f>
        <v>0</v>
      </c>
    </row>
    <row r="783" spans="1:20" hidden="1" x14ac:dyDescent="0.3">
      <c r="A783" s="2" t="s">
        <v>1320</v>
      </c>
      <c r="B783" s="5">
        <v>45911</v>
      </c>
      <c r="C783" s="5" t="str">
        <f>TEXT(B783,"mmm")</f>
        <v>Sep</v>
      </c>
      <c r="D783" s="2" t="s">
        <v>335</v>
      </c>
      <c r="E783" s="2" t="s">
        <v>56</v>
      </c>
      <c r="F783" s="2" t="str" cm="1">
        <f t="array" ref="F7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83" s="2" t="str" cm="1">
        <f t="array" ref="G7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83" s="2" t="s">
        <v>63</v>
      </c>
      <c r="I783" s="2" t="s">
        <v>23</v>
      </c>
      <c r="J783" s="2">
        <v>1</v>
      </c>
      <c r="K783" s="8">
        <v>2499</v>
      </c>
      <c r="L783" s="3">
        <v>0.15</v>
      </c>
      <c r="M783" s="12">
        <f>K783*L783</f>
        <v>374.84999999999997</v>
      </c>
      <c r="N783" s="12">
        <f>K783*J783</f>
        <v>2499</v>
      </c>
      <c r="O783" s="12">
        <f>N783-M783</f>
        <v>2124.15</v>
      </c>
      <c r="P783" s="2" t="s">
        <v>30</v>
      </c>
      <c r="Q783" s="2" t="s">
        <v>72</v>
      </c>
      <c r="R783" s="2">
        <v>60</v>
      </c>
      <c r="S783" s="20">
        <f>Table1[[#This Row],[Net_revenue]]/Table1[[#This Row],[Gross_revenue]]*100%</f>
        <v>0.85000000000000009</v>
      </c>
      <c r="T783" s="18">
        <f>COUNTIFS(Table1[Customer ID], "&gt;1", Table1[Customer ID], 1)</f>
        <v>0</v>
      </c>
    </row>
    <row r="784" spans="1:20" hidden="1" x14ac:dyDescent="0.3">
      <c r="A784" s="2" t="s">
        <v>1321</v>
      </c>
      <c r="B784" s="5">
        <v>45980</v>
      </c>
      <c r="C784" s="5" t="str">
        <f>TEXT(B784,"mmm")</f>
        <v>Nov</v>
      </c>
      <c r="D784" s="2" t="s">
        <v>1041</v>
      </c>
      <c r="E784" s="2" t="s">
        <v>56</v>
      </c>
      <c r="F784" s="2" t="str" cm="1">
        <f t="array" ref="F7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784" s="2" t="str" cm="1">
        <f t="array" ref="G7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84" s="2" t="s">
        <v>68</v>
      </c>
      <c r="I784" s="2" t="s">
        <v>16</v>
      </c>
      <c r="J784" s="2">
        <v>1</v>
      </c>
      <c r="K784" s="8">
        <v>599</v>
      </c>
      <c r="L784" s="3">
        <v>0.1</v>
      </c>
      <c r="M784" s="12">
        <f>K784*L784</f>
        <v>59.900000000000006</v>
      </c>
      <c r="N784" s="12">
        <f>K784*J784</f>
        <v>599</v>
      </c>
      <c r="O784" s="12">
        <f>N784-M784</f>
        <v>539.1</v>
      </c>
      <c r="P784" s="2" t="s">
        <v>30</v>
      </c>
      <c r="Q784" s="2" t="s">
        <v>18</v>
      </c>
      <c r="R784" s="2">
        <v>0</v>
      </c>
      <c r="S784" s="20">
        <f>Table1[[#This Row],[Net_revenue]]/Table1[[#This Row],[Gross_revenue]]*100%</f>
        <v>0.9</v>
      </c>
      <c r="T784" s="18">
        <f>COUNTIFS(Table1[Customer ID], "&gt;1", Table1[Customer ID], 1)</f>
        <v>0</v>
      </c>
    </row>
    <row r="785" spans="1:20" hidden="1" x14ac:dyDescent="0.3">
      <c r="A785" s="2" t="s">
        <v>1322</v>
      </c>
      <c r="B785" s="5">
        <v>45811</v>
      </c>
      <c r="C785" s="5" t="str">
        <f>TEXT(B785,"mmm")</f>
        <v>Jun</v>
      </c>
      <c r="D785" s="2" t="s">
        <v>647</v>
      </c>
      <c r="E785" s="2" t="s">
        <v>40</v>
      </c>
      <c r="F785" s="2" t="str" cm="1">
        <f t="array" ref="F7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785" s="2" t="str" cm="1">
        <f t="array" ref="G7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785" s="2" t="s">
        <v>183</v>
      </c>
      <c r="I785" s="2" t="s">
        <v>37</v>
      </c>
      <c r="J785" s="2">
        <v>2</v>
      </c>
      <c r="K785" s="8">
        <v>499</v>
      </c>
      <c r="L785" s="3">
        <v>0.15</v>
      </c>
      <c r="M785" s="12">
        <f>K785*L785</f>
        <v>74.849999999999994</v>
      </c>
      <c r="N785" s="12">
        <f>K785*J785</f>
        <v>998</v>
      </c>
      <c r="O785" s="12">
        <f>N785-M785</f>
        <v>923.15</v>
      </c>
      <c r="P785" s="2" t="s">
        <v>45</v>
      </c>
      <c r="Q785" s="2" t="s">
        <v>18</v>
      </c>
      <c r="R785" s="2">
        <v>60</v>
      </c>
      <c r="S785" s="20">
        <f>Table1[[#This Row],[Net_revenue]]/Table1[[#This Row],[Gross_revenue]]*100%</f>
        <v>0.92499999999999993</v>
      </c>
      <c r="T785" s="18">
        <f>COUNTIFS(Table1[Customer ID], "&gt;1", Table1[Customer ID], 1)</f>
        <v>0</v>
      </c>
    </row>
    <row r="786" spans="1:20" hidden="1" x14ac:dyDescent="0.3">
      <c r="A786" s="2" t="s">
        <v>1323</v>
      </c>
      <c r="B786" s="5">
        <v>45717</v>
      </c>
      <c r="C786" s="5" t="str">
        <f>TEXT(B786,"mmm")</f>
        <v>Mar</v>
      </c>
      <c r="D786" s="2" t="s">
        <v>1324</v>
      </c>
      <c r="E786" s="2" t="s">
        <v>48</v>
      </c>
      <c r="F786" s="2" t="str" cm="1">
        <f t="array" ref="F7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86" s="2" t="str" cm="1">
        <f t="array" ref="G7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86" s="2" t="s">
        <v>36</v>
      </c>
      <c r="I786" s="2" t="s">
        <v>37</v>
      </c>
      <c r="J786" s="2">
        <v>1</v>
      </c>
      <c r="K786" s="8">
        <v>349</v>
      </c>
      <c r="L786" s="3">
        <v>0</v>
      </c>
      <c r="M786" s="12">
        <f>K786*L786</f>
        <v>0</v>
      </c>
      <c r="N786" s="12">
        <f>K786*J786</f>
        <v>349</v>
      </c>
      <c r="O786" s="12">
        <f>N786-M786</f>
        <v>349</v>
      </c>
      <c r="P786" s="2" t="s">
        <v>24</v>
      </c>
      <c r="Q786" s="2" t="s">
        <v>18</v>
      </c>
      <c r="R786" s="2">
        <v>60</v>
      </c>
      <c r="S786" s="20">
        <f>Table1[[#This Row],[Net_revenue]]/Table1[[#This Row],[Gross_revenue]]*100%</f>
        <v>1</v>
      </c>
      <c r="T786" s="18">
        <f>COUNTIFS(Table1[Customer ID], "&gt;1", Table1[Customer ID], 1)</f>
        <v>0</v>
      </c>
    </row>
    <row r="787" spans="1:20" hidden="1" x14ac:dyDescent="0.3">
      <c r="A787" s="2" t="s">
        <v>1325</v>
      </c>
      <c r="B787" s="5">
        <v>45831</v>
      </c>
      <c r="C787" s="5" t="str">
        <f>TEXT(B787,"mmm")</f>
        <v>Jun</v>
      </c>
      <c r="D787" s="2" t="s">
        <v>1326</v>
      </c>
      <c r="E787" s="2" t="s">
        <v>21</v>
      </c>
      <c r="F787" s="2" t="str" cm="1">
        <f t="array" ref="F7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87" s="2" t="str" cm="1">
        <f t="array" ref="G7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87" s="2" t="s">
        <v>217</v>
      </c>
      <c r="I787" s="2" t="s">
        <v>29</v>
      </c>
      <c r="J787" s="2">
        <v>1</v>
      </c>
      <c r="K787" s="8">
        <v>3299</v>
      </c>
      <c r="L787" s="3">
        <v>0</v>
      </c>
      <c r="M787" s="12">
        <f>K787*L787</f>
        <v>0</v>
      </c>
      <c r="N787" s="12">
        <f>K787*J787</f>
        <v>3299</v>
      </c>
      <c r="O787" s="12">
        <f>N787-M787</f>
        <v>3299</v>
      </c>
      <c r="P787" s="2" t="s">
        <v>45</v>
      </c>
      <c r="Q787" s="2" t="s">
        <v>18</v>
      </c>
      <c r="R787" s="2">
        <v>60</v>
      </c>
      <c r="S787" s="20">
        <f>Table1[[#This Row],[Net_revenue]]/Table1[[#This Row],[Gross_revenue]]*100%</f>
        <v>1</v>
      </c>
      <c r="T787" s="18">
        <f>COUNTIFS(Table1[Customer ID], "&gt;1", Table1[Customer ID], 1)</f>
        <v>0</v>
      </c>
    </row>
    <row r="788" spans="1:20" hidden="1" x14ac:dyDescent="0.3">
      <c r="A788" s="2" t="s">
        <v>1327</v>
      </c>
      <c r="B788" s="5">
        <v>45929</v>
      </c>
      <c r="C788" s="5" t="str">
        <f>TEXT(B788,"mmm")</f>
        <v>Sep</v>
      </c>
      <c r="D788" s="2" t="s">
        <v>178</v>
      </c>
      <c r="E788" s="2" t="s">
        <v>120</v>
      </c>
      <c r="F788" s="2" t="str" cm="1">
        <f t="array" ref="F7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88" s="2" t="str" cm="1">
        <f t="array" ref="G7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88" s="2" t="s">
        <v>89</v>
      </c>
      <c r="I788" s="2" t="s">
        <v>29</v>
      </c>
      <c r="J788" s="2">
        <v>2</v>
      </c>
      <c r="K788" s="8">
        <v>449</v>
      </c>
      <c r="L788" s="3">
        <v>0.05</v>
      </c>
      <c r="M788" s="12">
        <f>K788*L788</f>
        <v>22.450000000000003</v>
      </c>
      <c r="N788" s="12">
        <f>K788*J788</f>
        <v>898</v>
      </c>
      <c r="O788" s="12">
        <f>N788-M788</f>
        <v>875.55</v>
      </c>
      <c r="P788" s="2" t="s">
        <v>24</v>
      </c>
      <c r="Q788" s="2" t="s">
        <v>18</v>
      </c>
      <c r="R788" s="2">
        <v>40</v>
      </c>
      <c r="S788" s="20">
        <f>Table1[[#This Row],[Net_revenue]]/Table1[[#This Row],[Gross_revenue]]*100%</f>
        <v>0.97499999999999998</v>
      </c>
      <c r="T788" s="18">
        <f>COUNTIFS(Table1[Customer ID], "&gt;1", Table1[Customer ID], 1)</f>
        <v>0</v>
      </c>
    </row>
    <row r="789" spans="1:20" hidden="1" x14ac:dyDescent="0.3">
      <c r="A789" s="2" t="s">
        <v>1328</v>
      </c>
      <c r="B789" s="5">
        <v>45809</v>
      </c>
      <c r="C789" s="5" t="str">
        <f>TEXT(B789,"mmm")</f>
        <v>Jun</v>
      </c>
      <c r="D789" s="2" t="s">
        <v>1329</v>
      </c>
      <c r="E789" s="2" t="s">
        <v>48</v>
      </c>
      <c r="F789" s="2" t="str" cm="1">
        <f t="array" ref="F7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89" s="2" t="str" cm="1">
        <f t="array" ref="G7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89" s="2" t="s">
        <v>49</v>
      </c>
      <c r="I789" s="2" t="s">
        <v>23</v>
      </c>
      <c r="J789" s="2">
        <v>4</v>
      </c>
      <c r="K789" s="8">
        <v>1299</v>
      </c>
      <c r="L789" s="3">
        <v>0.15</v>
      </c>
      <c r="M789" s="12">
        <f>K789*L789</f>
        <v>194.85</v>
      </c>
      <c r="N789" s="12">
        <f>K789*J789</f>
        <v>5196</v>
      </c>
      <c r="O789" s="12">
        <f>N789-M789</f>
        <v>5001.1499999999996</v>
      </c>
      <c r="P789" s="2" t="s">
        <v>45</v>
      </c>
      <c r="Q789" s="2" t="s">
        <v>18</v>
      </c>
      <c r="R789" s="2">
        <v>60</v>
      </c>
      <c r="S789" s="20">
        <f>Table1[[#This Row],[Net_revenue]]/Table1[[#This Row],[Gross_revenue]]*100%</f>
        <v>0.96249999999999991</v>
      </c>
      <c r="T789" s="18">
        <f>COUNTIFS(Table1[Customer ID], "&gt;1", Table1[Customer ID], 1)</f>
        <v>0</v>
      </c>
    </row>
    <row r="790" spans="1:20" hidden="1" x14ac:dyDescent="0.3">
      <c r="A790" s="2" t="s">
        <v>1330</v>
      </c>
      <c r="B790" s="5">
        <v>46018</v>
      </c>
      <c r="C790" s="5" t="str">
        <f>TEXT(B790,"mmm")</f>
        <v>Dec</v>
      </c>
      <c r="D790" s="2" t="s">
        <v>258</v>
      </c>
      <c r="E790" s="2" t="s">
        <v>120</v>
      </c>
      <c r="F790" s="2" t="str" cm="1">
        <f t="array" ref="F7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90" s="2" t="str" cm="1">
        <f t="array" ref="G7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0" s="2" t="s">
        <v>94</v>
      </c>
      <c r="I790" s="2" t="s">
        <v>95</v>
      </c>
      <c r="J790" s="2">
        <v>1</v>
      </c>
      <c r="K790" s="8">
        <v>399</v>
      </c>
      <c r="L790" s="3">
        <v>0.25</v>
      </c>
      <c r="M790" s="12">
        <f>K790*L790</f>
        <v>99.75</v>
      </c>
      <c r="N790" s="12">
        <f>K790*J790</f>
        <v>399</v>
      </c>
      <c r="O790" s="12">
        <f>N790-M790</f>
        <v>299.25</v>
      </c>
      <c r="P790" s="2" t="s">
        <v>30</v>
      </c>
      <c r="Q790" s="2" t="s">
        <v>18</v>
      </c>
      <c r="R790" s="2">
        <v>40</v>
      </c>
      <c r="S790" s="20">
        <f>Table1[[#This Row],[Net_revenue]]/Table1[[#This Row],[Gross_revenue]]*100%</f>
        <v>0.75</v>
      </c>
      <c r="T790" s="18">
        <f>COUNTIFS(Table1[Customer ID], "&gt;1", Table1[Customer ID], 1)</f>
        <v>0</v>
      </c>
    </row>
    <row r="791" spans="1:20" hidden="1" x14ac:dyDescent="0.3">
      <c r="A791" s="2" t="s">
        <v>1331</v>
      </c>
      <c r="B791" s="5">
        <v>45763</v>
      </c>
      <c r="C791" s="5" t="str">
        <f>TEXT(B791,"mmm")</f>
        <v>Apr</v>
      </c>
      <c r="D791" s="2" t="s">
        <v>222</v>
      </c>
      <c r="E791" s="2" t="s">
        <v>27</v>
      </c>
      <c r="F791" s="2" t="str" cm="1">
        <f t="array" ref="F7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791" s="2" t="str" cm="1">
        <f t="array" ref="G7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91" s="2" t="s">
        <v>63</v>
      </c>
      <c r="I791" s="2" t="s">
        <v>23</v>
      </c>
      <c r="J791" s="2">
        <v>1</v>
      </c>
      <c r="K791" s="8">
        <v>2499</v>
      </c>
      <c r="L791" s="3">
        <v>0.05</v>
      </c>
      <c r="M791" s="12">
        <f>K791*L791</f>
        <v>124.95</v>
      </c>
      <c r="N791" s="12">
        <f>K791*J791</f>
        <v>2499</v>
      </c>
      <c r="O791" s="12">
        <f>N791-M791</f>
        <v>2374.0500000000002</v>
      </c>
      <c r="P791" s="2" t="s">
        <v>45</v>
      </c>
      <c r="Q791" s="2" t="s">
        <v>50</v>
      </c>
      <c r="R791" s="2">
        <v>60</v>
      </c>
      <c r="S791" s="20">
        <f>Table1[[#This Row],[Net_revenue]]/Table1[[#This Row],[Gross_revenue]]*100%</f>
        <v>0.95000000000000007</v>
      </c>
      <c r="T791" s="18">
        <f>COUNTIFS(Table1[Customer ID], "&gt;1", Table1[Customer ID], 1)</f>
        <v>0</v>
      </c>
    </row>
    <row r="792" spans="1:20" hidden="1" x14ac:dyDescent="0.3">
      <c r="A792" s="2" t="s">
        <v>1332</v>
      </c>
      <c r="B792" s="5">
        <v>45940</v>
      </c>
      <c r="C792" s="5" t="str">
        <f>TEXT(B792,"mmm")</f>
        <v>Oct</v>
      </c>
      <c r="D792" s="2" t="s">
        <v>226</v>
      </c>
      <c r="E792" s="2" t="s">
        <v>120</v>
      </c>
      <c r="F792" s="2" t="str" cm="1">
        <f t="array" ref="F7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92" s="2" t="str" cm="1">
        <f t="array" ref="G7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2" s="2" t="s">
        <v>15</v>
      </c>
      <c r="I792" s="2" t="s">
        <v>16</v>
      </c>
      <c r="J792" s="2">
        <v>2</v>
      </c>
      <c r="K792" s="8">
        <v>1799</v>
      </c>
      <c r="L792" s="3">
        <v>0.05</v>
      </c>
      <c r="M792" s="12">
        <f>K792*L792</f>
        <v>89.95</v>
      </c>
      <c r="N792" s="12">
        <f>K792*J792</f>
        <v>3598</v>
      </c>
      <c r="O792" s="12">
        <f>N792-M792</f>
        <v>3508.05</v>
      </c>
      <c r="P792" s="2" t="s">
        <v>45</v>
      </c>
      <c r="Q792" s="2" t="s">
        <v>18</v>
      </c>
      <c r="R792" s="2">
        <v>80</v>
      </c>
      <c r="S792" s="20">
        <f>Table1[[#This Row],[Net_revenue]]/Table1[[#This Row],[Gross_revenue]]*100%</f>
        <v>0.97500000000000009</v>
      </c>
      <c r="T792" s="18">
        <f>COUNTIFS(Table1[Customer ID], "&gt;1", Table1[Customer ID], 1)</f>
        <v>0</v>
      </c>
    </row>
    <row r="793" spans="1:20" hidden="1" x14ac:dyDescent="0.3">
      <c r="A793" s="2" t="s">
        <v>1333</v>
      </c>
      <c r="B793" s="5">
        <v>45758</v>
      </c>
      <c r="C793" s="5" t="str">
        <f>TEXT(B793,"mmm")</f>
        <v>Apr</v>
      </c>
      <c r="D793" s="2" t="s">
        <v>127</v>
      </c>
      <c r="E793" s="2" t="s">
        <v>21</v>
      </c>
      <c r="F793" s="2" t="str" cm="1">
        <f t="array" ref="F7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93" s="2" t="str" cm="1">
        <f t="array" ref="G7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3" s="2" t="s">
        <v>117</v>
      </c>
      <c r="I793" s="2" t="s">
        <v>23</v>
      </c>
      <c r="J793" s="2">
        <v>2</v>
      </c>
      <c r="K793" s="8">
        <v>2199</v>
      </c>
      <c r="L793" s="3">
        <v>0.15</v>
      </c>
      <c r="M793" s="12">
        <f>K793*L793</f>
        <v>329.84999999999997</v>
      </c>
      <c r="N793" s="12">
        <f>K793*J793</f>
        <v>4398</v>
      </c>
      <c r="O793" s="12">
        <f>N793-M793</f>
        <v>4068.15</v>
      </c>
      <c r="P793" s="2" t="s">
        <v>30</v>
      </c>
      <c r="Q793" s="2" t="s">
        <v>18</v>
      </c>
      <c r="R793" s="2">
        <v>80</v>
      </c>
      <c r="S793" s="20">
        <f>Table1[[#This Row],[Net_revenue]]/Table1[[#This Row],[Gross_revenue]]*100%</f>
        <v>0.92500000000000004</v>
      </c>
      <c r="T793" s="18">
        <f>COUNTIFS(Table1[Customer ID], "&gt;1", Table1[Customer ID], 1)</f>
        <v>0</v>
      </c>
    </row>
    <row r="794" spans="1:20" hidden="1" x14ac:dyDescent="0.3">
      <c r="A794" s="2" t="s">
        <v>1334</v>
      </c>
      <c r="B794" s="5">
        <v>45837</v>
      </c>
      <c r="C794" s="5" t="str">
        <f>TEXT(B794,"mmm")</f>
        <v>Jun</v>
      </c>
      <c r="D794" s="2" t="s">
        <v>1335</v>
      </c>
      <c r="E794" s="2" t="s">
        <v>195</v>
      </c>
      <c r="F794" s="2" t="str" cm="1">
        <f t="array" ref="F7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794" s="2" t="str" cm="1">
        <f t="array" ref="G7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4" s="2" t="s">
        <v>217</v>
      </c>
      <c r="I794" s="2" t="s">
        <v>29</v>
      </c>
      <c r="J794" s="2">
        <v>1</v>
      </c>
      <c r="K794" s="8">
        <v>3299</v>
      </c>
      <c r="L794" s="3">
        <v>0.15</v>
      </c>
      <c r="M794" s="12">
        <f>K794*L794</f>
        <v>494.84999999999997</v>
      </c>
      <c r="N794" s="12">
        <f>K794*J794</f>
        <v>3299</v>
      </c>
      <c r="O794" s="12">
        <f>N794-M794</f>
        <v>2804.15</v>
      </c>
      <c r="P794" s="2" t="s">
        <v>17</v>
      </c>
      <c r="Q794" s="2" t="s">
        <v>18</v>
      </c>
      <c r="R794" s="2">
        <v>40</v>
      </c>
      <c r="S794" s="20">
        <f>Table1[[#This Row],[Net_revenue]]/Table1[[#This Row],[Gross_revenue]]*100%</f>
        <v>0.85</v>
      </c>
      <c r="T794" s="18">
        <f>COUNTIFS(Table1[Customer ID], "&gt;1", Table1[Customer ID], 1)</f>
        <v>0</v>
      </c>
    </row>
    <row r="795" spans="1:20" hidden="1" x14ac:dyDescent="0.3">
      <c r="A795" s="2" t="s">
        <v>1336</v>
      </c>
      <c r="B795" s="5">
        <v>45710</v>
      </c>
      <c r="C795" s="5" t="str">
        <f>TEXT(B795,"mmm")</f>
        <v>Feb</v>
      </c>
      <c r="D795" s="2" t="s">
        <v>1337</v>
      </c>
      <c r="E795" s="2" t="s">
        <v>21</v>
      </c>
      <c r="F795" s="2" t="str" cm="1">
        <f t="array" ref="F7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795" s="2" t="str" cm="1">
        <f t="array" ref="G7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5" s="2" t="s">
        <v>63</v>
      </c>
      <c r="I795" s="2" t="s">
        <v>23</v>
      </c>
      <c r="J795" s="2">
        <v>1</v>
      </c>
      <c r="K795" s="8">
        <v>2499</v>
      </c>
      <c r="L795" s="3">
        <v>0.2</v>
      </c>
      <c r="M795" s="12">
        <f>K795*L795</f>
        <v>499.8</v>
      </c>
      <c r="N795" s="12">
        <f>K795*J795</f>
        <v>2499</v>
      </c>
      <c r="O795" s="12">
        <f>N795-M795</f>
        <v>1999.2</v>
      </c>
      <c r="P795" s="2" t="s">
        <v>45</v>
      </c>
      <c r="Q795" s="2" t="s">
        <v>18</v>
      </c>
      <c r="R795" s="2">
        <v>0</v>
      </c>
      <c r="S795" s="20">
        <f>Table1[[#This Row],[Net_revenue]]/Table1[[#This Row],[Gross_revenue]]*100%</f>
        <v>0.8</v>
      </c>
      <c r="T795" s="18">
        <f>COUNTIFS(Table1[Customer ID], "&gt;1", Table1[Customer ID], 1)</f>
        <v>0</v>
      </c>
    </row>
    <row r="796" spans="1:20" hidden="1" x14ac:dyDescent="0.3">
      <c r="A796" s="2" t="s">
        <v>1338</v>
      </c>
      <c r="B796" s="5">
        <v>45874</v>
      </c>
      <c r="C796" s="5" t="str">
        <f>TEXT(B796,"mmm")</f>
        <v>Aug</v>
      </c>
      <c r="D796" s="2" t="s">
        <v>817</v>
      </c>
      <c r="E796" s="2" t="s">
        <v>48</v>
      </c>
      <c r="F796" s="2" t="str" cm="1">
        <f t="array" ref="F7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796" s="2" t="str" cm="1">
        <f t="array" ref="G7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796" s="2" t="s">
        <v>71</v>
      </c>
      <c r="I796" s="2" t="s">
        <v>29</v>
      </c>
      <c r="J796" s="2">
        <v>1</v>
      </c>
      <c r="K796" s="8">
        <v>5499</v>
      </c>
      <c r="L796" s="3">
        <v>0</v>
      </c>
      <c r="M796" s="12">
        <f>K796*L796</f>
        <v>0</v>
      </c>
      <c r="N796" s="12">
        <f>K796*J796</f>
        <v>5499</v>
      </c>
      <c r="O796" s="12">
        <f>N796-M796</f>
        <v>5499</v>
      </c>
      <c r="P796" s="2" t="s">
        <v>17</v>
      </c>
      <c r="Q796" s="2" t="s">
        <v>18</v>
      </c>
      <c r="R796" s="2">
        <v>80</v>
      </c>
      <c r="S796" s="20">
        <f>Table1[[#This Row],[Net_revenue]]/Table1[[#This Row],[Gross_revenue]]*100%</f>
        <v>1</v>
      </c>
      <c r="T796" s="18">
        <f>COUNTIFS(Table1[Customer ID], "&gt;1", Table1[Customer ID], 1)</f>
        <v>0</v>
      </c>
    </row>
    <row r="797" spans="1:20" hidden="1" x14ac:dyDescent="0.3">
      <c r="A797" s="2" t="s">
        <v>1339</v>
      </c>
      <c r="B797" s="5">
        <v>45742</v>
      </c>
      <c r="C797" s="5" t="str">
        <f>TEXT(B797,"mmm")</f>
        <v>Mar</v>
      </c>
      <c r="D797" s="2" t="s">
        <v>389</v>
      </c>
      <c r="E797" s="2" t="s">
        <v>14</v>
      </c>
      <c r="F797" s="2" t="str" cm="1">
        <f t="array" ref="F7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797" s="2" t="str" cm="1">
        <f t="array" ref="G7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797" s="2" t="s">
        <v>63</v>
      </c>
      <c r="I797" s="2" t="s">
        <v>23</v>
      </c>
      <c r="J797" s="2">
        <v>3</v>
      </c>
      <c r="K797" s="8">
        <v>2499</v>
      </c>
      <c r="L797" s="3">
        <v>0</v>
      </c>
      <c r="M797" s="12">
        <f>K797*L797</f>
        <v>0</v>
      </c>
      <c r="N797" s="12">
        <f>K797*J797</f>
        <v>7497</v>
      </c>
      <c r="O797" s="12">
        <f>N797-M797</f>
        <v>7497</v>
      </c>
      <c r="P797" s="2" t="s">
        <v>30</v>
      </c>
      <c r="Q797" s="2" t="s">
        <v>50</v>
      </c>
      <c r="R797" s="2">
        <v>80</v>
      </c>
      <c r="S797" s="20">
        <f>Table1[[#This Row],[Net_revenue]]/Table1[[#This Row],[Gross_revenue]]*100%</f>
        <v>1</v>
      </c>
      <c r="T797" s="18">
        <f>COUNTIFS(Table1[Customer ID], "&gt;1", Table1[Customer ID], 1)</f>
        <v>0</v>
      </c>
    </row>
    <row r="798" spans="1:20" hidden="1" x14ac:dyDescent="0.3">
      <c r="A798" s="2" t="s">
        <v>1340</v>
      </c>
      <c r="B798" s="5">
        <v>45992</v>
      </c>
      <c r="C798" s="5" t="str">
        <f>TEXT(B798,"mmm")</f>
        <v>Dec</v>
      </c>
      <c r="D798" s="2" t="s">
        <v>1341</v>
      </c>
      <c r="E798" s="2" t="s">
        <v>75</v>
      </c>
      <c r="F798" s="2" t="str" cm="1">
        <f t="array" ref="F7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798" s="2" t="str" cm="1">
        <f t="array" ref="G7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8" s="2" t="s">
        <v>107</v>
      </c>
      <c r="I798" s="2" t="s">
        <v>95</v>
      </c>
      <c r="J798" s="2">
        <v>2</v>
      </c>
      <c r="K798" s="8">
        <v>1599</v>
      </c>
      <c r="L798" s="3">
        <v>0.25</v>
      </c>
      <c r="M798" s="12">
        <f>K798*L798</f>
        <v>399.75</v>
      </c>
      <c r="N798" s="12">
        <f>K798*J798</f>
        <v>3198</v>
      </c>
      <c r="O798" s="12">
        <f>N798-M798</f>
        <v>2798.25</v>
      </c>
      <c r="P798" s="2" t="s">
        <v>30</v>
      </c>
      <c r="Q798" s="2" t="s">
        <v>18</v>
      </c>
      <c r="R798" s="2">
        <v>40</v>
      </c>
      <c r="S798" s="20">
        <f>Table1[[#This Row],[Net_revenue]]/Table1[[#This Row],[Gross_revenue]]*100%</f>
        <v>0.875</v>
      </c>
      <c r="T798" s="18">
        <f>COUNTIFS(Table1[Customer ID], "&gt;1", Table1[Customer ID], 1)</f>
        <v>0</v>
      </c>
    </row>
    <row r="799" spans="1:20" hidden="1" x14ac:dyDescent="0.3">
      <c r="A799" s="2" t="s">
        <v>1342</v>
      </c>
      <c r="B799" s="5">
        <v>45682</v>
      </c>
      <c r="C799" s="5" t="str">
        <f>TEXT(B799,"mmm")</f>
        <v>Jan</v>
      </c>
      <c r="D799" s="2" t="s">
        <v>1343</v>
      </c>
      <c r="E799" s="2" t="s">
        <v>195</v>
      </c>
      <c r="F799" s="2" t="str" cm="1">
        <f t="array" ref="F7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799" s="2" t="str" cm="1">
        <f t="array" ref="G7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799" s="2" t="s">
        <v>44</v>
      </c>
      <c r="I799" s="2" t="s">
        <v>16</v>
      </c>
      <c r="J799" s="2">
        <v>1</v>
      </c>
      <c r="K799" s="8">
        <v>1599</v>
      </c>
      <c r="L799" s="3">
        <v>0.15</v>
      </c>
      <c r="M799" s="12">
        <f>K799*L799</f>
        <v>239.85</v>
      </c>
      <c r="N799" s="12">
        <f>K799*J799</f>
        <v>1599</v>
      </c>
      <c r="O799" s="12">
        <f>N799-M799</f>
        <v>1359.15</v>
      </c>
      <c r="P799" s="2" t="s">
        <v>45</v>
      </c>
      <c r="Q799" s="2" t="s">
        <v>18</v>
      </c>
      <c r="R799" s="2">
        <v>40</v>
      </c>
      <c r="S799" s="20">
        <f>Table1[[#This Row],[Net_revenue]]/Table1[[#This Row],[Gross_revenue]]*100%</f>
        <v>0.85000000000000009</v>
      </c>
      <c r="T799" s="18">
        <f>COUNTIFS(Table1[Customer ID], "&gt;1", Table1[Customer ID], 1)</f>
        <v>0</v>
      </c>
    </row>
    <row r="800" spans="1:20" hidden="1" x14ac:dyDescent="0.3">
      <c r="A800" s="2" t="s">
        <v>1344</v>
      </c>
      <c r="B800" s="5">
        <v>45695</v>
      </c>
      <c r="C800" s="5" t="str">
        <f>TEXT(B800,"mmm")</f>
        <v>Feb</v>
      </c>
      <c r="D800" s="2" t="s">
        <v>222</v>
      </c>
      <c r="E800" s="2" t="s">
        <v>27</v>
      </c>
      <c r="F800" s="2" t="str" cm="1">
        <f t="array" ref="F8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00" s="2" t="str" cm="1">
        <f t="array" ref="G8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00" s="2" t="s">
        <v>134</v>
      </c>
      <c r="I800" s="2" t="s">
        <v>29</v>
      </c>
      <c r="J800" s="2">
        <v>5</v>
      </c>
      <c r="K800" s="8">
        <v>1499</v>
      </c>
      <c r="L800" s="3">
        <v>0.1</v>
      </c>
      <c r="M800" s="12">
        <f>K800*L800</f>
        <v>149.9</v>
      </c>
      <c r="N800" s="12">
        <f>K800*J800</f>
        <v>7495</v>
      </c>
      <c r="O800" s="12">
        <f>N800-M800</f>
        <v>7345.1</v>
      </c>
      <c r="P800" s="2" t="s">
        <v>17</v>
      </c>
      <c r="Q800" s="2" t="s">
        <v>72</v>
      </c>
      <c r="R800" s="2">
        <v>80</v>
      </c>
      <c r="S800" s="20">
        <f>Table1[[#This Row],[Net_revenue]]/Table1[[#This Row],[Gross_revenue]]*100%</f>
        <v>0.98000000000000009</v>
      </c>
      <c r="T800" s="18">
        <f>COUNTIFS(Table1[Customer ID], "&gt;1", Table1[Customer ID], 1)</f>
        <v>0</v>
      </c>
    </row>
    <row r="801" spans="1:20" hidden="1" x14ac:dyDescent="0.3">
      <c r="A801" s="2" t="s">
        <v>1345</v>
      </c>
      <c r="B801" s="5">
        <v>45827</v>
      </c>
      <c r="C801" s="5" t="str">
        <f>TEXT(B801,"mmm")</f>
        <v>Jun</v>
      </c>
      <c r="D801" s="2" t="s">
        <v>1083</v>
      </c>
      <c r="E801" s="2" t="s">
        <v>195</v>
      </c>
      <c r="F801" s="2" t="str" cm="1">
        <f t="array" ref="F8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801" s="2" t="str" cm="1">
        <f t="array" ref="G8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01" s="2" t="s">
        <v>33</v>
      </c>
      <c r="I801" s="2" t="s">
        <v>16</v>
      </c>
      <c r="J801" s="2">
        <v>1</v>
      </c>
      <c r="K801" s="8">
        <v>899</v>
      </c>
      <c r="L801" s="3">
        <v>0.1</v>
      </c>
      <c r="M801" s="12">
        <f>K801*L801</f>
        <v>89.9</v>
      </c>
      <c r="N801" s="12">
        <f>K801*J801</f>
        <v>899</v>
      </c>
      <c r="O801" s="12">
        <f>N801-M801</f>
        <v>809.1</v>
      </c>
      <c r="P801" s="2" t="s">
        <v>17</v>
      </c>
      <c r="Q801" s="2" t="s">
        <v>18</v>
      </c>
      <c r="R801" s="2">
        <v>40</v>
      </c>
      <c r="S801" s="20">
        <f>Table1[[#This Row],[Net_revenue]]/Table1[[#This Row],[Gross_revenue]]*100%</f>
        <v>0.9</v>
      </c>
      <c r="T801" s="18">
        <f>COUNTIFS(Table1[Customer ID], "&gt;1", Table1[Customer ID], 1)</f>
        <v>0</v>
      </c>
    </row>
    <row r="802" spans="1:20" hidden="1" x14ac:dyDescent="0.3">
      <c r="A802" s="2" t="s">
        <v>1346</v>
      </c>
      <c r="B802" s="5">
        <v>45937</v>
      </c>
      <c r="C802" s="5" t="str">
        <f>TEXT(B802,"mmm")</f>
        <v>Oct</v>
      </c>
      <c r="D802" s="2" t="s">
        <v>609</v>
      </c>
      <c r="E802" s="2" t="s">
        <v>48</v>
      </c>
      <c r="F802" s="2" t="str" cm="1">
        <f t="array" ref="F8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02" s="2" t="str" cm="1">
        <f t="array" ref="G8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02" s="2" t="s">
        <v>217</v>
      </c>
      <c r="I802" s="2" t="s">
        <v>29</v>
      </c>
      <c r="J802" s="2">
        <v>1</v>
      </c>
      <c r="K802" s="8">
        <v>3299</v>
      </c>
      <c r="L802" s="3">
        <v>0.2</v>
      </c>
      <c r="M802" s="12">
        <f>K802*L802</f>
        <v>659.80000000000007</v>
      </c>
      <c r="N802" s="12">
        <f>K802*J802</f>
        <v>3299</v>
      </c>
      <c r="O802" s="12">
        <f>N802-M802</f>
        <v>2639.2</v>
      </c>
      <c r="P802" s="2" t="s">
        <v>45</v>
      </c>
      <c r="Q802" s="2" t="s">
        <v>18</v>
      </c>
      <c r="R802" s="2">
        <v>80</v>
      </c>
      <c r="S802" s="20">
        <f>Table1[[#This Row],[Net_revenue]]/Table1[[#This Row],[Gross_revenue]]*100%</f>
        <v>0.79999999999999993</v>
      </c>
      <c r="T802" s="18">
        <f>COUNTIFS(Table1[Customer ID], "&gt;1", Table1[Customer ID], 1)</f>
        <v>0</v>
      </c>
    </row>
    <row r="803" spans="1:20" hidden="1" x14ac:dyDescent="0.3">
      <c r="A803" s="2" t="s">
        <v>1347</v>
      </c>
      <c r="B803" s="5">
        <v>45765</v>
      </c>
      <c r="C803" s="5" t="str">
        <f>TEXT(B803,"mmm")</f>
        <v>Apr</v>
      </c>
      <c r="D803" s="2" t="s">
        <v>432</v>
      </c>
      <c r="E803" s="2" t="s">
        <v>40</v>
      </c>
      <c r="F803" s="2" t="str" cm="1">
        <f t="array" ref="F8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03" s="2" t="str" cm="1">
        <f t="array" ref="G8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03" s="2" t="s">
        <v>41</v>
      </c>
      <c r="I803" s="2" t="s">
        <v>16</v>
      </c>
      <c r="J803" s="2">
        <v>1</v>
      </c>
      <c r="K803" s="8">
        <v>2299</v>
      </c>
      <c r="L803" s="3">
        <v>0.1</v>
      </c>
      <c r="M803" s="12">
        <f>K803*L803</f>
        <v>229.9</v>
      </c>
      <c r="N803" s="12">
        <f>K803*J803</f>
        <v>2299</v>
      </c>
      <c r="O803" s="12">
        <f>N803-M803</f>
        <v>2069.1</v>
      </c>
      <c r="P803" s="2" t="s">
        <v>17</v>
      </c>
      <c r="Q803" s="2" t="s">
        <v>18</v>
      </c>
      <c r="R803" s="2">
        <v>0</v>
      </c>
      <c r="S803" s="20">
        <f>Table1[[#This Row],[Net_revenue]]/Table1[[#This Row],[Gross_revenue]]*100%</f>
        <v>0.89999999999999991</v>
      </c>
      <c r="T803" s="18">
        <f>COUNTIFS(Table1[Customer ID], "&gt;1", Table1[Customer ID], 1)</f>
        <v>0</v>
      </c>
    </row>
    <row r="804" spans="1:20" hidden="1" x14ac:dyDescent="0.3">
      <c r="A804" s="2" t="s">
        <v>1348</v>
      </c>
      <c r="B804" s="5">
        <v>45948</v>
      </c>
      <c r="C804" s="5" t="str">
        <f>TEXT(B804,"mmm")</f>
        <v>Oct</v>
      </c>
      <c r="D804" s="2" t="s">
        <v>226</v>
      </c>
      <c r="E804" s="2" t="s">
        <v>120</v>
      </c>
      <c r="F804" s="2" t="str" cm="1">
        <f t="array" ref="F8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04" s="2" t="str" cm="1">
        <f t="array" ref="G8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04" s="2" t="s">
        <v>33</v>
      </c>
      <c r="I804" s="2" t="s">
        <v>16</v>
      </c>
      <c r="J804" s="2">
        <v>1</v>
      </c>
      <c r="K804" s="8">
        <v>899</v>
      </c>
      <c r="L804" s="3">
        <v>0</v>
      </c>
      <c r="M804" s="12">
        <f>K804*L804</f>
        <v>0</v>
      </c>
      <c r="N804" s="12">
        <f>K804*J804</f>
        <v>899</v>
      </c>
      <c r="O804" s="12">
        <f>N804-M804</f>
        <v>899</v>
      </c>
      <c r="P804" s="2" t="s">
        <v>30</v>
      </c>
      <c r="Q804" s="2" t="s">
        <v>18</v>
      </c>
      <c r="R804" s="2">
        <v>80</v>
      </c>
      <c r="S804" s="20">
        <f>Table1[[#This Row],[Net_revenue]]/Table1[[#This Row],[Gross_revenue]]*100%</f>
        <v>1</v>
      </c>
      <c r="T804" s="18">
        <f>COUNTIFS(Table1[Customer ID], "&gt;1", Table1[Customer ID], 1)</f>
        <v>0</v>
      </c>
    </row>
    <row r="805" spans="1:20" hidden="1" x14ac:dyDescent="0.3">
      <c r="A805" s="2" t="s">
        <v>1349</v>
      </c>
      <c r="B805" s="5">
        <v>45781</v>
      </c>
      <c r="C805" s="5" t="str">
        <f>TEXT(B805,"mmm")</f>
        <v>May</v>
      </c>
      <c r="D805" s="2" t="s">
        <v>865</v>
      </c>
      <c r="E805" s="2" t="s">
        <v>21</v>
      </c>
      <c r="F805" s="2" t="str" cm="1">
        <f t="array" ref="F8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05" s="2" t="str" cm="1">
        <f t="array" ref="G8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05" s="2" t="s">
        <v>117</v>
      </c>
      <c r="I805" s="2" t="s">
        <v>23</v>
      </c>
      <c r="J805" s="2">
        <v>1</v>
      </c>
      <c r="K805" s="8">
        <v>2199</v>
      </c>
      <c r="L805" s="3">
        <v>0.1</v>
      </c>
      <c r="M805" s="12">
        <f>K805*L805</f>
        <v>219.9</v>
      </c>
      <c r="N805" s="12">
        <f>K805*J805</f>
        <v>2199</v>
      </c>
      <c r="O805" s="12">
        <f>N805-M805</f>
        <v>1979.1</v>
      </c>
      <c r="P805" s="2" t="s">
        <v>45</v>
      </c>
      <c r="Q805" s="2" t="s">
        <v>18</v>
      </c>
      <c r="R805" s="2">
        <v>40</v>
      </c>
      <c r="S805" s="20">
        <f>Table1[[#This Row],[Net_revenue]]/Table1[[#This Row],[Gross_revenue]]*100%</f>
        <v>0.89999999999999991</v>
      </c>
      <c r="T805" s="18">
        <f>COUNTIFS(Table1[Customer ID], "&gt;1", Table1[Customer ID], 1)</f>
        <v>0</v>
      </c>
    </row>
    <row r="806" spans="1:20" hidden="1" x14ac:dyDescent="0.3">
      <c r="A806" s="2" t="s">
        <v>1350</v>
      </c>
      <c r="B806" s="5">
        <v>45816</v>
      </c>
      <c r="C806" s="5" t="str">
        <f>TEXT(B806,"mmm")</f>
        <v>Jun</v>
      </c>
      <c r="D806" s="2" t="s">
        <v>1351</v>
      </c>
      <c r="E806" s="2" t="s">
        <v>21</v>
      </c>
      <c r="F806" s="2" t="str" cm="1">
        <f t="array" ref="F8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06" s="2" t="str" cm="1">
        <f t="array" ref="G8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06" s="2" t="s">
        <v>188</v>
      </c>
      <c r="I806" s="2" t="s">
        <v>95</v>
      </c>
      <c r="J806" s="2">
        <v>1</v>
      </c>
      <c r="K806" s="8">
        <v>699</v>
      </c>
      <c r="L806" s="3">
        <v>0</v>
      </c>
      <c r="M806" s="12">
        <f>K806*L806</f>
        <v>0</v>
      </c>
      <c r="N806" s="12">
        <f>K806*J806</f>
        <v>699</v>
      </c>
      <c r="O806" s="12">
        <f>N806-M806</f>
        <v>699</v>
      </c>
      <c r="P806" s="2" t="s">
        <v>45</v>
      </c>
      <c r="Q806" s="2" t="s">
        <v>18</v>
      </c>
      <c r="R806" s="2">
        <v>0</v>
      </c>
      <c r="S806" s="20">
        <f>Table1[[#This Row],[Net_revenue]]/Table1[[#This Row],[Gross_revenue]]*100%</f>
        <v>1</v>
      </c>
      <c r="T806" s="18">
        <f>COUNTIFS(Table1[Customer ID], "&gt;1", Table1[Customer ID], 1)</f>
        <v>0</v>
      </c>
    </row>
    <row r="807" spans="1:20" hidden="1" x14ac:dyDescent="0.3">
      <c r="A807" s="2" t="s">
        <v>1352</v>
      </c>
      <c r="B807" s="5">
        <v>45974</v>
      </c>
      <c r="C807" s="5" t="str">
        <f>TEXT(B807,"mmm")</f>
        <v>Nov</v>
      </c>
      <c r="D807" s="2" t="s">
        <v>712</v>
      </c>
      <c r="E807" s="2" t="s">
        <v>56</v>
      </c>
      <c r="F807" s="2" t="str" cm="1">
        <f t="array" ref="F8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07" s="2" t="str" cm="1">
        <f t="array" ref="G8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07" s="2" t="s">
        <v>89</v>
      </c>
      <c r="I807" s="2" t="s">
        <v>29</v>
      </c>
      <c r="J807" s="2">
        <v>1</v>
      </c>
      <c r="K807" s="8">
        <v>449</v>
      </c>
      <c r="L807" s="3">
        <v>0.1</v>
      </c>
      <c r="M807" s="12">
        <f>K807*L807</f>
        <v>44.900000000000006</v>
      </c>
      <c r="N807" s="12">
        <f>K807*J807</f>
        <v>449</v>
      </c>
      <c r="O807" s="12">
        <f>N807-M807</f>
        <v>404.1</v>
      </c>
      <c r="P807" s="2" t="s">
        <v>45</v>
      </c>
      <c r="Q807" s="2" t="s">
        <v>18</v>
      </c>
      <c r="R807" s="2">
        <v>0</v>
      </c>
      <c r="S807" s="20">
        <f>Table1[[#This Row],[Net_revenue]]/Table1[[#This Row],[Gross_revenue]]*100%</f>
        <v>0.9</v>
      </c>
      <c r="T807" s="18">
        <f>COUNTIFS(Table1[Customer ID], "&gt;1", Table1[Customer ID], 1)</f>
        <v>0</v>
      </c>
    </row>
    <row r="808" spans="1:20" hidden="1" x14ac:dyDescent="0.3">
      <c r="A808" s="2" t="s">
        <v>1353</v>
      </c>
      <c r="B808" s="5">
        <v>45883</v>
      </c>
      <c r="C808" s="5" t="str">
        <f>TEXT(B808,"mmm")</f>
        <v>Aug</v>
      </c>
      <c r="D808" s="2" t="s">
        <v>537</v>
      </c>
      <c r="E808" s="2" t="s">
        <v>14</v>
      </c>
      <c r="F808" s="2" t="str" cm="1">
        <f t="array" ref="F8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08" s="2" t="str" cm="1">
        <f t="array" ref="G8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08" s="2" t="s">
        <v>80</v>
      </c>
      <c r="I808" s="2" t="s">
        <v>23</v>
      </c>
      <c r="J808" s="2">
        <v>2</v>
      </c>
      <c r="K808" s="8">
        <v>799</v>
      </c>
      <c r="L808" s="3">
        <v>0.2</v>
      </c>
      <c r="M808" s="12">
        <f>K808*L808</f>
        <v>159.80000000000001</v>
      </c>
      <c r="N808" s="12">
        <f>K808*J808</f>
        <v>1598</v>
      </c>
      <c r="O808" s="12">
        <f>N808-M808</f>
        <v>1438.2</v>
      </c>
      <c r="P808" s="2" t="s">
        <v>17</v>
      </c>
      <c r="Q808" s="2" t="s">
        <v>18</v>
      </c>
      <c r="R808" s="2">
        <v>60</v>
      </c>
      <c r="S808" s="20">
        <f>Table1[[#This Row],[Net_revenue]]/Table1[[#This Row],[Gross_revenue]]*100%</f>
        <v>0.9</v>
      </c>
      <c r="T808" s="18">
        <f>COUNTIFS(Table1[Customer ID], "&gt;1", Table1[Customer ID], 1)</f>
        <v>0</v>
      </c>
    </row>
    <row r="809" spans="1:20" hidden="1" x14ac:dyDescent="0.3">
      <c r="A809" s="2" t="s">
        <v>1354</v>
      </c>
      <c r="B809" s="5">
        <v>45712</v>
      </c>
      <c r="C809" s="5" t="str">
        <f>TEXT(B809,"mmm")</f>
        <v>Feb</v>
      </c>
      <c r="D809" s="2" t="s">
        <v>1355</v>
      </c>
      <c r="E809" s="2" t="s">
        <v>48</v>
      </c>
      <c r="F809" s="2" t="str" cm="1">
        <f t="array" ref="F8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09" s="2" t="str" cm="1">
        <f t="array" ref="G8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09" s="2" t="s">
        <v>49</v>
      </c>
      <c r="I809" s="2" t="s">
        <v>23</v>
      </c>
      <c r="J809" s="2">
        <v>1</v>
      </c>
      <c r="K809" s="8">
        <v>1299</v>
      </c>
      <c r="L809" s="3">
        <v>0.1</v>
      </c>
      <c r="M809" s="12">
        <f>K809*L809</f>
        <v>129.9</v>
      </c>
      <c r="N809" s="12">
        <f>K809*J809</f>
        <v>1299</v>
      </c>
      <c r="O809" s="12">
        <f>N809-M809</f>
        <v>1169.0999999999999</v>
      </c>
      <c r="P809" s="2" t="s">
        <v>45</v>
      </c>
      <c r="Q809" s="2" t="s">
        <v>50</v>
      </c>
      <c r="R809" s="2">
        <v>40</v>
      </c>
      <c r="S809" s="20">
        <f>Table1[[#This Row],[Net_revenue]]/Table1[[#This Row],[Gross_revenue]]*100%</f>
        <v>0.89999999999999991</v>
      </c>
      <c r="T809" s="18">
        <f>COUNTIFS(Table1[Customer ID], "&gt;1", Table1[Customer ID], 1)</f>
        <v>0</v>
      </c>
    </row>
    <row r="810" spans="1:20" hidden="1" x14ac:dyDescent="0.3">
      <c r="A810" s="2" t="s">
        <v>1356</v>
      </c>
      <c r="B810" s="5">
        <v>45836</v>
      </c>
      <c r="C810" s="5" t="str">
        <f>TEXT(B810,"mmm")</f>
        <v>Jun</v>
      </c>
      <c r="D810" s="2" t="s">
        <v>1357</v>
      </c>
      <c r="E810" s="2" t="s">
        <v>56</v>
      </c>
      <c r="F810" s="2" t="str" cm="1">
        <f t="array" ref="F8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10" s="2" t="str" cm="1">
        <f t="array" ref="G8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10" s="2" t="s">
        <v>217</v>
      </c>
      <c r="I810" s="2" t="s">
        <v>29</v>
      </c>
      <c r="J810" s="2">
        <v>1</v>
      </c>
      <c r="K810" s="8">
        <v>3299</v>
      </c>
      <c r="L810" s="3">
        <v>0.05</v>
      </c>
      <c r="M810" s="12">
        <f>K810*L810</f>
        <v>164.95000000000002</v>
      </c>
      <c r="N810" s="12">
        <f>K810*J810</f>
        <v>3299</v>
      </c>
      <c r="O810" s="12">
        <f>N810-M810</f>
        <v>3134.05</v>
      </c>
      <c r="P810" s="2" t="s">
        <v>30</v>
      </c>
      <c r="Q810" s="2" t="s">
        <v>18</v>
      </c>
      <c r="R810" s="2">
        <v>0</v>
      </c>
      <c r="S810" s="20">
        <f>Table1[[#This Row],[Net_revenue]]/Table1[[#This Row],[Gross_revenue]]*100%</f>
        <v>0.95000000000000007</v>
      </c>
      <c r="T810" s="18">
        <f>COUNTIFS(Table1[Customer ID], "&gt;1", Table1[Customer ID], 1)</f>
        <v>0</v>
      </c>
    </row>
    <row r="811" spans="1:20" hidden="1" x14ac:dyDescent="0.3">
      <c r="A811" s="2" t="s">
        <v>1358</v>
      </c>
      <c r="B811" s="5">
        <v>45825</v>
      </c>
      <c r="C811" s="5" t="str">
        <f>TEXT(B811,"mmm")</f>
        <v>Jun</v>
      </c>
      <c r="D811" s="2" t="s">
        <v>102</v>
      </c>
      <c r="E811" s="2" t="s">
        <v>27</v>
      </c>
      <c r="F811" s="2" t="str" cm="1">
        <f t="array" ref="F8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11" s="2" t="str" cm="1">
        <f t="array" ref="G8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11" s="2" t="s">
        <v>15</v>
      </c>
      <c r="I811" s="2" t="s">
        <v>16</v>
      </c>
      <c r="J811" s="2">
        <v>1</v>
      </c>
      <c r="K811" s="8">
        <v>1799</v>
      </c>
      <c r="L811" s="3">
        <v>0.1</v>
      </c>
      <c r="M811" s="12">
        <f>K811*L811</f>
        <v>179.9</v>
      </c>
      <c r="N811" s="12">
        <f>K811*J811</f>
        <v>1799</v>
      </c>
      <c r="O811" s="12">
        <f>N811-M811</f>
        <v>1619.1</v>
      </c>
      <c r="P811" s="2" t="s">
        <v>30</v>
      </c>
      <c r="Q811" s="2" t="s">
        <v>18</v>
      </c>
      <c r="R811" s="2">
        <v>0</v>
      </c>
      <c r="S811" s="20">
        <f>Table1[[#This Row],[Net_revenue]]/Table1[[#This Row],[Gross_revenue]]*100%</f>
        <v>0.89999999999999991</v>
      </c>
      <c r="T811" s="18">
        <f>COUNTIFS(Table1[Customer ID], "&gt;1", Table1[Customer ID], 1)</f>
        <v>0</v>
      </c>
    </row>
    <row r="812" spans="1:20" hidden="1" x14ac:dyDescent="0.3">
      <c r="A812" s="2" t="s">
        <v>1359</v>
      </c>
      <c r="B812" s="5">
        <v>45881</v>
      </c>
      <c r="C812" s="5" t="str">
        <f>TEXT(B812,"mmm")</f>
        <v>Aug</v>
      </c>
      <c r="D812" s="2" t="s">
        <v>428</v>
      </c>
      <c r="E812" s="2" t="s">
        <v>120</v>
      </c>
      <c r="F812" s="2" t="str" cm="1">
        <f t="array" ref="F8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12" s="2" t="str" cm="1">
        <f t="array" ref="G8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12" s="2" t="s">
        <v>134</v>
      </c>
      <c r="I812" s="2" t="s">
        <v>29</v>
      </c>
      <c r="J812" s="2">
        <v>2</v>
      </c>
      <c r="K812" s="8">
        <v>1499</v>
      </c>
      <c r="L812" s="3">
        <v>0.1</v>
      </c>
      <c r="M812" s="12">
        <f>K812*L812</f>
        <v>149.9</v>
      </c>
      <c r="N812" s="12">
        <f>K812*J812</f>
        <v>2998</v>
      </c>
      <c r="O812" s="12">
        <f>N812-M812</f>
        <v>2848.1</v>
      </c>
      <c r="P812" s="2" t="s">
        <v>17</v>
      </c>
      <c r="Q812" s="2" t="s">
        <v>18</v>
      </c>
      <c r="R812" s="2">
        <v>0</v>
      </c>
      <c r="S812" s="20">
        <f>Table1[[#This Row],[Net_revenue]]/Table1[[#This Row],[Gross_revenue]]*100%</f>
        <v>0.95</v>
      </c>
      <c r="T812" s="18">
        <f>COUNTIFS(Table1[Customer ID], "&gt;1", Table1[Customer ID], 1)</f>
        <v>0</v>
      </c>
    </row>
    <row r="813" spans="1:20" hidden="1" x14ac:dyDescent="0.3">
      <c r="A813" s="2" t="s">
        <v>1360</v>
      </c>
      <c r="B813" s="5">
        <v>45740</v>
      </c>
      <c r="C813" s="5" t="str">
        <f>TEXT(B813,"mmm")</f>
        <v>Mar</v>
      </c>
      <c r="D813" s="2" t="s">
        <v>511</v>
      </c>
      <c r="E813" s="2" t="s">
        <v>21</v>
      </c>
      <c r="F813" s="2" t="str" cm="1">
        <f t="array" ref="F8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13" s="2" t="str" cm="1">
        <f t="array" ref="G8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13" s="2" t="s">
        <v>68</v>
      </c>
      <c r="I813" s="2" t="s">
        <v>16</v>
      </c>
      <c r="J813" s="2">
        <v>1</v>
      </c>
      <c r="K813" s="8">
        <v>599</v>
      </c>
      <c r="L813" s="3">
        <v>0.05</v>
      </c>
      <c r="M813" s="12">
        <f>K813*L813</f>
        <v>29.950000000000003</v>
      </c>
      <c r="N813" s="12">
        <f>K813*J813</f>
        <v>599</v>
      </c>
      <c r="O813" s="12">
        <f>N813-M813</f>
        <v>569.04999999999995</v>
      </c>
      <c r="P813" s="2" t="s">
        <v>45</v>
      </c>
      <c r="Q813" s="2" t="s">
        <v>18</v>
      </c>
      <c r="R813" s="2">
        <v>0</v>
      </c>
      <c r="S813" s="20">
        <f>Table1[[#This Row],[Net_revenue]]/Table1[[#This Row],[Gross_revenue]]*100%</f>
        <v>0.95</v>
      </c>
      <c r="T813" s="18">
        <f>COUNTIFS(Table1[Customer ID], "&gt;1", Table1[Customer ID], 1)</f>
        <v>0</v>
      </c>
    </row>
    <row r="814" spans="1:20" hidden="1" x14ac:dyDescent="0.3">
      <c r="A814" s="2" t="s">
        <v>1361</v>
      </c>
      <c r="B814" s="5">
        <v>45823</v>
      </c>
      <c r="C814" s="5" t="str">
        <f>TEXT(B814,"mmm")</f>
        <v>Jun</v>
      </c>
      <c r="D814" s="2" t="s">
        <v>52</v>
      </c>
      <c r="E814" s="2" t="s">
        <v>56</v>
      </c>
      <c r="F814" s="2" t="str" cm="1">
        <f t="array" ref="F8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14" s="2" t="str" cm="1">
        <f t="array" ref="G8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14" s="2" t="s">
        <v>71</v>
      </c>
      <c r="I814" s="2" t="s">
        <v>29</v>
      </c>
      <c r="J814" s="2">
        <v>2</v>
      </c>
      <c r="K814" s="8">
        <v>5499</v>
      </c>
      <c r="L814" s="3">
        <v>0.05</v>
      </c>
      <c r="M814" s="12">
        <f>K814*L814</f>
        <v>274.95</v>
      </c>
      <c r="N814" s="12">
        <f>K814*J814</f>
        <v>10998</v>
      </c>
      <c r="O814" s="12">
        <f>N814-M814</f>
        <v>10723.05</v>
      </c>
      <c r="P814" s="2" t="s">
        <v>45</v>
      </c>
      <c r="Q814" s="2" t="s">
        <v>18</v>
      </c>
      <c r="R814" s="2">
        <v>0</v>
      </c>
      <c r="S814" s="20">
        <f>Table1[[#This Row],[Net_revenue]]/Table1[[#This Row],[Gross_revenue]]*100%</f>
        <v>0.97499999999999998</v>
      </c>
      <c r="T814" s="18">
        <f>COUNTIFS(Table1[Customer ID], "&gt;1", Table1[Customer ID], 1)</f>
        <v>0</v>
      </c>
    </row>
    <row r="815" spans="1:20" hidden="1" x14ac:dyDescent="0.3">
      <c r="A815" s="2" t="s">
        <v>1362</v>
      </c>
      <c r="B815" s="5">
        <v>45874</v>
      </c>
      <c r="C815" s="5" t="str">
        <f>TEXT(B815,"mmm")</f>
        <v>Aug</v>
      </c>
      <c r="D815" s="2" t="s">
        <v>1363</v>
      </c>
      <c r="E815" s="2" t="s">
        <v>48</v>
      </c>
      <c r="F815" s="2" t="str" cm="1">
        <f t="array" ref="F8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15" s="2" t="str" cm="1">
        <f t="array" ref="G8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15" s="2" t="s">
        <v>15</v>
      </c>
      <c r="I815" s="2" t="s">
        <v>16</v>
      </c>
      <c r="J815" s="2">
        <v>1</v>
      </c>
      <c r="K815" s="8">
        <v>1799</v>
      </c>
      <c r="L815" s="3">
        <v>0.1</v>
      </c>
      <c r="M815" s="12">
        <f>K815*L815</f>
        <v>179.9</v>
      </c>
      <c r="N815" s="12">
        <f>K815*J815</f>
        <v>1799</v>
      </c>
      <c r="O815" s="12">
        <f>N815-M815</f>
        <v>1619.1</v>
      </c>
      <c r="P815" s="2" t="s">
        <v>24</v>
      </c>
      <c r="Q815" s="2" t="s">
        <v>18</v>
      </c>
      <c r="R815" s="2">
        <v>80</v>
      </c>
      <c r="S815" s="20">
        <f>Table1[[#This Row],[Net_revenue]]/Table1[[#This Row],[Gross_revenue]]*100%</f>
        <v>0.89999999999999991</v>
      </c>
      <c r="T815" s="18">
        <f>COUNTIFS(Table1[Customer ID], "&gt;1", Table1[Customer ID], 1)</f>
        <v>0</v>
      </c>
    </row>
    <row r="816" spans="1:20" hidden="1" x14ac:dyDescent="0.3">
      <c r="A816" s="2" t="s">
        <v>1364</v>
      </c>
      <c r="B816" s="5">
        <v>45900</v>
      </c>
      <c r="C816" s="5" t="str">
        <f>TEXT(B816,"mmm")</f>
        <v>Aug</v>
      </c>
      <c r="D816" s="2" t="s">
        <v>1365</v>
      </c>
      <c r="E816" s="2" t="s">
        <v>120</v>
      </c>
      <c r="F816" s="2" t="str" cm="1">
        <f t="array" ref="F8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16" s="2" t="str" cm="1">
        <f t="array" ref="G8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16" s="2" t="s">
        <v>28</v>
      </c>
      <c r="I816" s="2" t="s">
        <v>29</v>
      </c>
      <c r="J816" s="2">
        <v>2</v>
      </c>
      <c r="K816" s="8">
        <v>2799</v>
      </c>
      <c r="L816" s="3">
        <v>0</v>
      </c>
      <c r="M816" s="12">
        <f>K816*L816</f>
        <v>0</v>
      </c>
      <c r="N816" s="12">
        <f>K816*J816</f>
        <v>5598</v>
      </c>
      <c r="O816" s="12">
        <f>N816-M816</f>
        <v>5598</v>
      </c>
      <c r="P816" s="2" t="s">
        <v>45</v>
      </c>
      <c r="Q816" s="2" t="s">
        <v>18</v>
      </c>
      <c r="R816" s="2">
        <v>0</v>
      </c>
      <c r="S816" s="20">
        <f>Table1[[#This Row],[Net_revenue]]/Table1[[#This Row],[Gross_revenue]]*100%</f>
        <v>1</v>
      </c>
      <c r="T816" s="18">
        <f>COUNTIFS(Table1[Customer ID], "&gt;1", Table1[Customer ID], 1)</f>
        <v>0</v>
      </c>
    </row>
    <row r="817" spans="1:20" hidden="1" x14ac:dyDescent="0.3">
      <c r="A817" s="2" t="s">
        <v>1366</v>
      </c>
      <c r="B817" s="5">
        <v>45951</v>
      </c>
      <c r="C817" s="5" t="str">
        <f>TEXT(B817,"mmm")</f>
        <v>Oct</v>
      </c>
      <c r="D817" s="2" t="s">
        <v>479</v>
      </c>
      <c r="E817" s="2" t="s">
        <v>120</v>
      </c>
      <c r="F817" s="2" t="str" cm="1">
        <f t="array" ref="F8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17" s="2" t="str" cm="1">
        <f t="array" ref="G8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17" s="2" t="s">
        <v>41</v>
      </c>
      <c r="I817" s="2" t="s">
        <v>16</v>
      </c>
      <c r="J817" s="2">
        <v>1</v>
      </c>
      <c r="K817" s="8">
        <v>2299</v>
      </c>
      <c r="L817" s="3">
        <v>0.1</v>
      </c>
      <c r="M817" s="12">
        <f>K817*L817</f>
        <v>229.9</v>
      </c>
      <c r="N817" s="12">
        <f>K817*J817</f>
        <v>2299</v>
      </c>
      <c r="O817" s="12">
        <f>N817-M817</f>
        <v>2069.1</v>
      </c>
      <c r="P817" s="2" t="s">
        <v>17</v>
      </c>
      <c r="Q817" s="2" t="s">
        <v>50</v>
      </c>
      <c r="R817" s="2">
        <v>60</v>
      </c>
      <c r="S817" s="20">
        <f>Table1[[#This Row],[Net_revenue]]/Table1[[#This Row],[Gross_revenue]]*100%</f>
        <v>0.89999999999999991</v>
      </c>
      <c r="T817" s="18">
        <f>COUNTIFS(Table1[Customer ID], "&gt;1", Table1[Customer ID], 1)</f>
        <v>0</v>
      </c>
    </row>
    <row r="818" spans="1:20" hidden="1" x14ac:dyDescent="0.3">
      <c r="A818" s="2" t="s">
        <v>1367</v>
      </c>
      <c r="B818" s="5">
        <v>45976</v>
      </c>
      <c r="C818" s="5" t="str">
        <f>TEXT(B818,"mmm")</f>
        <v>Nov</v>
      </c>
      <c r="D818" s="2" t="s">
        <v>86</v>
      </c>
      <c r="E818" s="2" t="s">
        <v>21</v>
      </c>
      <c r="F818" s="2" t="str" cm="1">
        <f t="array" ref="F8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18" s="2" t="str" cm="1">
        <f t="array" ref="G8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18" s="2" t="s">
        <v>41</v>
      </c>
      <c r="I818" s="2" t="s">
        <v>16</v>
      </c>
      <c r="J818" s="2">
        <v>2</v>
      </c>
      <c r="K818" s="8">
        <v>2299</v>
      </c>
      <c r="L818" s="3">
        <v>0</v>
      </c>
      <c r="M818" s="12">
        <f>K818*L818</f>
        <v>0</v>
      </c>
      <c r="N818" s="12">
        <f>K818*J818</f>
        <v>4598</v>
      </c>
      <c r="O818" s="12">
        <f>N818-M818</f>
        <v>4598</v>
      </c>
      <c r="P818" s="2" t="s">
        <v>17</v>
      </c>
      <c r="Q818" s="2" t="s">
        <v>18</v>
      </c>
      <c r="R818" s="2">
        <v>40</v>
      </c>
      <c r="S818" s="20">
        <f>Table1[[#This Row],[Net_revenue]]/Table1[[#This Row],[Gross_revenue]]*100%</f>
        <v>1</v>
      </c>
      <c r="T818" s="18">
        <f>COUNTIFS(Table1[Customer ID], "&gt;1", Table1[Customer ID], 1)</f>
        <v>0</v>
      </c>
    </row>
    <row r="819" spans="1:20" hidden="1" x14ac:dyDescent="0.3">
      <c r="A819" s="2" t="s">
        <v>1368</v>
      </c>
      <c r="B819" s="5">
        <v>45755</v>
      </c>
      <c r="C819" s="5" t="str">
        <f>TEXT(B819,"mmm")</f>
        <v>Apr</v>
      </c>
      <c r="D819" s="2" t="s">
        <v>415</v>
      </c>
      <c r="E819" s="2" t="s">
        <v>120</v>
      </c>
      <c r="F819" s="2" t="str" cm="1">
        <f t="array" ref="F8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19" s="2" t="str" cm="1">
        <f t="array" ref="G8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19" s="2" t="s">
        <v>217</v>
      </c>
      <c r="I819" s="2" t="s">
        <v>29</v>
      </c>
      <c r="J819" s="2">
        <v>2</v>
      </c>
      <c r="K819" s="8">
        <v>3299</v>
      </c>
      <c r="L819" s="3">
        <v>0.15</v>
      </c>
      <c r="M819" s="12">
        <f>K819*L819</f>
        <v>494.84999999999997</v>
      </c>
      <c r="N819" s="12">
        <f>K819*J819</f>
        <v>6598</v>
      </c>
      <c r="O819" s="12">
        <f>N819-M819</f>
        <v>6103.15</v>
      </c>
      <c r="P819" s="2" t="s">
        <v>17</v>
      </c>
      <c r="Q819" s="2" t="s">
        <v>18</v>
      </c>
      <c r="R819" s="2">
        <v>0</v>
      </c>
      <c r="S819" s="20">
        <f>Table1[[#This Row],[Net_revenue]]/Table1[[#This Row],[Gross_revenue]]*100%</f>
        <v>0.92499999999999993</v>
      </c>
      <c r="T819" s="18">
        <f>COUNTIFS(Table1[Customer ID], "&gt;1", Table1[Customer ID], 1)</f>
        <v>0</v>
      </c>
    </row>
    <row r="820" spans="1:20" hidden="1" x14ac:dyDescent="0.3">
      <c r="A820" s="2" t="s">
        <v>1369</v>
      </c>
      <c r="B820" s="5">
        <v>45984</v>
      </c>
      <c r="C820" s="5" t="str">
        <f>TEXT(B820,"mmm")</f>
        <v>Nov</v>
      </c>
      <c r="D820" s="2" t="s">
        <v>1215</v>
      </c>
      <c r="E820" s="2" t="s">
        <v>21</v>
      </c>
      <c r="F820" s="2" t="str" cm="1">
        <f t="array" ref="F8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20" s="2" t="str" cm="1">
        <f t="array" ref="G8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20" s="2" t="s">
        <v>89</v>
      </c>
      <c r="I820" s="2" t="s">
        <v>29</v>
      </c>
      <c r="J820" s="2">
        <v>1</v>
      </c>
      <c r="K820" s="8">
        <v>449</v>
      </c>
      <c r="L820" s="3">
        <v>0.15</v>
      </c>
      <c r="M820" s="12">
        <f>K820*L820</f>
        <v>67.349999999999994</v>
      </c>
      <c r="N820" s="12">
        <f>K820*J820</f>
        <v>449</v>
      </c>
      <c r="O820" s="12">
        <f>N820-M820</f>
        <v>381.65</v>
      </c>
      <c r="P820" s="2" t="s">
        <v>45</v>
      </c>
      <c r="Q820" s="2" t="s">
        <v>18</v>
      </c>
      <c r="R820" s="2">
        <v>0</v>
      </c>
      <c r="S820" s="20">
        <f>Table1[[#This Row],[Net_revenue]]/Table1[[#This Row],[Gross_revenue]]*100%</f>
        <v>0.85</v>
      </c>
      <c r="T820" s="18">
        <f>COUNTIFS(Table1[Customer ID], "&gt;1", Table1[Customer ID], 1)</f>
        <v>0</v>
      </c>
    </row>
    <row r="821" spans="1:20" hidden="1" x14ac:dyDescent="0.3">
      <c r="A821" s="2" t="s">
        <v>1370</v>
      </c>
      <c r="B821" s="5">
        <v>45763</v>
      </c>
      <c r="C821" s="5" t="str">
        <f>TEXT(B821,"mmm")</f>
        <v>Apr</v>
      </c>
      <c r="D821" s="2" t="s">
        <v>266</v>
      </c>
      <c r="E821" s="2" t="s">
        <v>40</v>
      </c>
      <c r="F821" s="2" t="str" cm="1">
        <f t="array" ref="F8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21" s="2" t="str" cm="1">
        <f t="array" ref="G8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21" s="2" t="s">
        <v>63</v>
      </c>
      <c r="I821" s="2" t="s">
        <v>23</v>
      </c>
      <c r="J821" s="2">
        <v>2</v>
      </c>
      <c r="K821" s="8">
        <v>2499</v>
      </c>
      <c r="L821" s="3">
        <v>0.2</v>
      </c>
      <c r="M821" s="12">
        <f>K821*L821</f>
        <v>499.8</v>
      </c>
      <c r="N821" s="12">
        <f>K821*J821</f>
        <v>4998</v>
      </c>
      <c r="O821" s="12">
        <f>N821-M821</f>
        <v>4498.2</v>
      </c>
      <c r="P821" s="2" t="s">
        <v>45</v>
      </c>
      <c r="Q821" s="2" t="s">
        <v>18</v>
      </c>
      <c r="R821" s="2">
        <v>80</v>
      </c>
      <c r="S821" s="20">
        <f>Table1[[#This Row],[Net_revenue]]/Table1[[#This Row],[Gross_revenue]]*100%</f>
        <v>0.89999999999999991</v>
      </c>
      <c r="T821" s="18">
        <f>COUNTIFS(Table1[Customer ID], "&gt;1", Table1[Customer ID], 1)</f>
        <v>0</v>
      </c>
    </row>
    <row r="822" spans="1:20" hidden="1" x14ac:dyDescent="0.3">
      <c r="A822" s="2" t="s">
        <v>1371</v>
      </c>
      <c r="B822" s="5">
        <v>46022</v>
      </c>
      <c r="C822" s="5" t="str">
        <f>TEXT(B822,"mmm")</f>
        <v>Dec</v>
      </c>
      <c r="D822" s="2" t="s">
        <v>1372</v>
      </c>
      <c r="E822" s="2" t="s">
        <v>48</v>
      </c>
      <c r="F822" s="2" t="str" cm="1">
        <f t="array" ref="F8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22" s="2" t="str" cm="1">
        <f t="array" ref="G8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22" s="2" t="s">
        <v>134</v>
      </c>
      <c r="I822" s="2" t="s">
        <v>29</v>
      </c>
      <c r="J822" s="2">
        <v>1</v>
      </c>
      <c r="K822" s="8">
        <v>1499</v>
      </c>
      <c r="L822" s="3">
        <v>0.1</v>
      </c>
      <c r="M822" s="12">
        <f>K822*L822</f>
        <v>149.9</v>
      </c>
      <c r="N822" s="12">
        <f>K822*J822</f>
        <v>1499</v>
      </c>
      <c r="O822" s="12">
        <f>N822-M822</f>
        <v>1349.1</v>
      </c>
      <c r="P822" s="2" t="s">
        <v>45</v>
      </c>
      <c r="Q822" s="2" t="s">
        <v>18</v>
      </c>
      <c r="R822" s="2">
        <v>40</v>
      </c>
      <c r="S822" s="20">
        <f>Table1[[#This Row],[Net_revenue]]/Table1[[#This Row],[Gross_revenue]]*100%</f>
        <v>0.89999999999999991</v>
      </c>
      <c r="T822" s="18">
        <f>COUNTIFS(Table1[Customer ID], "&gt;1", Table1[Customer ID], 1)</f>
        <v>0</v>
      </c>
    </row>
    <row r="823" spans="1:20" hidden="1" x14ac:dyDescent="0.3">
      <c r="A823" s="2" t="s">
        <v>1373</v>
      </c>
      <c r="B823" s="5">
        <v>45683</v>
      </c>
      <c r="C823" s="5" t="str">
        <f>TEXT(B823,"mmm")</f>
        <v>Jan</v>
      </c>
      <c r="D823" s="2" t="s">
        <v>1374</v>
      </c>
      <c r="E823" s="2" t="s">
        <v>48</v>
      </c>
      <c r="F823" s="2" t="str" cm="1">
        <f t="array" ref="F8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23" s="2" t="str" cm="1">
        <f t="array" ref="G8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23" s="2" t="s">
        <v>15</v>
      </c>
      <c r="I823" s="2" t="s">
        <v>16</v>
      </c>
      <c r="J823" s="2">
        <v>1</v>
      </c>
      <c r="K823" s="8">
        <v>1799</v>
      </c>
      <c r="L823" s="3">
        <v>0.15</v>
      </c>
      <c r="M823" s="12">
        <f>K823*L823</f>
        <v>269.84999999999997</v>
      </c>
      <c r="N823" s="12">
        <f>K823*J823</f>
        <v>1799</v>
      </c>
      <c r="O823" s="12">
        <f>N823-M823</f>
        <v>1529.15</v>
      </c>
      <c r="P823" s="2" t="s">
        <v>30</v>
      </c>
      <c r="Q823" s="2" t="s">
        <v>18</v>
      </c>
      <c r="R823" s="2">
        <v>0</v>
      </c>
      <c r="S823" s="20">
        <f>Table1[[#This Row],[Net_revenue]]/Table1[[#This Row],[Gross_revenue]]*100%</f>
        <v>0.85000000000000009</v>
      </c>
      <c r="T823" s="18">
        <f>COUNTIFS(Table1[Customer ID], "&gt;1", Table1[Customer ID], 1)</f>
        <v>0</v>
      </c>
    </row>
    <row r="824" spans="1:20" hidden="1" x14ac:dyDescent="0.3">
      <c r="A824" s="2" t="s">
        <v>1375</v>
      </c>
      <c r="B824" s="5">
        <v>45721</v>
      </c>
      <c r="C824" s="5" t="str">
        <f>TEXT(B824,"mmm")</f>
        <v>Mar</v>
      </c>
      <c r="D824" s="2" t="s">
        <v>357</v>
      </c>
      <c r="E824" s="2" t="s">
        <v>56</v>
      </c>
      <c r="F824" s="2" t="str" cm="1">
        <f t="array" ref="F8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24" s="2" t="str" cm="1">
        <f t="array" ref="G8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24" s="2" t="s">
        <v>89</v>
      </c>
      <c r="I824" s="2" t="s">
        <v>29</v>
      </c>
      <c r="J824" s="2">
        <v>1</v>
      </c>
      <c r="K824" s="8">
        <v>449</v>
      </c>
      <c r="L824" s="3">
        <v>0</v>
      </c>
      <c r="M824" s="12">
        <f>K824*L824</f>
        <v>0</v>
      </c>
      <c r="N824" s="12">
        <f>K824*J824</f>
        <v>449</v>
      </c>
      <c r="O824" s="12">
        <f>N824-M824</f>
        <v>449</v>
      </c>
      <c r="P824" s="2" t="s">
        <v>45</v>
      </c>
      <c r="Q824" s="2" t="s">
        <v>18</v>
      </c>
      <c r="R824" s="2">
        <v>40</v>
      </c>
      <c r="S824" s="20">
        <f>Table1[[#This Row],[Net_revenue]]/Table1[[#This Row],[Gross_revenue]]*100%</f>
        <v>1</v>
      </c>
      <c r="T824" s="18">
        <f>COUNTIFS(Table1[Customer ID], "&gt;1", Table1[Customer ID], 1)</f>
        <v>0</v>
      </c>
    </row>
    <row r="825" spans="1:20" hidden="1" x14ac:dyDescent="0.3">
      <c r="A825" s="2" t="s">
        <v>1376</v>
      </c>
      <c r="B825" s="5">
        <v>45830</v>
      </c>
      <c r="C825" s="5" t="str">
        <f>TEXT(B825,"mmm")</f>
        <v>Jun</v>
      </c>
      <c r="D825" s="2" t="s">
        <v>661</v>
      </c>
      <c r="E825" s="2" t="s">
        <v>21</v>
      </c>
      <c r="F825" s="2" t="str" cm="1">
        <f t="array" ref="F8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25" s="2" t="str" cm="1">
        <f t="array" ref="G8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25" s="2" t="s">
        <v>65</v>
      </c>
      <c r="I825" s="2" t="s">
        <v>23</v>
      </c>
      <c r="J825" s="2">
        <v>1</v>
      </c>
      <c r="K825" s="8">
        <v>1899</v>
      </c>
      <c r="L825" s="3">
        <v>0.1</v>
      </c>
      <c r="M825" s="12">
        <f>K825*L825</f>
        <v>189.9</v>
      </c>
      <c r="N825" s="12">
        <f>K825*J825</f>
        <v>1899</v>
      </c>
      <c r="O825" s="12">
        <f>N825-M825</f>
        <v>1709.1</v>
      </c>
      <c r="P825" s="2" t="s">
        <v>45</v>
      </c>
      <c r="Q825" s="2" t="s">
        <v>50</v>
      </c>
      <c r="R825" s="2">
        <v>60</v>
      </c>
      <c r="S825" s="20">
        <f>Table1[[#This Row],[Net_revenue]]/Table1[[#This Row],[Gross_revenue]]*100%</f>
        <v>0.89999999999999991</v>
      </c>
      <c r="T825" s="18">
        <f>COUNTIFS(Table1[Customer ID], "&gt;1", Table1[Customer ID], 1)</f>
        <v>0</v>
      </c>
    </row>
    <row r="826" spans="1:20" hidden="1" x14ac:dyDescent="0.3">
      <c r="A826" s="2" t="s">
        <v>1377</v>
      </c>
      <c r="B826" s="5">
        <v>45905</v>
      </c>
      <c r="C826" s="5" t="str">
        <f>TEXT(B826,"mmm")</f>
        <v>Sep</v>
      </c>
      <c r="D826" s="2" t="s">
        <v>1378</v>
      </c>
      <c r="E826" s="2" t="s">
        <v>48</v>
      </c>
      <c r="F826" s="2" t="str" cm="1">
        <f t="array" ref="F8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26" s="2" t="str" cm="1">
        <f t="array" ref="G8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26" s="2" t="s">
        <v>80</v>
      </c>
      <c r="I826" s="2" t="s">
        <v>23</v>
      </c>
      <c r="J826" s="2">
        <v>1</v>
      </c>
      <c r="K826" s="8">
        <v>799</v>
      </c>
      <c r="L826" s="3">
        <v>0.1</v>
      </c>
      <c r="M826" s="12">
        <f>K826*L826</f>
        <v>79.900000000000006</v>
      </c>
      <c r="N826" s="12">
        <f>K826*J826</f>
        <v>799</v>
      </c>
      <c r="O826" s="12">
        <f>N826-M826</f>
        <v>719.1</v>
      </c>
      <c r="P826" s="2" t="s">
        <v>17</v>
      </c>
      <c r="Q826" s="2" t="s">
        <v>18</v>
      </c>
      <c r="R826" s="2">
        <v>60</v>
      </c>
      <c r="S826" s="20">
        <f>Table1[[#This Row],[Net_revenue]]/Table1[[#This Row],[Gross_revenue]]*100%</f>
        <v>0.9</v>
      </c>
      <c r="T826" s="18">
        <f>COUNTIFS(Table1[Customer ID], "&gt;1", Table1[Customer ID], 1)</f>
        <v>0</v>
      </c>
    </row>
    <row r="827" spans="1:20" hidden="1" x14ac:dyDescent="0.3">
      <c r="A827" s="2" t="s">
        <v>1379</v>
      </c>
      <c r="B827" s="5">
        <v>45978</v>
      </c>
      <c r="C827" s="5" t="str">
        <f>TEXT(B827,"mmm")</f>
        <v>Nov</v>
      </c>
      <c r="D827" s="2" t="s">
        <v>319</v>
      </c>
      <c r="E827" s="2" t="s">
        <v>21</v>
      </c>
      <c r="F827" s="2" t="str" cm="1">
        <f t="array" ref="F8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27" s="2" t="str" cm="1">
        <f t="array" ref="G8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27" s="2" t="s">
        <v>15</v>
      </c>
      <c r="I827" s="2" t="s">
        <v>16</v>
      </c>
      <c r="J827" s="2">
        <v>2</v>
      </c>
      <c r="K827" s="8">
        <v>1799</v>
      </c>
      <c r="L827" s="3">
        <v>0</v>
      </c>
      <c r="M827" s="12">
        <f>K827*L827</f>
        <v>0</v>
      </c>
      <c r="N827" s="12">
        <f>K827*J827</f>
        <v>3598</v>
      </c>
      <c r="O827" s="12">
        <f>N827-M827</f>
        <v>3598</v>
      </c>
      <c r="P827" s="2" t="s">
        <v>45</v>
      </c>
      <c r="Q827" s="2" t="s">
        <v>18</v>
      </c>
      <c r="R827" s="2">
        <v>80</v>
      </c>
      <c r="S827" s="20">
        <f>Table1[[#This Row],[Net_revenue]]/Table1[[#This Row],[Gross_revenue]]*100%</f>
        <v>1</v>
      </c>
      <c r="T827" s="18">
        <f>COUNTIFS(Table1[Customer ID], "&gt;1", Table1[Customer ID], 1)</f>
        <v>0</v>
      </c>
    </row>
    <row r="828" spans="1:20" hidden="1" x14ac:dyDescent="0.3">
      <c r="A828" s="2" t="s">
        <v>1380</v>
      </c>
      <c r="B828" s="5">
        <v>45783</v>
      </c>
      <c r="C828" s="5" t="str">
        <f>TEXT(B828,"mmm")</f>
        <v>May</v>
      </c>
      <c r="D828" s="2" t="s">
        <v>79</v>
      </c>
      <c r="E828" s="2" t="s">
        <v>120</v>
      </c>
      <c r="F828" s="2" t="str" cm="1">
        <f t="array" ref="F8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28" s="2" t="str" cm="1">
        <f t="array" ref="G8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28" s="2" t="s">
        <v>63</v>
      </c>
      <c r="I828" s="2" t="s">
        <v>23</v>
      </c>
      <c r="J828" s="2">
        <v>4</v>
      </c>
      <c r="K828" s="8">
        <v>2499</v>
      </c>
      <c r="L828" s="3">
        <v>0.1</v>
      </c>
      <c r="M828" s="12">
        <f>K828*L828</f>
        <v>249.9</v>
      </c>
      <c r="N828" s="12">
        <f>K828*J828</f>
        <v>9996</v>
      </c>
      <c r="O828" s="12">
        <f>N828-M828</f>
        <v>9746.1</v>
      </c>
      <c r="P828" s="2" t="s">
        <v>45</v>
      </c>
      <c r="Q828" s="2" t="s">
        <v>18</v>
      </c>
      <c r="R828" s="2">
        <v>60</v>
      </c>
      <c r="S828" s="20">
        <f>Table1[[#This Row],[Net_revenue]]/Table1[[#This Row],[Gross_revenue]]*100%</f>
        <v>0.97500000000000009</v>
      </c>
      <c r="T828" s="18">
        <f>COUNTIFS(Table1[Customer ID], "&gt;1", Table1[Customer ID], 1)</f>
        <v>0</v>
      </c>
    </row>
    <row r="829" spans="1:20" hidden="1" x14ac:dyDescent="0.3">
      <c r="A829" s="2" t="s">
        <v>1381</v>
      </c>
      <c r="B829" s="5">
        <v>45991</v>
      </c>
      <c r="C829" s="5" t="str">
        <f>TEXT(B829,"mmm")</f>
        <v>Nov</v>
      </c>
      <c r="D829" s="2" t="s">
        <v>321</v>
      </c>
      <c r="E829" s="2" t="s">
        <v>48</v>
      </c>
      <c r="F829" s="2" t="str" cm="1">
        <f t="array" ref="F8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29" s="2" t="str" cm="1">
        <f t="array" ref="G8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29" s="2" t="s">
        <v>71</v>
      </c>
      <c r="I829" s="2" t="s">
        <v>29</v>
      </c>
      <c r="J829" s="2">
        <v>1</v>
      </c>
      <c r="K829" s="8">
        <v>5499</v>
      </c>
      <c r="L829" s="3">
        <v>0.25</v>
      </c>
      <c r="M829" s="12">
        <f>K829*L829</f>
        <v>1374.75</v>
      </c>
      <c r="N829" s="12">
        <f>K829*J829</f>
        <v>5499</v>
      </c>
      <c r="O829" s="12">
        <f>N829-M829</f>
        <v>4124.25</v>
      </c>
      <c r="P829" s="2" t="s">
        <v>30</v>
      </c>
      <c r="Q829" s="2" t="s">
        <v>18</v>
      </c>
      <c r="R829" s="2">
        <v>0</v>
      </c>
      <c r="S829" s="20">
        <f>Table1[[#This Row],[Net_revenue]]/Table1[[#This Row],[Gross_revenue]]*100%</f>
        <v>0.75</v>
      </c>
      <c r="T829" s="18">
        <f>COUNTIFS(Table1[Customer ID], "&gt;1", Table1[Customer ID], 1)</f>
        <v>0</v>
      </c>
    </row>
    <row r="830" spans="1:20" hidden="1" x14ac:dyDescent="0.3">
      <c r="A830" s="2" t="s">
        <v>1382</v>
      </c>
      <c r="B830" s="5">
        <v>45859</v>
      </c>
      <c r="C830" s="5" t="str">
        <f>TEXT(B830,"mmm")</f>
        <v>Jul</v>
      </c>
      <c r="D830" s="2" t="s">
        <v>1010</v>
      </c>
      <c r="E830" s="2" t="s">
        <v>40</v>
      </c>
      <c r="F830" s="2" t="str" cm="1">
        <f t="array" ref="F8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30" s="2" t="str" cm="1">
        <f t="array" ref="G8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30" s="2" t="s">
        <v>121</v>
      </c>
      <c r="I830" s="2" t="s">
        <v>95</v>
      </c>
      <c r="J830" s="2">
        <v>1</v>
      </c>
      <c r="K830" s="8">
        <v>1299</v>
      </c>
      <c r="L830" s="3">
        <v>0.1</v>
      </c>
      <c r="M830" s="12">
        <f>K830*L830</f>
        <v>129.9</v>
      </c>
      <c r="N830" s="12">
        <f>K830*J830</f>
        <v>1299</v>
      </c>
      <c r="O830" s="12">
        <f>N830-M830</f>
        <v>1169.0999999999999</v>
      </c>
      <c r="P830" s="2" t="s">
        <v>45</v>
      </c>
      <c r="Q830" s="2" t="s">
        <v>18</v>
      </c>
      <c r="R830" s="2">
        <v>80</v>
      </c>
      <c r="S830" s="20">
        <f>Table1[[#This Row],[Net_revenue]]/Table1[[#This Row],[Gross_revenue]]*100%</f>
        <v>0.89999999999999991</v>
      </c>
      <c r="T830" s="18">
        <f>COUNTIFS(Table1[Customer ID], "&gt;1", Table1[Customer ID], 1)</f>
        <v>0</v>
      </c>
    </row>
    <row r="831" spans="1:20" hidden="1" x14ac:dyDescent="0.3">
      <c r="A831" s="2" t="s">
        <v>1383</v>
      </c>
      <c r="B831" s="5">
        <v>45867</v>
      </c>
      <c r="C831" s="5" t="str">
        <f>TEXT(B831,"mmm")</f>
        <v>Jul</v>
      </c>
      <c r="D831" s="2" t="s">
        <v>604</v>
      </c>
      <c r="E831" s="2" t="s">
        <v>21</v>
      </c>
      <c r="F831" s="2" t="str" cm="1">
        <f t="array" ref="F8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31" s="2" t="str" cm="1">
        <f t="array" ref="G8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31" s="2" t="s">
        <v>33</v>
      </c>
      <c r="I831" s="2" t="s">
        <v>16</v>
      </c>
      <c r="J831" s="2">
        <v>2</v>
      </c>
      <c r="K831" s="8">
        <v>899</v>
      </c>
      <c r="L831" s="3">
        <v>0.1</v>
      </c>
      <c r="M831" s="12">
        <f>K831*L831</f>
        <v>89.9</v>
      </c>
      <c r="N831" s="12">
        <f>K831*J831</f>
        <v>1798</v>
      </c>
      <c r="O831" s="12">
        <f>N831-M831</f>
        <v>1708.1</v>
      </c>
      <c r="P831" s="2" t="s">
        <v>45</v>
      </c>
      <c r="Q831" s="2" t="s">
        <v>18</v>
      </c>
      <c r="R831" s="2">
        <v>0</v>
      </c>
      <c r="S831" s="20">
        <f>Table1[[#This Row],[Net_revenue]]/Table1[[#This Row],[Gross_revenue]]*100%</f>
        <v>0.95</v>
      </c>
      <c r="T831" s="18">
        <f>COUNTIFS(Table1[Customer ID], "&gt;1", Table1[Customer ID], 1)</f>
        <v>0</v>
      </c>
    </row>
    <row r="832" spans="1:20" hidden="1" x14ac:dyDescent="0.3">
      <c r="A832" s="2" t="s">
        <v>1384</v>
      </c>
      <c r="B832" s="5">
        <v>45724</v>
      </c>
      <c r="C832" s="5" t="str">
        <f>TEXT(B832,"mmm")</f>
        <v>Mar</v>
      </c>
      <c r="D832" s="2" t="s">
        <v>802</v>
      </c>
      <c r="E832" s="2" t="s">
        <v>27</v>
      </c>
      <c r="F832" s="2" t="str" cm="1">
        <f t="array" ref="F8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32" s="2" t="str" cm="1">
        <f t="array" ref="G8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32" s="2" t="s">
        <v>44</v>
      </c>
      <c r="I832" s="2" t="s">
        <v>16</v>
      </c>
      <c r="J832" s="2">
        <v>1</v>
      </c>
      <c r="K832" s="8">
        <v>1599</v>
      </c>
      <c r="L832" s="3">
        <v>0.1</v>
      </c>
      <c r="M832" s="12">
        <f>K832*L832</f>
        <v>159.9</v>
      </c>
      <c r="N832" s="12">
        <f>K832*J832</f>
        <v>1599</v>
      </c>
      <c r="O832" s="12">
        <f>N832-M832</f>
        <v>1439.1</v>
      </c>
      <c r="P832" s="2" t="s">
        <v>17</v>
      </c>
      <c r="Q832" s="2" t="s">
        <v>18</v>
      </c>
      <c r="R832" s="2">
        <v>40</v>
      </c>
      <c r="S832" s="20">
        <f>Table1[[#This Row],[Net_revenue]]/Table1[[#This Row],[Gross_revenue]]*100%</f>
        <v>0.89999999999999991</v>
      </c>
      <c r="T832" s="18">
        <f>COUNTIFS(Table1[Customer ID], "&gt;1", Table1[Customer ID], 1)</f>
        <v>0</v>
      </c>
    </row>
    <row r="833" spans="1:20" hidden="1" x14ac:dyDescent="0.3">
      <c r="A833" s="2" t="s">
        <v>1385</v>
      </c>
      <c r="B833" s="5">
        <v>45885</v>
      </c>
      <c r="C833" s="5" t="str">
        <f>TEXT(B833,"mmm")</f>
        <v>Aug</v>
      </c>
      <c r="D833" s="2" t="s">
        <v>253</v>
      </c>
      <c r="E833" s="2" t="s">
        <v>27</v>
      </c>
      <c r="F833" s="2" t="str" cm="1">
        <f t="array" ref="F8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33" s="2" t="str" cm="1">
        <f t="array" ref="G8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33" s="2" t="s">
        <v>44</v>
      </c>
      <c r="I833" s="2" t="s">
        <v>16</v>
      </c>
      <c r="J833" s="2">
        <v>2</v>
      </c>
      <c r="K833" s="8">
        <v>1599</v>
      </c>
      <c r="L833" s="3">
        <v>0.05</v>
      </c>
      <c r="M833" s="12">
        <f>K833*L833</f>
        <v>79.95</v>
      </c>
      <c r="N833" s="12">
        <f>K833*J833</f>
        <v>3198</v>
      </c>
      <c r="O833" s="12">
        <f>N833-M833</f>
        <v>3118.05</v>
      </c>
      <c r="P833" s="2" t="s">
        <v>45</v>
      </c>
      <c r="Q833" s="2" t="s">
        <v>18</v>
      </c>
      <c r="R833" s="2">
        <v>40</v>
      </c>
      <c r="S833" s="20">
        <f>Table1[[#This Row],[Net_revenue]]/Table1[[#This Row],[Gross_revenue]]*100%</f>
        <v>0.97500000000000009</v>
      </c>
      <c r="T833" s="18">
        <f>COUNTIFS(Table1[Customer ID], "&gt;1", Table1[Customer ID], 1)</f>
        <v>0</v>
      </c>
    </row>
    <row r="834" spans="1:20" hidden="1" x14ac:dyDescent="0.3">
      <c r="A834" s="2" t="s">
        <v>1386</v>
      </c>
      <c r="B834" s="5">
        <v>45727</v>
      </c>
      <c r="C834" s="5" t="str">
        <f>TEXT(B834,"mmm")</f>
        <v>Mar</v>
      </c>
      <c r="D834" s="2" t="s">
        <v>1387</v>
      </c>
      <c r="E834" s="2" t="s">
        <v>48</v>
      </c>
      <c r="F834" s="2" t="str" cm="1">
        <f t="array" ref="F8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34" s="2" t="str" cm="1">
        <f t="array" ref="G8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34" s="2" t="s">
        <v>49</v>
      </c>
      <c r="I834" s="2" t="s">
        <v>23</v>
      </c>
      <c r="J834" s="2">
        <v>3</v>
      </c>
      <c r="K834" s="8">
        <v>1299</v>
      </c>
      <c r="L834" s="3">
        <v>0.15</v>
      </c>
      <c r="M834" s="12">
        <f>K834*L834</f>
        <v>194.85</v>
      </c>
      <c r="N834" s="12">
        <f>K834*J834</f>
        <v>3897</v>
      </c>
      <c r="O834" s="12">
        <f>N834-M834</f>
        <v>3702.15</v>
      </c>
      <c r="P834" s="2" t="s">
        <v>45</v>
      </c>
      <c r="Q834" s="2" t="s">
        <v>50</v>
      </c>
      <c r="R834" s="2">
        <v>40</v>
      </c>
      <c r="S834" s="20">
        <f>Table1[[#This Row],[Net_revenue]]/Table1[[#This Row],[Gross_revenue]]*100%</f>
        <v>0.95000000000000007</v>
      </c>
      <c r="T834" s="18">
        <f>COUNTIFS(Table1[Customer ID], "&gt;1", Table1[Customer ID], 1)</f>
        <v>0</v>
      </c>
    </row>
    <row r="835" spans="1:20" hidden="1" x14ac:dyDescent="0.3">
      <c r="A835" s="2" t="s">
        <v>1388</v>
      </c>
      <c r="B835" s="5">
        <v>45659</v>
      </c>
      <c r="C835" s="5" t="str">
        <f>TEXT(B835,"mmm")</f>
        <v>Jan</v>
      </c>
      <c r="D835" s="2" t="s">
        <v>1389</v>
      </c>
      <c r="E835" s="2" t="s">
        <v>14</v>
      </c>
      <c r="F835" s="2" t="str" cm="1">
        <f t="array" ref="F8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35" s="2" t="str" cm="1">
        <f t="array" ref="G8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35" s="2" t="s">
        <v>98</v>
      </c>
      <c r="I835" s="2" t="s">
        <v>37</v>
      </c>
      <c r="J835" s="2">
        <v>2</v>
      </c>
      <c r="K835" s="8">
        <v>299</v>
      </c>
      <c r="L835" s="3">
        <v>0</v>
      </c>
      <c r="M835" s="12">
        <f>K835*L835</f>
        <v>0</v>
      </c>
      <c r="N835" s="12">
        <f>K835*J835</f>
        <v>598</v>
      </c>
      <c r="O835" s="12">
        <f>N835-M835</f>
        <v>598</v>
      </c>
      <c r="P835" s="2" t="s">
        <v>45</v>
      </c>
      <c r="Q835" s="2" t="s">
        <v>18</v>
      </c>
      <c r="R835" s="2">
        <v>60</v>
      </c>
      <c r="S835" s="20">
        <f>Table1[[#This Row],[Net_revenue]]/Table1[[#This Row],[Gross_revenue]]*100%</f>
        <v>1</v>
      </c>
      <c r="T835" s="18">
        <f>COUNTIFS(Table1[Customer ID], "&gt;1", Table1[Customer ID], 1)</f>
        <v>0</v>
      </c>
    </row>
    <row r="836" spans="1:20" hidden="1" x14ac:dyDescent="0.3">
      <c r="A836" s="2" t="s">
        <v>1390</v>
      </c>
      <c r="B836" s="5">
        <v>45889</v>
      </c>
      <c r="C836" s="5" t="str">
        <f>TEXT(B836,"mmm")</f>
        <v>Aug</v>
      </c>
      <c r="D836" s="2" t="s">
        <v>1391</v>
      </c>
      <c r="E836" s="2" t="s">
        <v>120</v>
      </c>
      <c r="F836" s="2" t="str" cm="1">
        <f t="array" ref="F8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36" s="2" t="str" cm="1">
        <f t="array" ref="G8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36" s="2" t="s">
        <v>71</v>
      </c>
      <c r="I836" s="2" t="s">
        <v>29</v>
      </c>
      <c r="J836" s="2">
        <v>1</v>
      </c>
      <c r="K836" s="8">
        <v>5499</v>
      </c>
      <c r="L836" s="3">
        <v>0.2</v>
      </c>
      <c r="M836" s="12">
        <f>K836*L836</f>
        <v>1099.8</v>
      </c>
      <c r="N836" s="12">
        <f>K836*J836</f>
        <v>5499</v>
      </c>
      <c r="O836" s="12">
        <f>N836-M836</f>
        <v>4399.2</v>
      </c>
      <c r="P836" s="2" t="s">
        <v>24</v>
      </c>
      <c r="Q836" s="2" t="s">
        <v>18</v>
      </c>
      <c r="R836" s="2">
        <v>80</v>
      </c>
      <c r="S836" s="20">
        <f>Table1[[#This Row],[Net_revenue]]/Table1[[#This Row],[Gross_revenue]]*100%</f>
        <v>0.79999999999999993</v>
      </c>
      <c r="T836" s="18">
        <f>COUNTIFS(Table1[Customer ID], "&gt;1", Table1[Customer ID], 1)</f>
        <v>0</v>
      </c>
    </row>
    <row r="837" spans="1:20" hidden="1" x14ac:dyDescent="0.3">
      <c r="A837" s="2" t="s">
        <v>1392</v>
      </c>
      <c r="B837" s="5">
        <v>45945</v>
      </c>
      <c r="C837" s="5" t="str">
        <f>TEXT(B837,"mmm")</f>
        <v>Oct</v>
      </c>
      <c r="D837" s="2" t="s">
        <v>489</v>
      </c>
      <c r="E837" s="2" t="s">
        <v>21</v>
      </c>
      <c r="F837" s="2" t="str" cm="1">
        <f t="array" ref="F8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37" s="2" t="str" cm="1">
        <f t="array" ref="G8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37" s="2" t="s">
        <v>121</v>
      </c>
      <c r="I837" s="2" t="s">
        <v>95</v>
      </c>
      <c r="J837" s="2">
        <v>3</v>
      </c>
      <c r="K837" s="8">
        <v>1299</v>
      </c>
      <c r="L837" s="3">
        <v>0.1</v>
      </c>
      <c r="M837" s="12">
        <f>K837*L837</f>
        <v>129.9</v>
      </c>
      <c r="N837" s="12">
        <f>K837*J837</f>
        <v>3897</v>
      </c>
      <c r="O837" s="12">
        <f>N837-M837</f>
        <v>3767.1</v>
      </c>
      <c r="P837" s="2" t="s">
        <v>17</v>
      </c>
      <c r="Q837" s="2" t="s">
        <v>18</v>
      </c>
      <c r="R837" s="2">
        <v>40</v>
      </c>
      <c r="S837" s="20">
        <f>Table1[[#This Row],[Net_revenue]]/Table1[[#This Row],[Gross_revenue]]*100%</f>
        <v>0.96666666666666667</v>
      </c>
      <c r="T837" s="18">
        <f>COUNTIFS(Table1[Customer ID], "&gt;1", Table1[Customer ID], 1)</f>
        <v>0</v>
      </c>
    </row>
    <row r="838" spans="1:20" hidden="1" x14ac:dyDescent="0.3">
      <c r="A838" s="2" t="s">
        <v>1393</v>
      </c>
      <c r="B838" s="5">
        <v>45979</v>
      </c>
      <c r="C838" s="5" t="str">
        <f>TEXT(B838,"mmm")</f>
        <v>Nov</v>
      </c>
      <c r="D838" s="2" t="s">
        <v>1394</v>
      </c>
      <c r="E838" s="2" t="s">
        <v>56</v>
      </c>
      <c r="F838" s="2" t="str" cm="1">
        <f t="array" ref="F8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38" s="2" t="str" cm="1">
        <f t="array" ref="G8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38" s="2" t="s">
        <v>65</v>
      </c>
      <c r="I838" s="2" t="s">
        <v>23</v>
      </c>
      <c r="J838" s="2">
        <v>1</v>
      </c>
      <c r="K838" s="8">
        <v>1899</v>
      </c>
      <c r="L838" s="3">
        <v>0.15</v>
      </c>
      <c r="M838" s="12">
        <f>K838*L838</f>
        <v>284.84999999999997</v>
      </c>
      <c r="N838" s="12">
        <f>K838*J838</f>
        <v>1899</v>
      </c>
      <c r="O838" s="12">
        <f>N838-M838</f>
        <v>1614.15</v>
      </c>
      <c r="P838" s="2" t="s">
        <v>45</v>
      </c>
      <c r="Q838" s="2" t="s">
        <v>50</v>
      </c>
      <c r="R838" s="2">
        <v>0</v>
      </c>
      <c r="S838" s="20">
        <f>Table1[[#This Row],[Net_revenue]]/Table1[[#This Row],[Gross_revenue]]*100%</f>
        <v>0.85000000000000009</v>
      </c>
      <c r="T838" s="18">
        <f>COUNTIFS(Table1[Customer ID], "&gt;1", Table1[Customer ID], 1)</f>
        <v>0</v>
      </c>
    </row>
    <row r="839" spans="1:20" hidden="1" x14ac:dyDescent="0.3">
      <c r="A839" s="2" t="s">
        <v>1395</v>
      </c>
      <c r="B839" s="5">
        <v>45676</v>
      </c>
      <c r="C839" s="5" t="str">
        <f>TEXT(B839,"mmm")</f>
        <v>Jan</v>
      </c>
      <c r="D839" s="2" t="s">
        <v>392</v>
      </c>
      <c r="E839" s="2" t="s">
        <v>75</v>
      </c>
      <c r="F839" s="2" t="str" cm="1">
        <f t="array" ref="F8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839" s="2" t="str" cm="1">
        <f t="array" ref="G8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39" s="2" t="s">
        <v>15</v>
      </c>
      <c r="I839" s="2" t="s">
        <v>16</v>
      </c>
      <c r="J839" s="2">
        <v>3</v>
      </c>
      <c r="K839" s="8">
        <v>1799</v>
      </c>
      <c r="L839" s="3">
        <v>0.25</v>
      </c>
      <c r="M839" s="12">
        <f>K839*L839</f>
        <v>449.75</v>
      </c>
      <c r="N839" s="12">
        <f>K839*J839</f>
        <v>5397</v>
      </c>
      <c r="O839" s="12">
        <f>N839-M839</f>
        <v>4947.25</v>
      </c>
      <c r="P839" s="2" t="s">
        <v>30</v>
      </c>
      <c r="Q839" s="2" t="s">
        <v>18</v>
      </c>
      <c r="R839" s="2">
        <v>80</v>
      </c>
      <c r="S839" s="20">
        <f>Table1[[#This Row],[Net_revenue]]/Table1[[#This Row],[Gross_revenue]]*100%</f>
        <v>0.91666666666666663</v>
      </c>
      <c r="T839" s="18">
        <f>COUNTIFS(Table1[Customer ID], "&gt;1", Table1[Customer ID], 1)</f>
        <v>0</v>
      </c>
    </row>
    <row r="840" spans="1:20" hidden="1" x14ac:dyDescent="0.3">
      <c r="A840" s="2" t="s">
        <v>1396</v>
      </c>
      <c r="B840" s="5">
        <v>45697</v>
      </c>
      <c r="C840" s="5" t="str">
        <f>TEXT(B840,"mmm")</f>
        <v>Feb</v>
      </c>
      <c r="D840" s="2" t="s">
        <v>1181</v>
      </c>
      <c r="E840" s="2" t="s">
        <v>21</v>
      </c>
      <c r="F840" s="2" t="str" cm="1">
        <f t="array" ref="F8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40" s="2" t="str" cm="1">
        <f t="array" ref="G8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40" s="2" t="s">
        <v>94</v>
      </c>
      <c r="I840" s="2" t="s">
        <v>95</v>
      </c>
      <c r="J840" s="2">
        <v>1</v>
      </c>
      <c r="K840" s="8">
        <v>399</v>
      </c>
      <c r="L840" s="3">
        <v>0</v>
      </c>
      <c r="M840" s="12">
        <f>K840*L840</f>
        <v>0</v>
      </c>
      <c r="N840" s="12">
        <f>K840*J840</f>
        <v>399</v>
      </c>
      <c r="O840" s="12">
        <f>N840-M840</f>
        <v>399</v>
      </c>
      <c r="P840" s="2" t="s">
        <v>45</v>
      </c>
      <c r="Q840" s="2" t="s">
        <v>18</v>
      </c>
      <c r="R840" s="2">
        <v>40</v>
      </c>
      <c r="S840" s="20">
        <f>Table1[[#This Row],[Net_revenue]]/Table1[[#This Row],[Gross_revenue]]*100%</f>
        <v>1</v>
      </c>
      <c r="T840" s="18">
        <f>COUNTIFS(Table1[Customer ID], "&gt;1", Table1[Customer ID], 1)</f>
        <v>0</v>
      </c>
    </row>
    <row r="841" spans="1:20" hidden="1" x14ac:dyDescent="0.3">
      <c r="A841" s="2" t="s">
        <v>1397</v>
      </c>
      <c r="B841" s="5">
        <v>45881</v>
      </c>
      <c r="C841" s="5" t="str">
        <f>TEXT(B841,"mmm")</f>
        <v>Aug</v>
      </c>
      <c r="D841" s="2" t="s">
        <v>574</v>
      </c>
      <c r="E841" s="2" t="s">
        <v>40</v>
      </c>
      <c r="F841" s="2" t="str" cm="1">
        <f t="array" ref="F8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41" s="2" t="str" cm="1">
        <f t="array" ref="G8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41" s="2" t="s">
        <v>98</v>
      </c>
      <c r="I841" s="2" t="s">
        <v>37</v>
      </c>
      <c r="J841" s="2">
        <v>1</v>
      </c>
      <c r="K841" s="8">
        <v>299</v>
      </c>
      <c r="L841" s="3">
        <v>0.1</v>
      </c>
      <c r="M841" s="12">
        <f>K841*L841</f>
        <v>29.900000000000002</v>
      </c>
      <c r="N841" s="12">
        <f>K841*J841</f>
        <v>299</v>
      </c>
      <c r="O841" s="12">
        <f>N841-M841</f>
        <v>269.10000000000002</v>
      </c>
      <c r="P841" s="2" t="s">
        <v>45</v>
      </c>
      <c r="Q841" s="2" t="s">
        <v>18</v>
      </c>
      <c r="R841" s="2">
        <v>40</v>
      </c>
      <c r="S841" s="20">
        <f>Table1[[#This Row],[Net_revenue]]/Table1[[#This Row],[Gross_revenue]]*100%</f>
        <v>0.9</v>
      </c>
      <c r="T841" s="18">
        <f>COUNTIFS(Table1[Customer ID], "&gt;1", Table1[Customer ID], 1)</f>
        <v>0</v>
      </c>
    </row>
    <row r="842" spans="1:20" hidden="1" x14ac:dyDescent="0.3">
      <c r="A842" s="2" t="s">
        <v>1398</v>
      </c>
      <c r="B842" s="5">
        <v>45857</v>
      </c>
      <c r="C842" s="5" t="str">
        <f>TEXT(B842,"mmm")</f>
        <v>Jul</v>
      </c>
      <c r="D842" s="2" t="s">
        <v>199</v>
      </c>
      <c r="E842" s="2" t="s">
        <v>75</v>
      </c>
      <c r="F842" s="2" t="str" cm="1">
        <f t="array" ref="F8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842" s="2" t="str" cm="1">
        <f t="array" ref="G8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42" s="2" t="s">
        <v>22</v>
      </c>
      <c r="I842" s="2" t="s">
        <v>23</v>
      </c>
      <c r="J842" s="2">
        <v>2</v>
      </c>
      <c r="K842" s="8">
        <v>3999</v>
      </c>
      <c r="L842" s="3">
        <v>0.15</v>
      </c>
      <c r="M842" s="12">
        <f>K842*L842</f>
        <v>599.85</v>
      </c>
      <c r="N842" s="12">
        <f>K842*J842</f>
        <v>7998</v>
      </c>
      <c r="O842" s="12">
        <f>N842-M842</f>
        <v>7398.15</v>
      </c>
      <c r="P842" s="2" t="s">
        <v>30</v>
      </c>
      <c r="Q842" s="2" t="s">
        <v>50</v>
      </c>
      <c r="R842" s="2">
        <v>80</v>
      </c>
      <c r="S842" s="20">
        <f>Table1[[#This Row],[Net_revenue]]/Table1[[#This Row],[Gross_revenue]]*100%</f>
        <v>0.92499999999999993</v>
      </c>
      <c r="T842" s="18">
        <f>COUNTIFS(Table1[Customer ID], "&gt;1", Table1[Customer ID], 1)</f>
        <v>0</v>
      </c>
    </row>
    <row r="843" spans="1:20" hidden="1" x14ac:dyDescent="0.3">
      <c r="A843" s="2" t="s">
        <v>1399</v>
      </c>
      <c r="B843" s="5">
        <v>45702</v>
      </c>
      <c r="C843" s="5" t="str">
        <f>TEXT(B843,"mmm")</f>
        <v>Feb</v>
      </c>
      <c r="D843" s="2" t="s">
        <v>100</v>
      </c>
      <c r="E843" s="2" t="s">
        <v>27</v>
      </c>
      <c r="F843" s="2" t="str" cm="1">
        <f t="array" ref="F8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43" s="2" t="str" cm="1">
        <f t="array" ref="G8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43" s="2" t="s">
        <v>121</v>
      </c>
      <c r="I843" s="2" t="s">
        <v>95</v>
      </c>
      <c r="J843" s="2">
        <v>2</v>
      </c>
      <c r="K843" s="8">
        <v>1299</v>
      </c>
      <c r="L843" s="3">
        <v>0.1</v>
      </c>
      <c r="M843" s="12">
        <f>K843*L843</f>
        <v>129.9</v>
      </c>
      <c r="N843" s="12">
        <f>K843*J843</f>
        <v>2598</v>
      </c>
      <c r="O843" s="12">
        <f>N843-M843</f>
        <v>2468.1</v>
      </c>
      <c r="P843" s="2" t="s">
        <v>30</v>
      </c>
      <c r="Q843" s="2" t="s">
        <v>18</v>
      </c>
      <c r="R843" s="2">
        <v>80</v>
      </c>
      <c r="S843" s="20">
        <f>Table1[[#This Row],[Net_revenue]]/Table1[[#This Row],[Gross_revenue]]*100%</f>
        <v>0.95</v>
      </c>
      <c r="T843" s="18">
        <f>COUNTIFS(Table1[Customer ID], "&gt;1", Table1[Customer ID], 1)</f>
        <v>0</v>
      </c>
    </row>
    <row r="844" spans="1:20" hidden="1" x14ac:dyDescent="0.3">
      <c r="A844" s="2" t="s">
        <v>1400</v>
      </c>
      <c r="B844" s="5">
        <v>45665</v>
      </c>
      <c r="C844" s="5" t="str">
        <f>TEXT(B844,"mmm")</f>
        <v>Jan</v>
      </c>
      <c r="D844" s="2" t="s">
        <v>142</v>
      </c>
      <c r="E844" s="2" t="s">
        <v>48</v>
      </c>
      <c r="F844" s="2" t="str" cm="1">
        <f t="array" ref="F8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44" s="2" t="str" cm="1">
        <f t="array" ref="G8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44" s="2" t="s">
        <v>107</v>
      </c>
      <c r="I844" s="2" t="s">
        <v>95</v>
      </c>
      <c r="J844" s="2">
        <v>3</v>
      </c>
      <c r="K844" s="8">
        <v>1599</v>
      </c>
      <c r="L844" s="3">
        <v>0.1</v>
      </c>
      <c r="M844" s="12">
        <f>K844*L844</f>
        <v>159.9</v>
      </c>
      <c r="N844" s="12">
        <f>K844*J844</f>
        <v>4797</v>
      </c>
      <c r="O844" s="12">
        <f>N844-M844</f>
        <v>4637.1000000000004</v>
      </c>
      <c r="P844" s="2" t="s">
        <v>45</v>
      </c>
      <c r="Q844" s="2" t="s">
        <v>18</v>
      </c>
      <c r="R844" s="2">
        <v>40</v>
      </c>
      <c r="S844" s="20">
        <f>Table1[[#This Row],[Net_revenue]]/Table1[[#This Row],[Gross_revenue]]*100%</f>
        <v>0.96666666666666679</v>
      </c>
      <c r="T844" s="18">
        <f>COUNTIFS(Table1[Customer ID], "&gt;1", Table1[Customer ID], 1)</f>
        <v>0</v>
      </c>
    </row>
    <row r="845" spans="1:20" hidden="1" x14ac:dyDescent="0.3">
      <c r="A845" s="2" t="s">
        <v>1401</v>
      </c>
      <c r="B845" s="5">
        <v>45816</v>
      </c>
      <c r="C845" s="5" t="str">
        <f>TEXT(B845,"mmm")</f>
        <v>Jun</v>
      </c>
      <c r="D845" s="2" t="s">
        <v>638</v>
      </c>
      <c r="E845" s="2" t="s">
        <v>14</v>
      </c>
      <c r="F845" s="2" t="str" cm="1">
        <f t="array" ref="F8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45" s="2" t="str" cm="1">
        <f t="array" ref="G8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45" s="2" t="s">
        <v>65</v>
      </c>
      <c r="I845" s="2" t="s">
        <v>23</v>
      </c>
      <c r="J845" s="2">
        <v>2</v>
      </c>
      <c r="K845" s="8">
        <v>1899</v>
      </c>
      <c r="L845" s="3">
        <v>0</v>
      </c>
      <c r="M845" s="12">
        <f>K845*L845</f>
        <v>0</v>
      </c>
      <c r="N845" s="12">
        <f>K845*J845</f>
        <v>3798</v>
      </c>
      <c r="O845" s="12">
        <f>N845-M845</f>
        <v>3798</v>
      </c>
      <c r="P845" s="2" t="s">
        <v>45</v>
      </c>
      <c r="Q845" s="2" t="s">
        <v>50</v>
      </c>
      <c r="R845" s="2">
        <v>40</v>
      </c>
      <c r="S845" s="20">
        <f>Table1[[#This Row],[Net_revenue]]/Table1[[#This Row],[Gross_revenue]]*100%</f>
        <v>1</v>
      </c>
      <c r="T845" s="18">
        <f>COUNTIFS(Table1[Customer ID], "&gt;1", Table1[Customer ID], 1)</f>
        <v>0</v>
      </c>
    </row>
    <row r="846" spans="1:20" hidden="1" x14ac:dyDescent="0.3">
      <c r="A846" s="2" t="s">
        <v>1402</v>
      </c>
      <c r="B846" s="5">
        <v>45823</v>
      </c>
      <c r="C846" s="5" t="str">
        <f>TEXT(B846,"mmm")</f>
        <v>Jun</v>
      </c>
      <c r="D846" s="2" t="s">
        <v>79</v>
      </c>
      <c r="E846" s="2" t="s">
        <v>40</v>
      </c>
      <c r="F846" s="2" t="str" cm="1">
        <f t="array" ref="F8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46" s="2" t="str" cm="1">
        <f t="array" ref="G8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46" s="2" t="s">
        <v>107</v>
      </c>
      <c r="I846" s="2" t="s">
        <v>95</v>
      </c>
      <c r="J846" s="2">
        <v>4</v>
      </c>
      <c r="K846" s="8">
        <v>1599</v>
      </c>
      <c r="L846" s="3">
        <v>0.1</v>
      </c>
      <c r="M846" s="12">
        <f>K846*L846</f>
        <v>159.9</v>
      </c>
      <c r="N846" s="12">
        <f>K846*J846</f>
        <v>6396</v>
      </c>
      <c r="O846" s="12">
        <f>N846-M846</f>
        <v>6236.1</v>
      </c>
      <c r="P846" s="2" t="s">
        <v>45</v>
      </c>
      <c r="Q846" s="2" t="s">
        <v>18</v>
      </c>
      <c r="R846" s="2">
        <v>0</v>
      </c>
      <c r="S846" s="20">
        <f>Table1[[#This Row],[Net_revenue]]/Table1[[#This Row],[Gross_revenue]]*100%</f>
        <v>0.97500000000000009</v>
      </c>
      <c r="T846" s="18">
        <f>COUNTIFS(Table1[Customer ID], "&gt;1", Table1[Customer ID], 1)</f>
        <v>0</v>
      </c>
    </row>
    <row r="847" spans="1:20" hidden="1" x14ac:dyDescent="0.3">
      <c r="A847" s="2" t="s">
        <v>1403</v>
      </c>
      <c r="B847" s="5">
        <v>45758</v>
      </c>
      <c r="C847" s="5" t="str">
        <f>TEXT(B847,"mmm")</f>
        <v>Apr</v>
      </c>
      <c r="D847" s="2" t="s">
        <v>1404</v>
      </c>
      <c r="E847" s="2" t="s">
        <v>40</v>
      </c>
      <c r="F847" s="2" t="str" cm="1">
        <f t="array" ref="F8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47" s="2" t="str" cm="1">
        <f t="array" ref="G8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47" s="2" t="s">
        <v>41</v>
      </c>
      <c r="I847" s="2" t="s">
        <v>16</v>
      </c>
      <c r="J847" s="2">
        <v>2</v>
      </c>
      <c r="K847" s="8">
        <v>2299</v>
      </c>
      <c r="L847" s="3">
        <v>0.25</v>
      </c>
      <c r="M847" s="12">
        <f>K847*L847</f>
        <v>574.75</v>
      </c>
      <c r="N847" s="12">
        <f>K847*J847</f>
        <v>4598</v>
      </c>
      <c r="O847" s="12">
        <f>N847-M847</f>
        <v>4023.25</v>
      </c>
      <c r="P847" s="2" t="s">
        <v>17</v>
      </c>
      <c r="Q847" s="2" t="s">
        <v>18</v>
      </c>
      <c r="R847" s="2">
        <v>0</v>
      </c>
      <c r="S847" s="20">
        <f>Table1[[#This Row],[Net_revenue]]/Table1[[#This Row],[Gross_revenue]]*100%</f>
        <v>0.875</v>
      </c>
      <c r="T847" s="18">
        <f>COUNTIFS(Table1[Customer ID], "&gt;1", Table1[Customer ID], 1)</f>
        <v>0</v>
      </c>
    </row>
    <row r="848" spans="1:20" hidden="1" x14ac:dyDescent="0.3">
      <c r="A848" s="2" t="s">
        <v>1405</v>
      </c>
      <c r="B848" s="5">
        <v>45987</v>
      </c>
      <c r="C848" s="5" t="str">
        <f>TEXT(B848,"mmm")</f>
        <v>Nov</v>
      </c>
      <c r="D848" s="2" t="s">
        <v>1406</v>
      </c>
      <c r="E848" s="2" t="s">
        <v>40</v>
      </c>
      <c r="F848" s="2" t="str" cm="1">
        <f t="array" ref="F8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48" s="2" t="str" cm="1">
        <f t="array" ref="G8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48" s="2" t="s">
        <v>121</v>
      </c>
      <c r="I848" s="2" t="s">
        <v>95</v>
      </c>
      <c r="J848" s="2">
        <v>1</v>
      </c>
      <c r="K848" s="8">
        <v>1299</v>
      </c>
      <c r="L848" s="3">
        <v>0</v>
      </c>
      <c r="M848" s="12">
        <f>K848*L848</f>
        <v>0</v>
      </c>
      <c r="N848" s="12">
        <f>K848*J848</f>
        <v>1299</v>
      </c>
      <c r="O848" s="12">
        <f>N848-M848</f>
        <v>1299</v>
      </c>
      <c r="P848" s="2" t="s">
        <v>30</v>
      </c>
      <c r="Q848" s="2" t="s">
        <v>18</v>
      </c>
      <c r="R848" s="2">
        <v>0</v>
      </c>
      <c r="S848" s="20">
        <f>Table1[[#This Row],[Net_revenue]]/Table1[[#This Row],[Gross_revenue]]*100%</f>
        <v>1</v>
      </c>
      <c r="T848" s="18">
        <f>COUNTIFS(Table1[Customer ID], "&gt;1", Table1[Customer ID], 1)</f>
        <v>0</v>
      </c>
    </row>
    <row r="849" spans="1:20" hidden="1" x14ac:dyDescent="0.3">
      <c r="A849" s="2" t="s">
        <v>1407</v>
      </c>
      <c r="B849" s="5">
        <v>45871</v>
      </c>
      <c r="C849" s="5" t="str">
        <f>TEXT(B849,"mmm")</f>
        <v>Aug</v>
      </c>
      <c r="D849" s="2" t="s">
        <v>1060</v>
      </c>
      <c r="E849" s="2" t="s">
        <v>48</v>
      </c>
      <c r="F849" s="2" t="str" cm="1">
        <f t="array" ref="F8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49" s="2" t="str" cm="1">
        <f t="array" ref="G8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49" s="2" t="s">
        <v>22</v>
      </c>
      <c r="I849" s="2" t="s">
        <v>23</v>
      </c>
      <c r="J849" s="2">
        <v>2</v>
      </c>
      <c r="K849" s="8">
        <v>3999</v>
      </c>
      <c r="L849" s="3">
        <v>0.1</v>
      </c>
      <c r="M849" s="12">
        <f>K849*L849</f>
        <v>399.90000000000003</v>
      </c>
      <c r="N849" s="12">
        <f>K849*J849</f>
        <v>7998</v>
      </c>
      <c r="O849" s="12">
        <f>N849-M849</f>
        <v>7598.1</v>
      </c>
      <c r="P849" s="2" t="s">
        <v>45</v>
      </c>
      <c r="Q849" s="2" t="s">
        <v>18</v>
      </c>
      <c r="R849" s="2">
        <v>80</v>
      </c>
      <c r="S849" s="20">
        <f>Table1[[#This Row],[Net_revenue]]/Table1[[#This Row],[Gross_revenue]]*100%</f>
        <v>0.95000000000000007</v>
      </c>
      <c r="T849" s="18">
        <f>COUNTIFS(Table1[Customer ID], "&gt;1", Table1[Customer ID], 1)</f>
        <v>0</v>
      </c>
    </row>
    <row r="850" spans="1:20" hidden="1" x14ac:dyDescent="0.3">
      <c r="A850" s="2" t="s">
        <v>1408</v>
      </c>
      <c r="B850" s="5">
        <v>45832</v>
      </c>
      <c r="C850" s="5" t="str">
        <f>TEXT(B850,"mmm")</f>
        <v>Jun</v>
      </c>
      <c r="D850" s="2" t="s">
        <v>1222</v>
      </c>
      <c r="E850" s="2" t="s">
        <v>40</v>
      </c>
      <c r="F850" s="2" t="str" cm="1">
        <f t="array" ref="F8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50" s="2" t="str" cm="1">
        <f t="array" ref="G8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50" s="2" t="s">
        <v>65</v>
      </c>
      <c r="I850" s="2" t="s">
        <v>23</v>
      </c>
      <c r="J850" s="2">
        <v>1</v>
      </c>
      <c r="K850" s="8">
        <v>1899</v>
      </c>
      <c r="L850" s="3">
        <v>0.1</v>
      </c>
      <c r="M850" s="12">
        <f>K850*L850</f>
        <v>189.9</v>
      </c>
      <c r="N850" s="12">
        <f>K850*J850</f>
        <v>1899</v>
      </c>
      <c r="O850" s="12">
        <f>N850-M850</f>
        <v>1709.1</v>
      </c>
      <c r="P850" s="2" t="s">
        <v>17</v>
      </c>
      <c r="Q850" s="2" t="s">
        <v>18</v>
      </c>
      <c r="R850" s="2">
        <v>60</v>
      </c>
      <c r="S850" s="20">
        <f>Table1[[#This Row],[Net_revenue]]/Table1[[#This Row],[Gross_revenue]]*100%</f>
        <v>0.89999999999999991</v>
      </c>
      <c r="T850" s="18">
        <f>COUNTIFS(Table1[Customer ID], "&gt;1", Table1[Customer ID], 1)</f>
        <v>0</v>
      </c>
    </row>
    <row r="851" spans="1:20" hidden="1" x14ac:dyDescent="0.3">
      <c r="A851" s="2" t="s">
        <v>1409</v>
      </c>
      <c r="B851" s="5">
        <v>45692</v>
      </c>
      <c r="C851" s="5" t="str">
        <f>TEXT(B851,"mmm")</f>
        <v>Feb</v>
      </c>
      <c r="D851" s="2" t="s">
        <v>1410</v>
      </c>
      <c r="E851" s="2" t="s">
        <v>56</v>
      </c>
      <c r="F851" s="2" t="str" cm="1">
        <f t="array" ref="F8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51" s="2" t="str" cm="1">
        <f t="array" ref="G8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51" s="2" t="s">
        <v>41</v>
      </c>
      <c r="I851" s="2" t="s">
        <v>16</v>
      </c>
      <c r="J851" s="2">
        <v>3</v>
      </c>
      <c r="K851" s="8">
        <v>2299</v>
      </c>
      <c r="L851" s="3">
        <v>0.15</v>
      </c>
      <c r="M851" s="12">
        <f>K851*L851</f>
        <v>344.84999999999997</v>
      </c>
      <c r="N851" s="12">
        <f>K851*J851</f>
        <v>6897</v>
      </c>
      <c r="O851" s="12">
        <f>N851-M851</f>
        <v>6552.15</v>
      </c>
      <c r="P851" s="2" t="s">
        <v>24</v>
      </c>
      <c r="Q851" s="2" t="s">
        <v>18</v>
      </c>
      <c r="R851" s="2">
        <v>80</v>
      </c>
      <c r="S851" s="20">
        <f>Table1[[#This Row],[Net_revenue]]/Table1[[#This Row],[Gross_revenue]]*100%</f>
        <v>0.95</v>
      </c>
      <c r="T851" s="18">
        <f>COUNTIFS(Table1[Customer ID], "&gt;1", Table1[Customer ID], 1)</f>
        <v>0</v>
      </c>
    </row>
    <row r="852" spans="1:20" hidden="1" x14ac:dyDescent="0.3">
      <c r="A852" s="2" t="s">
        <v>1411</v>
      </c>
      <c r="B852" s="5">
        <v>45837</v>
      </c>
      <c r="C852" s="5" t="str">
        <f>TEXT(B852,"mmm")</f>
        <v>Jun</v>
      </c>
      <c r="D852" s="2" t="s">
        <v>144</v>
      </c>
      <c r="E852" s="2" t="s">
        <v>56</v>
      </c>
      <c r="F852" s="2" t="str" cm="1">
        <f t="array" ref="F8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52" s="2" t="str" cm="1">
        <f t="array" ref="G8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52" s="2" t="s">
        <v>117</v>
      </c>
      <c r="I852" s="2" t="s">
        <v>23</v>
      </c>
      <c r="J852" s="2">
        <v>2</v>
      </c>
      <c r="K852" s="8">
        <v>2199</v>
      </c>
      <c r="L852" s="3">
        <v>0.2</v>
      </c>
      <c r="M852" s="12">
        <f>K852*L852</f>
        <v>439.8</v>
      </c>
      <c r="N852" s="12">
        <f>K852*J852</f>
        <v>4398</v>
      </c>
      <c r="O852" s="12">
        <f>N852-M852</f>
        <v>3958.2</v>
      </c>
      <c r="P852" s="2" t="s">
        <v>45</v>
      </c>
      <c r="Q852" s="2" t="s">
        <v>18</v>
      </c>
      <c r="R852" s="2">
        <v>0</v>
      </c>
      <c r="S852" s="20">
        <f>Table1[[#This Row],[Net_revenue]]/Table1[[#This Row],[Gross_revenue]]*100%</f>
        <v>0.89999999999999991</v>
      </c>
      <c r="T852" s="18">
        <f>COUNTIFS(Table1[Customer ID], "&gt;1", Table1[Customer ID], 1)</f>
        <v>0</v>
      </c>
    </row>
    <row r="853" spans="1:20" hidden="1" x14ac:dyDescent="0.3">
      <c r="A853" s="2" t="s">
        <v>1412</v>
      </c>
      <c r="B853" s="5">
        <v>45947</v>
      </c>
      <c r="C853" s="5" t="str">
        <f>TEXT(B853,"mmm")</f>
        <v>Oct</v>
      </c>
      <c r="D853" s="2" t="s">
        <v>1413</v>
      </c>
      <c r="E853" s="2" t="s">
        <v>195</v>
      </c>
      <c r="F853" s="2" t="str" cm="1">
        <f t="array" ref="F8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853" s="2" t="str" cm="1">
        <f t="array" ref="G8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53" s="2" t="s">
        <v>188</v>
      </c>
      <c r="I853" s="2" t="s">
        <v>95</v>
      </c>
      <c r="J853" s="2">
        <v>1</v>
      </c>
      <c r="K853" s="8">
        <v>699</v>
      </c>
      <c r="L853" s="3">
        <v>0.2</v>
      </c>
      <c r="M853" s="12">
        <f>K853*L853</f>
        <v>139.80000000000001</v>
      </c>
      <c r="N853" s="12">
        <f>K853*J853</f>
        <v>699</v>
      </c>
      <c r="O853" s="12">
        <f>N853-M853</f>
        <v>559.20000000000005</v>
      </c>
      <c r="P853" s="2" t="s">
        <v>45</v>
      </c>
      <c r="Q853" s="2" t="s">
        <v>18</v>
      </c>
      <c r="R853" s="2">
        <v>40</v>
      </c>
      <c r="S853" s="20">
        <f>Table1[[#This Row],[Net_revenue]]/Table1[[#This Row],[Gross_revenue]]*100%</f>
        <v>0.8</v>
      </c>
      <c r="T853" s="18">
        <f>COUNTIFS(Table1[Customer ID], "&gt;1", Table1[Customer ID], 1)</f>
        <v>0</v>
      </c>
    </row>
    <row r="854" spans="1:20" hidden="1" x14ac:dyDescent="0.3">
      <c r="A854" s="2" t="s">
        <v>1414</v>
      </c>
      <c r="B854" s="5">
        <v>45695</v>
      </c>
      <c r="C854" s="5" t="str">
        <f>TEXT(B854,"mmm")</f>
        <v>Feb</v>
      </c>
      <c r="D854" s="2" t="s">
        <v>426</v>
      </c>
      <c r="E854" s="2" t="s">
        <v>40</v>
      </c>
      <c r="F854" s="2" t="str" cm="1">
        <f t="array" ref="F8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54" s="2" t="str" cm="1">
        <f t="array" ref="G8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54" s="2" t="s">
        <v>80</v>
      </c>
      <c r="I854" s="2" t="s">
        <v>23</v>
      </c>
      <c r="J854" s="2">
        <v>4</v>
      </c>
      <c r="K854" s="8">
        <v>799</v>
      </c>
      <c r="L854" s="3">
        <v>0.25</v>
      </c>
      <c r="M854" s="12">
        <f>K854*L854</f>
        <v>199.75</v>
      </c>
      <c r="N854" s="12">
        <f>K854*J854</f>
        <v>3196</v>
      </c>
      <c r="O854" s="12">
        <f>N854-M854</f>
        <v>2996.25</v>
      </c>
      <c r="P854" s="2" t="s">
        <v>30</v>
      </c>
      <c r="Q854" s="2" t="s">
        <v>18</v>
      </c>
      <c r="R854" s="2">
        <v>0</v>
      </c>
      <c r="S854" s="20">
        <f>Table1[[#This Row],[Net_revenue]]/Table1[[#This Row],[Gross_revenue]]*100%</f>
        <v>0.9375</v>
      </c>
      <c r="T854" s="18">
        <f>COUNTIFS(Table1[Customer ID], "&gt;1", Table1[Customer ID], 1)</f>
        <v>0</v>
      </c>
    </row>
    <row r="855" spans="1:20" hidden="1" x14ac:dyDescent="0.3">
      <c r="A855" s="2" t="s">
        <v>1415</v>
      </c>
      <c r="B855" s="5">
        <v>46016</v>
      </c>
      <c r="C855" s="5" t="str">
        <f>TEXT(B855,"mmm")</f>
        <v>Dec</v>
      </c>
      <c r="D855" s="2" t="s">
        <v>371</v>
      </c>
      <c r="E855" s="2" t="s">
        <v>48</v>
      </c>
      <c r="F855" s="2" t="str" cm="1">
        <f t="array" ref="F8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55" s="2" t="str" cm="1">
        <f t="array" ref="G8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55" s="2" t="s">
        <v>33</v>
      </c>
      <c r="I855" s="2" t="s">
        <v>16</v>
      </c>
      <c r="J855" s="2">
        <v>3</v>
      </c>
      <c r="K855" s="8">
        <v>899</v>
      </c>
      <c r="L855" s="3">
        <v>0</v>
      </c>
      <c r="M855" s="12">
        <f>K855*L855</f>
        <v>0</v>
      </c>
      <c r="N855" s="12">
        <f>K855*J855</f>
        <v>2697</v>
      </c>
      <c r="O855" s="12">
        <f>N855-M855</f>
        <v>2697</v>
      </c>
      <c r="P855" s="2" t="s">
        <v>45</v>
      </c>
      <c r="Q855" s="2" t="s">
        <v>18</v>
      </c>
      <c r="R855" s="2">
        <v>80</v>
      </c>
      <c r="S855" s="20">
        <f>Table1[[#This Row],[Net_revenue]]/Table1[[#This Row],[Gross_revenue]]*100%</f>
        <v>1</v>
      </c>
      <c r="T855" s="18">
        <f>COUNTIFS(Table1[Customer ID], "&gt;1", Table1[Customer ID], 1)</f>
        <v>0</v>
      </c>
    </row>
    <row r="856" spans="1:20" hidden="1" x14ac:dyDescent="0.3">
      <c r="A856" s="2" t="s">
        <v>1416</v>
      </c>
      <c r="B856" s="5">
        <v>45934</v>
      </c>
      <c r="C856" s="5" t="str">
        <f>TEXT(B856,"mmm")</f>
        <v>Oct</v>
      </c>
      <c r="D856" s="2" t="s">
        <v>102</v>
      </c>
      <c r="E856" s="2" t="s">
        <v>56</v>
      </c>
      <c r="F856" s="2" t="str" cm="1">
        <f t="array" ref="F8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56" s="2" t="str" cm="1">
        <f t="array" ref="G8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56" s="2" t="s">
        <v>44</v>
      </c>
      <c r="I856" s="2" t="s">
        <v>16</v>
      </c>
      <c r="J856" s="2">
        <v>3</v>
      </c>
      <c r="K856" s="8">
        <v>1599</v>
      </c>
      <c r="L856" s="3">
        <v>0.1</v>
      </c>
      <c r="M856" s="12">
        <f>K856*L856</f>
        <v>159.9</v>
      </c>
      <c r="N856" s="12">
        <f>K856*J856</f>
        <v>4797</v>
      </c>
      <c r="O856" s="12">
        <f>N856-M856</f>
        <v>4637.1000000000004</v>
      </c>
      <c r="P856" s="2" t="s">
        <v>30</v>
      </c>
      <c r="Q856" s="2" t="s">
        <v>18</v>
      </c>
      <c r="R856" s="2">
        <v>40</v>
      </c>
      <c r="S856" s="20">
        <f>Table1[[#This Row],[Net_revenue]]/Table1[[#This Row],[Gross_revenue]]*100%</f>
        <v>0.96666666666666679</v>
      </c>
      <c r="T856" s="18">
        <f>COUNTIFS(Table1[Customer ID], "&gt;1", Table1[Customer ID], 1)</f>
        <v>0</v>
      </c>
    </row>
    <row r="857" spans="1:20" hidden="1" x14ac:dyDescent="0.3">
      <c r="A857" s="2" t="s">
        <v>1417</v>
      </c>
      <c r="B857" s="5">
        <v>45835</v>
      </c>
      <c r="C857" s="5" t="str">
        <f>TEXT(B857,"mmm")</f>
        <v>Jun</v>
      </c>
      <c r="D857" s="2" t="s">
        <v>1418</v>
      </c>
      <c r="E857" s="2" t="s">
        <v>40</v>
      </c>
      <c r="F857" s="2" t="str" cm="1">
        <f t="array" ref="F8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57" s="2" t="str" cm="1">
        <f t="array" ref="G8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57" s="2" t="s">
        <v>49</v>
      </c>
      <c r="I857" s="2" t="s">
        <v>23</v>
      </c>
      <c r="J857" s="2">
        <v>1</v>
      </c>
      <c r="K857" s="8">
        <v>1299</v>
      </c>
      <c r="L857" s="3">
        <v>0</v>
      </c>
      <c r="M857" s="12">
        <f>K857*L857</f>
        <v>0</v>
      </c>
      <c r="N857" s="12">
        <f>K857*J857</f>
        <v>1299</v>
      </c>
      <c r="O857" s="12">
        <f>N857-M857</f>
        <v>1299</v>
      </c>
      <c r="P857" s="2" t="s">
        <v>24</v>
      </c>
      <c r="Q857" s="2" t="s">
        <v>18</v>
      </c>
      <c r="R857" s="2">
        <v>0</v>
      </c>
      <c r="S857" s="20">
        <f>Table1[[#This Row],[Net_revenue]]/Table1[[#This Row],[Gross_revenue]]*100%</f>
        <v>1</v>
      </c>
      <c r="T857" s="18">
        <f>COUNTIFS(Table1[Customer ID], "&gt;1", Table1[Customer ID], 1)</f>
        <v>0</v>
      </c>
    </row>
    <row r="858" spans="1:20" hidden="1" x14ac:dyDescent="0.3">
      <c r="A858" s="2" t="s">
        <v>1419</v>
      </c>
      <c r="B858" s="5">
        <v>45811</v>
      </c>
      <c r="C858" s="5" t="str">
        <f>TEXT(B858,"mmm")</f>
        <v>Jun</v>
      </c>
      <c r="D858" s="2" t="s">
        <v>1420</v>
      </c>
      <c r="E858" s="2" t="s">
        <v>75</v>
      </c>
      <c r="F858" s="2" t="str" cm="1">
        <f t="array" ref="F8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858" s="2" t="str" cm="1">
        <f t="array" ref="G8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58" s="2" t="s">
        <v>49</v>
      </c>
      <c r="I858" s="2" t="s">
        <v>23</v>
      </c>
      <c r="J858" s="2">
        <v>1</v>
      </c>
      <c r="K858" s="8">
        <v>1299</v>
      </c>
      <c r="L858" s="3">
        <v>0.25</v>
      </c>
      <c r="M858" s="12">
        <f>K858*L858</f>
        <v>324.75</v>
      </c>
      <c r="N858" s="12">
        <f>K858*J858</f>
        <v>1299</v>
      </c>
      <c r="O858" s="12">
        <f>N858-M858</f>
        <v>974.25</v>
      </c>
      <c r="P858" s="2" t="s">
        <v>17</v>
      </c>
      <c r="Q858" s="2" t="s">
        <v>18</v>
      </c>
      <c r="R858" s="2">
        <v>40</v>
      </c>
      <c r="S858" s="20">
        <f>Table1[[#This Row],[Net_revenue]]/Table1[[#This Row],[Gross_revenue]]*100%</f>
        <v>0.75</v>
      </c>
      <c r="T858" s="18">
        <f>COUNTIFS(Table1[Customer ID], "&gt;1", Table1[Customer ID], 1)</f>
        <v>0</v>
      </c>
    </row>
    <row r="859" spans="1:20" hidden="1" x14ac:dyDescent="0.3">
      <c r="A859" s="2" t="s">
        <v>1421</v>
      </c>
      <c r="B859" s="5">
        <v>45811</v>
      </c>
      <c r="C859" s="5" t="str">
        <f>TEXT(B859,"mmm")</f>
        <v>Jun</v>
      </c>
      <c r="D859" s="2" t="s">
        <v>542</v>
      </c>
      <c r="E859" s="2" t="s">
        <v>56</v>
      </c>
      <c r="F859" s="2" t="str" cm="1">
        <f t="array" ref="F8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59" s="2" t="str" cm="1">
        <f t="array" ref="G8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59" s="2" t="s">
        <v>188</v>
      </c>
      <c r="I859" s="2" t="s">
        <v>95</v>
      </c>
      <c r="J859" s="2">
        <v>1</v>
      </c>
      <c r="K859" s="8">
        <v>699</v>
      </c>
      <c r="L859" s="3">
        <v>0.1</v>
      </c>
      <c r="M859" s="12">
        <f>K859*L859</f>
        <v>69.900000000000006</v>
      </c>
      <c r="N859" s="12">
        <f>K859*J859</f>
        <v>699</v>
      </c>
      <c r="O859" s="12">
        <f>N859-M859</f>
        <v>629.1</v>
      </c>
      <c r="P859" s="2" t="s">
        <v>45</v>
      </c>
      <c r="Q859" s="2" t="s">
        <v>18</v>
      </c>
      <c r="R859" s="2">
        <v>40</v>
      </c>
      <c r="S859" s="20">
        <f>Table1[[#This Row],[Net_revenue]]/Table1[[#This Row],[Gross_revenue]]*100%</f>
        <v>0.9</v>
      </c>
      <c r="T859" s="18">
        <f>COUNTIFS(Table1[Customer ID], "&gt;1", Table1[Customer ID], 1)</f>
        <v>0</v>
      </c>
    </row>
    <row r="860" spans="1:20" hidden="1" x14ac:dyDescent="0.3">
      <c r="A860" s="2" t="s">
        <v>1422</v>
      </c>
      <c r="B860" s="5">
        <v>45787</v>
      </c>
      <c r="C860" s="5" t="str">
        <f>TEXT(B860,"mmm")</f>
        <v>May</v>
      </c>
      <c r="D860" s="2" t="s">
        <v>526</v>
      </c>
      <c r="E860" s="2" t="s">
        <v>48</v>
      </c>
      <c r="F860" s="2" t="str" cm="1">
        <f t="array" ref="F8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60" s="2" t="str" cm="1">
        <f t="array" ref="G8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60" s="2" t="s">
        <v>44</v>
      </c>
      <c r="I860" s="2" t="s">
        <v>16</v>
      </c>
      <c r="J860" s="2">
        <v>3</v>
      </c>
      <c r="K860" s="8">
        <v>1599</v>
      </c>
      <c r="L860" s="3">
        <v>0.15</v>
      </c>
      <c r="M860" s="12">
        <f>K860*L860</f>
        <v>239.85</v>
      </c>
      <c r="N860" s="12">
        <f>K860*J860</f>
        <v>4797</v>
      </c>
      <c r="O860" s="12">
        <f>N860-M860</f>
        <v>4557.1499999999996</v>
      </c>
      <c r="P860" s="2" t="s">
        <v>30</v>
      </c>
      <c r="Q860" s="2" t="s">
        <v>18</v>
      </c>
      <c r="R860" s="2">
        <v>80</v>
      </c>
      <c r="S860" s="20">
        <f>Table1[[#This Row],[Net_revenue]]/Table1[[#This Row],[Gross_revenue]]*100%</f>
        <v>0.95</v>
      </c>
      <c r="T860" s="18">
        <f>COUNTIFS(Table1[Customer ID], "&gt;1", Table1[Customer ID], 1)</f>
        <v>0</v>
      </c>
    </row>
    <row r="861" spans="1:20" hidden="1" x14ac:dyDescent="0.3">
      <c r="A861" s="2" t="s">
        <v>1423</v>
      </c>
      <c r="B861" s="5">
        <v>45958</v>
      </c>
      <c r="C861" s="5" t="str">
        <f>TEXT(B861,"mmm")</f>
        <v>Oct</v>
      </c>
      <c r="D861" s="2" t="s">
        <v>549</v>
      </c>
      <c r="E861" s="2" t="s">
        <v>53</v>
      </c>
      <c r="F861" s="2" t="str" cm="1">
        <f t="array" ref="F8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861" s="2" t="str" cm="1">
        <f t="array" ref="G8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61" s="2" t="s">
        <v>68</v>
      </c>
      <c r="I861" s="2" t="s">
        <v>16</v>
      </c>
      <c r="J861" s="2">
        <v>1</v>
      </c>
      <c r="K861" s="8">
        <v>599</v>
      </c>
      <c r="L861" s="3">
        <v>0.05</v>
      </c>
      <c r="M861" s="12">
        <f>K861*L861</f>
        <v>29.950000000000003</v>
      </c>
      <c r="N861" s="12">
        <f>K861*J861</f>
        <v>599</v>
      </c>
      <c r="O861" s="12">
        <f>N861-M861</f>
        <v>569.04999999999995</v>
      </c>
      <c r="P861" s="2" t="s">
        <v>17</v>
      </c>
      <c r="Q861" s="2" t="s">
        <v>18</v>
      </c>
      <c r="R861" s="2">
        <v>80</v>
      </c>
      <c r="S861" s="20">
        <f>Table1[[#This Row],[Net_revenue]]/Table1[[#This Row],[Gross_revenue]]*100%</f>
        <v>0.95</v>
      </c>
      <c r="T861" s="18">
        <f>COUNTIFS(Table1[Customer ID], "&gt;1", Table1[Customer ID], 1)</f>
        <v>0</v>
      </c>
    </row>
    <row r="862" spans="1:20" hidden="1" x14ac:dyDescent="0.3">
      <c r="A862" s="2" t="s">
        <v>1424</v>
      </c>
      <c r="B862" s="5">
        <v>45768</v>
      </c>
      <c r="C862" s="5" t="str">
        <f>TEXT(B862,"mmm")</f>
        <v>Apr</v>
      </c>
      <c r="D862" s="2" t="s">
        <v>768</v>
      </c>
      <c r="E862" s="2" t="s">
        <v>27</v>
      </c>
      <c r="F862" s="2" t="str" cm="1">
        <f t="array" ref="F8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62" s="2" t="str" cm="1">
        <f t="array" ref="G8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62" s="2" t="s">
        <v>107</v>
      </c>
      <c r="I862" s="2" t="s">
        <v>95</v>
      </c>
      <c r="J862" s="2">
        <v>1</v>
      </c>
      <c r="K862" s="8">
        <v>1599</v>
      </c>
      <c r="L862" s="3">
        <v>0.05</v>
      </c>
      <c r="M862" s="12">
        <f>K862*L862</f>
        <v>79.95</v>
      </c>
      <c r="N862" s="12">
        <f>K862*J862</f>
        <v>1599</v>
      </c>
      <c r="O862" s="12">
        <f>N862-M862</f>
        <v>1519.05</v>
      </c>
      <c r="P862" s="2" t="s">
        <v>30</v>
      </c>
      <c r="Q862" s="2" t="s">
        <v>18</v>
      </c>
      <c r="R862" s="2">
        <v>40</v>
      </c>
      <c r="S862" s="20">
        <f>Table1[[#This Row],[Net_revenue]]/Table1[[#This Row],[Gross_revenue]]*100%</f>
        <v>0.95</v>
      </c>
      <c r="T862" s="18">
        <f>COUNTIFS(Table1[Customer ID], "&gt;1", Table1[Customer ID], 1)</f>
        <v>0</v>
      </c>
    </row>
    <row r="863" spans="1:20" hidden="1" x14ac:dyDescent="0.3">
      <c r="A863" s="2" t="s">
        <v>1425</v>
      </c>
      <c r="B863" s="5">
        <v>45800</v>
      </c>
      <c r="C863" s="5" t="str">
        <f>TEXT(B863,"mmm")</f>
        <v>May</v>
      </c>
      <c r="D863" s="2" t="s">
        <v>52</v>
      </c>
      <c r="E863" s="2" t="s">
        <v>56</v>
      </c>
      <c r="F863" s="2" t="str" cm="1">
        <f t="array" ref="F8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63" s="2" t="str" cm="1">
        <f t="array" ref="G8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63" s="2" t="s">
        <v>80</v>
      </c>
      <c r="I863" s="2" t="s">
        <v>23</v>
      </c>
      <c r="J863" s="2">
        <v>1</v>
      </c>
      <c r="K863" s="8">
        <v>799</v>
      </c>
      <c r="L863" s="3">
        <v>0</v>
      </c>
      <c r="M863" s="12">
        <f>K863*L863</f>
        <v>0</v>
      </c>
      <c r="N863" s="12">
        <f>K863*J863</f>
        <v>799</v>
      </c>
      <c r="O863" s="12">
        <f>N863-M863</f>
        <v>799</v>
      </c>
      <c r="P863" s="2" t="s">
        <v>17</v>
      </c>
      <c r="Q863" s="2" t="s">
        <v>18</v>
      </c>
      <c r="R863" s="2">
        <v>60</v>
      </c>
      <c r="S863" s="20">
        <f>Table1[[#This Row],[Net_revenue]]/Table1[[#This Row],[Gross_revenue]]*100%</f>
        <v>1</v>
      </c>
      <c r="T863" s="18">
        <f>COUNTIFS(Table1[Customer ID], "&gt;1", Table1[Customer ID], 1)</f>
        <v>0</v>
      </c>
    </row>
    <row r="864" spans="1:20" hidden="1" x14ac:dyDescent="0.3">
      <c r="A864" s="2" t="s">
        <v>1426</v>
      </c>
      <c r="B864" s="5">
        <v>45715</v>
      </c>
      <c r="C864" s="5" t="str">
        <f>TEXT(B864,"mmm")</f>
        <v>Feb</v>
      </c>
      <c r="D864" s="2" t="s">
        <v>343</v>
      </c>
      <c r="E864" s="2" t="s">
        <v>48</v>
      </c>
      <c r="F864" s="2" t="str" cm="1">
        <f t="array" ref="F8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64" s="2" t="str" cm="1">
        <f t="array" ref="G8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64" s="2" t="s">
        <v>33</v>
      </c>
      <c r="I864" s="2" t="s">
        <v>16</v>
      </c>
      <c r="J864" s="2">
        <v>1</v>
      </c>
      <c r="K864" s="8">
        <v>899</v>
      </c>
      <c r="L864" s="3">
        <v>0.1</v>
      </c>
      <c r="M864" s="12">
        <f>K864*L864</f>
        <v>89.9</v>
      </c>
      <c r="N864" s="12">
        <f>K864*J864</f>
        <v>899</v>
      </c>
      <c r="O864" s="12">
        <f>N864-M864</f>
        <v>809.1</v>
      </c>
      <c r="P864" s="2" t="s">
        <v>45</v>
      </c>
      <c r="Q864" s="2" t="s">
        <v>72</v>
      </c>
      <c r="R864" s="2">
        <v>0</v>
      </c>
      <c r="S864" s="20">
        <f>Table1[[#This Row],[Net_revenue]]/Table1[[#This Row],[Gross_revenue]]*100%</f>
        <v>0.9</v>
      </c>
      <c r="T864" s="18">
        <f>COUNTIFS(Table1[Customer ID], "&gt;1", Table1[Customer ID], 1)</f>
        <v>0</v>
      </c>
    </row>
    <row r="865" spans="1:20" hidden="1" x14ac:dyDescent="0.3">
      <c r="A865" s="2" t="s">
        <v>1427</v>
      </c>
      <c r="B865" s="5">
        <v>46007</v>
      </c>
      <c r="C865" s="5" t="str">
        <f>TEXT(B865,"mmm")</f>
        <v>Dec</v>
      </c>
      <c r="D865" s="2" t="s">
        <v>1404</v>
      </c>
      <c r="E865" s="2" t="s">
        <v>120</v>
      </c>
      <c r="F865" s="2" t="str" cm="1">
        <f t="array" ref="F8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65" s="2" t="str" cm="1">
        <f t="array" ref="G8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65" s="2" t="s">
        <v>22</v>
      </c>
      <c r="I865" s="2" t="s">
        <v>23</v>
      </c>
      <c r="J865" s="2">
        <v>5</v>
      </c>
      <c r="K865" s="8">
        <v>3999</v>
      </c>
      <c r="L865" s="3">
        <v>0.1</v>
      </c>
      <c r="M865" s="12">
        <f>K865*L865</f>
        <v>399.90000000000003</v>
      </c>
      <c r="N865" s="12">
        <f>K865*J865</f>
        <v>19995</v>
      </c>
      <c r="O865" s="12">
        <f>N865-M865</f>
        <v>19595.099999999999</v>
      </c>
      <c r="P865" s="2" t="s">
        <v>45</v>
      </c>
      <c r="Q865" s="2" t="s">
        <v>18</v>
      </c>
      <c r="R865" s="2">
        <v>0</v>
      </c>
      <c r="S865" s="20">
        <f>Table1[[#This Row],[Net_revenue]]/Table1[[#This Row],[Gross_revenue]]*100%</f>
        <v>0.98</v>
      </c>
      <c r="T865" s="18">
        <f>COUNTIFS(Table1[Customer ID], "&gt;1", Table1[Customer ID], 1)</f>
        <v>0</v>
      </c>
    </row>
    <row r="866" spans="1:20" hidden="1" x14ac:dyDescent="0.3">
      <c r="A866" s="2" t="s">
        <v>1428</v>
      </c>
      <c r="B866" s="5">
        <v>45805</v>
      </c>
      <c r="C866" s="5" t="str">
        <f>TEXT(B866,"mmm")</f>
        <v>May</v>
      </c>
      <c r="D866" s="2" t="s">
        <v>1206</v>
      </c>
      <c r="E866" s="2" t="s">
        <v>195</v>
      </c>
      <c r="F866" s="2" t="str" cm="1">
        <f t="array" ref="F8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866" s="2" t="str" cm="1">
        <f t="array" ref="G8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66" s="2" t="s">
        <v>80</v>
      </c>
      <c r="I866" s="2" t="s">
        <v>23</v>
      </c>
      <c r="J866" s="2">
        <v>1</v>
      </c>
      <c r="K866" s="8">
        <v>799</v>
      </c>
      <c r="L866" s="3">
        <v>0.1</v>
      </c>
      <c r="M866" s="12">
        <f>K866*L866</f>
        <v>79.900000000000006</v>
      </c>
      <c r="N866" s="12">
        <f>K866*J866</f>
        <v>799</v>
      </c>
      <c r="O866" s="12">
        <f>N866-M866</f>
        <v>719.1</v>
      </c>
      <c r="P866" s="2" t="s">
        <v>45</v>
      </c>
      <c r="Q866" s="2" t="s">
        <v>18</v>
      </c>
      <c r="R866" s="2">
        <v>40</v>
      </c>
      <c r="S866" s="20">
        <f>Table1[[#This Row],[Net_revenue]]/Table1[[#This Row],[Gross_revenue]]*100%</f>
        <v>0.9</v>
      </c>
      <c r="T866" s="18">
        <f>COUNTIFS(Table1[Customer ID], "&gt;1", Table1[Customer ID], 1)</f>
        <v>0</v>
      </c>
    </row>
    <row r="867" spans="1:20" hidden="1" x14ac:dyDescent="0.3">
      <c r="A867" s="2" t="s">
        <v>1429</v>
      </c>
      <c r="B867" s="5">
        <v>45887</v>
      </c>
      <c r="C867" s="5" t="str">
        <f>TEXT(B867,"mmm")</f>
        <v>Aug</v>
      </c>
      <c r="D867" s="2" t="s">
        <v>383</v>
      </c>
      <c r="E867" s="2" t="s">
        <v>21</v>
      </c>
      <c r="F867" s="2" t="str" cm="1">
        <f t="array" ref="F8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67" s="2" t="str" cm="1">
        <f t="array" ref="G8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67" s="2" t="s">
        <v>15</v>
      </c>
      <c r="I867" s="2" t="s">
        <v>16</v>
      </c>
      <c r="J867" s="2">
        <v>1</v>
      </c>
      <c r="K867" s="8">
        <v>1799</v>
      </c>
      <c r="L867" s="3">
        <v>0.05</v>
      </c>
      <c r="M867" s="12">
        <f>K867*L867</f>
        <v>89.95</v>
      </c>
      <c r="N867" s="12">
        <f>K867*J867</f>
        <v>1799</v>
      </c>
      <c r="O867" s="12">
        <f>N867-M867</f>
        <v>1709.05</v>
      </c>
      <c r="P867" s="2" t="s">
        <v>45</v>
      </c>
      <c r="Q867" s="2" t="s">
        <v>18</v>
      </c>
      <c r="R867" s="2">
        <v>0</v>
      </c>
      <c r="S867" s="20">
        <f>Table1[[#This Row],[Net_revenue]]/Table1[[#This Row],[Gross_revenue]]*100%</f>
        <v>0.95</v>
      </c>
      <c r="T867" s="18">
        <f>COUNTIFS(Table1[Customer ID], "&gt;1", Table1[Customer ID], 1)</f>
        <v>0</v>
      </c>
    </row>
    <row r="868" spans="1:20" hidden="1" x14ac:dyDescent="0.3">
      <c r="A868" s="2" t="s">
        <v>1430</v>
      </c>
      <c r="B868" s="5">
        <v>45812</v>
      </c>
      <c r="C868" s="5" t="str">
        <f>TEXT(B868,"mmm")</f>
        <v>Jun</v>
      </c>
      <c r="D868" s="2" t="s">
        <v>900</v>
      </c>
      <c r="E868" s="2" t="s">
        <v>21</v>
      </c>
      <c r="F868" s="2" t="str" cm="1">
        <f t="array" ref="F8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68" s="2" t="str" cm="1">
        <f t="array" ref="G8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68" s="2" t="s">
        <v>15</v>
      </c>
      <c r="I868" s="2" t="s">
        <v>16</v>
      </c>
      <c r="J868" s="2">
        <v>1</v>
      </c>
      <c r="K868" s="8">
        <v>1799</v>
      </c>
      <c r="L868" s="3">
        <v>0.2</v>
      </c>
      <c r="M868" s="12">
        <f>K868*L868</f>
        <v>359.8</v>
      </c>
      <c r="N868" s="12">
        <f>K868*J868</f>
        <v>1799</v>
      </c>
      <c r="O868" s="12">
        <f>N868-M868</f>
        <v>1439.2</v>
      </c>
      <c r="P868" s="2" t="s">
        <v>30</v>
      </c>
      <c r="Q868" s="2" t="s">
        <v>18</v>
      </c>
      <c r="R868" s="2">
        <v>0</v>
      </c>
      <c r="S868" s="20">
        <f>Table1[[#This Row],[Net_revenue]]/Table1[[#This Row],[Gross_revenue]]*100%</f>
        <v>0.8</v>
      </c>
      <c r="T868" s="18">
        <f>COUNTIFS(Table1[Customer ID], "&gt;1", Table1[Customer ID], 1)</f>
        <v>0</v>
      </c>
    </row>
    <row r="869" spans="1:20" hidden="1" x14ac:dyDescent="0.3">
      <c r="A869" s="2" t="s">
        <v>1431</v>
      </c>
      <c r="B869" s="5">
        <v>45875</v>
      </c>
      <c r="C869" s="5" t="str">
        <f>TEXT(B869,"mmm")</f>
        <v>Aug</v>
      </c>
      <c r="D869" s="2" t="s">
        <v>251</v>
      </c>
      <c r="E869" s="2" t="s">
        <v>40</v>
      </c>
      <c r="F869" s="2" t="str" cm="1">
        <f t="array" ref="F8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69" s="2" t="str" cm="1">
        <f t="array" ref="G8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69" s="2" t="s">
        <v>80</v>
      </c>
      <c r="I869" s="2" t="s">
        <v>23</v>
      </c>
      <c r="J869" s="2">
        <v>3</v>
      </c>
      <c r="K869" s="8">
        <v>799</v>
      </c>
      <c r="L869" s="3">
        <v>0.1</v>
      </c>
      <c r="M869" s="12">
        <f>K869*L869</f>
        <v>79.900000000000006</v>
      </c>
      <c r="N869" s="12">
        <f>K869*J869</f>
        <v>2397</v>
      </c>
      <c r="O869" s="12">
        <f>N869-M869</f>
        <v>2317.1</v>
      </c>
      <c r="P869" s="2" t="s">
        <v>45</v>
      </c>
      <c r="Q869" s="2" t="s">
        <v>50</v>
      </c>
      <c r="R869" s="2">
        <v>40</v>
      </c>
      <c r="S869" s="20">
        <f>Table1[[#This Row],[Net_revenue]]/Table1[[#This Row],[Gross_revenue]]*100%</f>
        <v>0.96666666666666667</v>
      </c>
      <c r="T869" s="18">
        <f>COUNTIFS(Table1[Customer ID], "&gt;1", Table1[Customer ID], 1)</f>
        <v>0</v>
      </c>
    </row>
    <row r="870" spans="1:20" hidden="1" x14ac:dyDescent="0.3">
      <c r="A870" s="2" t="s">
        <v>1432</v>
      </c>
      <c r="B870" s="5">
        <v>45786</v>
      </c>
      <c r="C870" s="5" t="str">
        <f>TEXT(B870,"mmm")</f>
        <v>May</v>
      </c>
      <c r="D870" s="2" t="s">
        <v>1433</v>
      </c>
      <c r="E870" s="2" t="s">
        <v>53</v>
      </c>
      <c r="F870" s="2" t="str" cm="1">
        <f t="array" ref="F8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870" s="2" t="str" cm="1">
        <f t="array" ref="G8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70" s="2" t="s">
        <v>28</v>
      </c>
      <c r="I870" s="2" t="s">
        <v>29</v>
      </c>
      <c r="J870" s="2">
        <v>1</v>
      </c>
      <c r="K870" s="8">
        <v>2799</v>
      </c>
      <c r="L870" s="3">
        <v>0.15</v>
      </c>
      <c r="M870" s="12">
        <f>K870*L870</f>
        <v>419.84999999999997</v>
      </c>
      <c r="N870" s="12">
        <f>K870*J870</f>
        <v>2799</v>
      </c>
      <c r="O870" s="12">
        <f>N870-M870</f>
        <v>2379.15</v>
      </c>
      <c r="P870" s="2" t="s">
        <v>30</v>
      </c>
      <c r="Q870" s="2" t="s">
        <v>18</v>
      </c>
      <c r="R870" s="2">
        <v>80</v>
      </c>
      <c r="S870" s="20">
        <f>Table1[[#This Row],[Net_revenue]]/Table1[[#This Row],[Gross_revenue]]*100%</f>
        <v>0.85</v>
      </c>
      <c r="T870" s="18">
        <f>COUNTIFS(Table1[Customer ID], "&gt;1", Table1[Customer ID], 1)</f>
        <v>0</v>
      </c>
    </row>
    <row r="871" spans="1:20" hidden="1" x14ac:dyDescent="0.3">
      <c r="A871" s="2" t="s">
        <v>1434</v>
      </c>
      <c r="B871" s="5">
        <v>45791</v>
      </c>
      <c r="C871" s="5" t="str">
        <f>TEXT(B871,"mmm")</f>
        <v>May</v>
      </c>
      <c r="D871" s="2" t="s">
        <v>185</v>
      </c>
      <c r="E871" s="2" t="s">
        <v>40</v>
      </c>
      <c r="F871" s="2" t="str" cm="1">
        <f t="array" ref="F8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71" s="2" t="str" cm="1">
        <f t="array" ref="G8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71" s="2" t="s">
        <v>63</v>
      </c>
      <c r="I871" s="2" t="s">
        <v>23</v>
      </c>
      <c r="J871" s="2">
        <v>1</v>
      </c>
      <c r="K871" s="8">
        <v>2499</v>
      </c>
      <c r="L871" s="3">
        <v>0.2</v>
      </c>
      <c r="M871" s="12">
        <f>K871*L871</f>
        <v>499.8</v>
      </c>
      <c r="N871" s="12">
        <f>K871*J871</f>
        <v>2499</v>
      </c>
      <c r="O871" s="12">
        <f>N871-M871</f>
        <v>1999.2</v>
      </c>
      <c r="P871" s="2" t="s">
        <v>30</v>
      </c>
      <c r="Q871" s="2" t="s">
        <v>72</v>
      </c>
      <c r="R871" s="2">
        <v>0</v>
      </c>
      <c r="S871" s="20">
        <f>Table1[[#This Row],[Net_revenue]]/Table1[[#This Row],[Gross_revenue]]*100%</f>
        <v>0.8</v>
      </c>
      <c r="T871" s="18">
        <f>COUNTIFS(Table1[Customer ID], "&gt;1", Table1[Customer ID], 1)</f>
        <v>0</v>
      </c>
    </row>
    <row r="872" spans="1:20" hidden="1" x14ac:dyDescent="0.3">
      <c r="A872" s="2" t="s">
        <v>1435</v>
      </c>
      <c r="B872" s="5">
        <v>45958</v>
      </c>
      <c r="C872" s="5" t="str">
        <f>TEXT(B872,"mmm")</f>
        <v>Oct</v>
      </c>
      <c r="D872" s="2" t="s">
        <v>317</v>
      </c>
      <c r="E872" s="2" t="s">
        <v>56</v>
      </c>
      <c r="F872" s="2" t="str" cm="1">
        <f t="array" ref="F8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72" s="2" t="str" cm="1">
        <f t="array" ref="G8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72" s="2" t="s">
        <v>183</v>
      </c>
      <c r="I872" s="2" t="s">
        <v>37</v>
      </c>
      <c r="J872" s="2">
        <v>1</v>
      </c>
      <c r="K872" s="8">
        <v>499</v>
      </c>
      <c r="L872" s="3">
        <v>0.1</v>
      </c>
      <c r="M872" s="12">
        <f>K872*L872</f>
        <v>49.900000000000006</v>
      </c>
      <c r="N872" s="12">
        <f>K872*J872</f>
        <v>499</v>
      </c>
      <c r="O872" s="12">
        <f>N872-M872</f>
        <v>449.1</v>
      </c>
      <c r="P872" s="2" t="s">
        <v>17</v>
      </c>
      <c r="Q872" s="2" t="s">
        <v>18</v>
      </c>
      <c r="R872" s="2">
        <v>40</v>
      </c>
      <c r="S872" s="20">
        <f>Table1[[#This Row],[Net_revenue]]/Table1[[#This Row],[Gross_revenue]]*100%</f>
        <v>0.9</v>
      </c>
      <c r="T872" s="18">
        <f>COUNTIFS(Table1[Customer ID], "&gt;1", Table1[Customer ID], 1)</f>
        <v>0</v>
      </c>
    </row>
    <row r="873" spans="1:20" hidden="1" x14ac:dyDescent="0.3">
      <c r="A873" s="2" t="s">
        <v>1436</v>
      </c>
      <c r="B873" s="5">
        <v>45740</v>
      </c>
      <c r="C873" s="5" t="str">
        <f>TEXT(B873,"mmm")</f>
        <v>Mar</v>
      </c>
      <c r="D873" s="2" t="s">
        <v>632</v>
      </c>
      <c r="E873" s="2" t="s">
        <v>27</v>
      </c>
      <c r="F873" s="2" t="str" cm="1">
        <f t="array" ref="F8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73" s="2" t="str" cm="1">
        <f t="array" ref="G8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73" s="2" t="s">
        <v>117</v>
      </c>
      <c r="I873" s="2" t="s">
        <v>23</v>
      </c>
      <c r="J873" s="2">
        <v>1</v>
      </c>
      <c r="K873" s="8">
        <v>2199</v>
      </c>
      <c r="L873" s="3">
        <v>0.2</v>
      </c>
      <c r="M873" s="12">
        <f>K873*L873</f>
        <v>439.8</v>
      </c>
      <c r="N873" s="12">
        <f>K873*J873</f>
        <v>2199</v>
      </c>
      <c r="O873" s="12">
        <f>N873-M873</f>
        <v>1759.2</v>
      </c>
      <c r="P873" s="2" t="s">
        <v>30</v>
      </c>
      <c r="Q873" s="2" t="s">
        <v>18</v>
      </c>
      <c r="R873" s="2">
        <v>0</v>
      </c>
      <c r="S873" s="20">
        <f>Table1[[#This Row],[Net_revenue]]/Table1[[#This Row],[Gross_revenue]]*100%</f>
        <v>0.8</v>
      </c>
      <c r="T873" s="18">
        <f>COUNTIFS(Table1[Customer ID], "&gt;1", Table1[Customer ID], 1)</f>
        <v>0</v>
      </c>
    </row>
    <row r="874" spans="1:20" hidden="1" x14ac:dyDescent="0.3">
      <c r="A874" s="2" t="s">
        <v>1437</v>
      </c>
      <c r="B874" s="5">
        <v>46000</v>
      </c>
      <c r="C874" s="5" t="str">
        <f>TEXT(B874,"mmm")</f>
        <v>Dec</v>
      </c>
      <c r="D874" s="2" t="s">
        <v>209</v>
      </c>
      <c r="E874" s="2" t="s">
        <v>40</v>
      </c>
      <c r="F874" s="2" t="str" cm="1">
        <f t="array" ref="F8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74" s="2" t="str" cm="1">
        <f t="array" ref="G8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74" s="2" t="s">
        <v>15</v>
      </c>
      <c r="I874" s="2" t="s">
        <v>16</v>
      </c>
      <c r="J874" s="2">
        <v>1</v>
      </c>
      <c r="K874" s="8">
        <v>1799</v>
      </c>
      <c r="L874" s="3">
        <v>0.1</v>
      </c>
      <c r="M874" s="12">
        <f>K874*L874</f>
        <v>179.9</v>
      </c>
      <c r="N874" s="12">
        <f>K874*J874</f>
        <v>1799</v>
      </c>
      <c r="O874" s="12">
        <f>N874-M874</f>
        <v>1619.1</v>
      </c>
      <c r="P874" s="2" t="s">
        <v>17</v>
      </c>
      <c r="Q874" s="2" t="s">
        <v>18</v>
      </c>
      <c r="R874" s="2">
        <v>0</v>
      </c>
      <c r="S874" s="20">
        <f>Table1[[#This Row],[Net_revenue]]/Table1[[#This Row],[Gross_revenue]]*100%</f>
        <v>0.89999999999999991</v>
      </c>
      <c r="T874" s="18">
        <f>COUNTIFS(Table1[Customer ID], "&gt;1", Table1[Customer ID], 1)</f>
        <v>0</v>
      </c>
    </row>
    <row r="875" spans="1:20" hidden="1" x14ac:dyDescent="0.3">
      <c r="A875" s="2" t="s">
        <v>1438</v>
      </c>
      <c r="B875" s="5">
        <v>45923</v>
      </c>
      <c r="C875" s="5" t="str">
        <f>TEXT(B875,"mmm")</f>
        <v>Sep</v>
      </c>
      <c r="D875" s="2" t="s">
        <v>1439</v>
      </c>
      <c r="E875" s="2" t="s">
        <v>27</v>
      </c>
      <c r="F875" s="2" t="str" cm="1">
        <f t="array" ref="F8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75" s="2" t="str" cm="1">
        <f t="array" ref="G8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75" s="2" t="s">
        <v>94</v>
      </c>
      <c r="I875" s="2" t="s">
        <v>95</v>
      </c>
      <c r="J875" s="2">
        <v>1</v>
      </c>
      <c r="K875" s="8">
        <v>399</v>
      </c>
      <c r="L875" s="3">
        <v>0.1</v>
      </c>
      <c r="M875" s="12">
        <f>K875*L875</f>
        <v>39.900000000000006</v>
      </c>
      <c r="N875" s="12">
        <f>K875*J875</f>
        <v>399</v>
      </c>
      <c r="O875" s="12">
        <f>N875-M875</f>
        <v>359.1</v>
      </c>
      <c r="P875" s="2" t="s">
        <v>45</v>
      </c>
      <c r="Q875" s="2" t="s">
        <v>18</v>
      </c>
      <c r="R875" s="2">
        <v>0</v>
      </c>
      <c r="S875" s="20">
        <f>Table1[[#This Row],[Net_revenue]]/Table1[[#This Row],[Gross_revenue]]*100%</f>
        <v>0.9</v>
      </c>
      <c r="T875" s="18">
        <f>COUNTIFS(Table1[Customer ID], "&gt;1", Table1[Customer ID], 1)</f>
        <v>0</v>
      </c>
    </row>
    <row r="876" spans="1:20" hidden="1" x14ac:dyDescent="0.3">
      <c r="A876" s="2" t="s">
        <v>1440</v>
      </c>
      <c r="B876" s="5">
        <v>45968</v>
      </c>
      <c r="C876" s="5" t="str">
        <f>TEXT(B876,"mmm")</f>
        <v>Nov</v>
      </c>
      <c r="D876" s="2" t="s">
        <v>1154</v>
      </c>
      <c r="E876" s="2" t="s">
        <v>56</v>
      </c>
      <c r="F876" s="2" t="str" cm="1">
        <f t="array" ref="F8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76" s="2" t="str" cm="1">
        <f t="array" ref="G8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76" s="2" t="s">
        <v>89</v>
      </c>
      <c r="I876" s="2" t="s">
        <v>29</v>
      </c>
      <c r="J876" s="2">
        <v>1</v>
      </c>
      <c r="K876" s="8">
        <v>449</v>
      </c>
      <c r="L876" s="3">
        <v>0.1</v>
      </c>
      <c r="M876" s="12">
        <f>K876*L876</f>
        <v>44.900000000000006</v>
      </c>
      <c r="N876" s="12">
        <f>K876*J876</f>
        <v>449</v>
      </c>
      <c r="O876" s="12">
        <f>N876-M876</f>
        <v>404.1</v>
      </c>
      <c r="P876" s="2" t="s">
        <v>45</v>
      </c>
      <c r="Q876" s="2" t="s">
        <v>18</v>
      </c>
      <c r="R876" s="2">
        <v>40</v>
      </c>
      <c r="S876" s="20">
        <f>Table1[[#This Row],[Net_revenue]]/Table1[[#This Row],[Gross_revenue]]*100%</f>
        <v>0.9</v>
      </c>
      <c r="T876" s="18">
        <f>COUNTIFS(Table1[Customer ID], "&gt;1", Table1[Customer ID], 1)</f>
        <v>0</v>
      </c>
    </row>
    <row r="877" spans="1:20" hidden="1" x14ac:dyDescent="0.3">
      <c r="A877" s="2" t="s">
        <v>1441</v>
      </c>
      <c r="B877" s="5">
        <v>45855</v>
      </c>
      <c r="C877" s="5" t="str">
        <f>TEXT(B877,"mmm")</f>
        <v>Jul</v>
      </c>
      <c r="D877" s="2" t="s">
        <v>1442</v>
      </c>
      <c r="E877" s="2" t="s">
        <v>75</v>
      </c>
      <c r="F877" s="2" t="str" cm="1">
        <f t="array" ref="F8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877" s="2" t="str" cm="1">
        <f t="array" ref="G8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77" s="2" t="s">
        <v>117</v>
      </c>
      <c r="I877" s="2" t="s">
        <v>23</v>
      </c>
      <c r="J877" s="2">
        <v>2</v>
      </c>
      <c r="K877" s="8">
        <v>2199</v>
      </c>
      <c r="L877" s="3">
        <v>0.2</v>
      </c>
      <c r="M877" s="12">
        <f>K877*L877</f>
        <v>439.8</v>
      </c>
      <c r="N877" s="12">
        <f>K877*J877</f>
        <v>4398</v>
      </c>
      <c r="O877" s="12">
        <f>N877-M877</f>
        <v>3958.2</v>
      </c>
      <c r="P877" s="2" t="s">
        <v>45</v>
      </c>
      <c r="Q877" s="2" t="s">
        <v>18</v>
      </c>
      <c r="R877" s="2">
        <v>80</v>
      </c>
      <c r="S877" s="20">
        <f>Table1[[#This Row],[Net_revenue]]/Table1[[#This Row],[Gross_revenue]]*100%</f>
        <v>0.89999999999999991</v>
      </c>
      <c r="T877" s="18">
        <f>COUNTIFS(Table1[Customer ID], "&gt;1", Table1[Customer ID], 1)</f>
        <v>0</v>
      </c>
    </row>
    <row r="878" spans="1:20" hidden="1" x14ac:dyDescent="0.3">
      <c r="A878" s="2" t="s">
        <v>1443</v>
      </c>
      <c r="B878" s="5">
        <v>45797</v>
      </c>
      <c r="C878" s="5" t="str">
        <f>TEXT(B878,"mmm")</f>
        <v>May</v>
      </c>
      <c r="D878" s="2" t="s">
        <v>1372</v>
      </c>
      <c r="E878" s="2" t="s">
        <v>120</v>
      </c>
      <c r="F878" s="2" t="str" cm="1">
        <f t="array" ref="F8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78" s="2" t="str" cm="1">
        <f t="array" ref="G8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78" s="2" t="s">
        <v>28</v>
      </c>
      <c r="I878" s="2" t="s">
        <v>29</v>
      </c>
      <c r="J878" s="2">
        <v>4</v>
      </c>
      <c r="K878" s="8">
        <v>2799</v>
      </c>
      <c r="L878" s="3">
        <v>0.1</v>
      </c>
      <c r="M878" s="12">
        <f>K878*L878</f>
        <v>279.90000000000003</v>
      </c>
      <c r="N878" s="12">
        <f>K878*J878</f>
        <v>11196</v>
      </c>
      <c r="O878" s="12">
        <f>N878-M878</f>
        <v>10916.1</v>
      </c>
      <c r="P878" s="2" t="s">
        <v>17</v>
      </c>
      <c r="Q878" s="2" t="s">
        <v>18</v>
      </c>
      <c r="R878" s="2">
        <v>0</v>
      </c>
      <c r="S878" s="20">
        <f>Table1[[#This Row],[Net_revenue]]/Table1[[#This Row],[Gross_revenue]]*100%</f>
        <v>0.97499999999999998</v>
      </c>
      <c r="T878" s="18">
        <f>COUNTIFS(Table1[Customer ID], "&gt;1", Table1[Customer ID], 1)</f>
        <v>0</v>
      </c>
    </row>
    <row r="879" spans="1:20" hidden="1" x14ac:dyDescent="0.3">
      <c r="A879" s="2" t="s">
        <v>1444</v>
      </c>
      <c r="B879" s="5">
        <v>45755</v>
      </c>
      <c r="C879" s="5" t="str">
        <f>TEXT(B879,"mmm")</f>
        <v>Apr</v>
      </c>
      <c r="D879" s="2" t="s">
        <v>1445</v>
      </c>
      <c r="E879" s="2" t="s">
        <v>75</v>
      </c>
      <c r="F879" s="2" t="str" cm="1">
        <f t="array" ref="F8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879" s="2" t="str" cm="1">
        <f t="array" ref="G8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79" s="2" t="s">
        <v>41</v>
      </c>
      <c r="I879" s="2" t="s">
        <v>16</v>
      </c>
      <c r="J879" s="2">
        <v>1</v>
      </c>
      <c r="K879" s="8">
        <v>2299</v>
      </c>
      <c r="L879" s="3">
        <v>0.1</v>
      </c>
      <c r="M879" s="12">
        <f>K879*L879</f>
        <v>229.9</v>
      </c>
      <c r="N879" s="12">
        <f>K879*J879</f>
        <v>2299</v>
      </c>
      <c r="O879" s="12">
        <f>N879-M879</f>
        <v>2069.1</v>
      </c>
      <c r="P879" s="2" t="s">
        <v>45</v>
      </c>
      <c r="Q879" s="2" t="s">
        <v>18</v>
      </c>
      <c r="R879" s="2">
        <v>80</v>
      </c>
      <c r="S879" s="20">
        <f>Table1[[#This Row],[Net_revenue]]/Table1[[#This Row],[Gross_revenue]]*100%</f>
        <v>0.89999999999999991</v>
      </c>
      <c r="T879" s="18">
        <f>COUNTIFS(Table1[Customer ID], "&gt;1", Table1[Customer ID], 1)</f>
        <v>0</v>
      </c>
    </row>
    <row r="880" spans="1:20" hidden="1" x14ac:dyDescent="0.3">
      <c r="A880" s="2" t="s">
        <v>1446</v>
      </c>
      <c r="B880" s="5">
        <v>45768</v>
      </c>
      <c r="C880" s="5" t="str">
        <f>TEXT(B880,"mmm")</f>
        <v>Apr</v>
      </c>
      <c r="D880" s="2" t="s">
        <v>1132</v>
      </c>
      <c r="E880" s="2" t="s">
        <v>195</v>
      </c>
      <c r="F880" s="2" t="str" cm="1">
        <f t="array" ref="F8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880" s="2" t="str" cm="1">
        <f t="array" ref="G8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80" s="2" t="s">
        <v>41</v>
      </c>
      <c r="I880" s="2" t="s">
        <v>16</v>
      </c>
      <c r="J880" s="2">
        <v>3</v>
      </c>
      <c r="K880" s="8">
        <v>2299</v>
      </c>
      <c r="L880" s="3">
        <v>0.05</v>
      </c>
      <c r="M880" s="12">
        <f>K880*L880</f>
        <v>114.95</v>
      </c>
      <c r="N880" s="12">
        <f>K880*J880</f>
        <v>6897</v>
      </c>
      <c r="O880" s="12">
        <f>N880-M880</f>
        <v>6782.05</v>
      </c>
      <c r="P880" s="2" t="s">
        <v>17</v>
      </c>
      <c r="Q880" s="2" t="s">
        <v>18</v>
      </c>
      <c r="R880" s="2">
        <v>60</v>
      </c>
      <c r="S880" s="20">
        <f>Table1[[#This Row],[Net_revenue]]/Table1[[#This Row],[Gross_revenue]]*100%</f>
        <v>0.98333333333333339</v>
      </c>
      <c r="T880" s="18">
        <f>COUNTIFS(Table1[Customer ID], "&gt;1", Table1[Customer ID], 1)</f>
        <v>0</v>
      </c>
    </row>
    <row r="881" spans="1:20" hidden="1" x14ac:dyDescent="0.3">
      <c r="A881" s="2" t="s">
        <v>1447</v>
      </c>
      <c r="B881" s="5">
        <v>45719</v>
      </c>
      <c r="C881" s="5" t="str">
        <f>TEXT(B881,"mmm")</f>
        <v>Mar</v>
      </c>
      <c r="D881" s="2" t="s">
        <v>109</v>
      </c>
      <c r="E881" s="2" t="s">
        <v>56</v>
      </c>
      <c r="F881" s="2" t="str" cm="1">
        <f t="array" ref="F8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881" s="2" t="str" cm="1">
        <f t="array" ref="G8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81" s="2" t="s">
        <v>22</v>
      </c>
      <c r="I881" s="2" t="s">
        <v>23</v>
      </c>
      <c r="J881" s="2">
        <v>1</v>
      </c>
      <c r="K881" s="8">
        <v>3999</v>
      </c>
      <c r="L881" s="3">
        <v>0</v>
      </c>
      <c r="M881" s="12">
        <f>K881*L881</f>
        <v>0</v>
      </c>
      <c r="N881" s="12">
        <f>K881*J881</f>
        <v>3999</v>
      </c>
      <c r="O881" s="12">
        <f>N881-M881</f>
        <v>3999</v>
      </c>
      <c r="P881" s="2" t="s">
        <v>45</v>
      </c>
      <c r="Q881" s="2" t="s">
        <v>18</v>
      </c>
      <c r="R881" s="2">
        <v>40</v>
      </c>
      <c r="S881" s="20">
        <f>Table1[[#This Row],[Net_revenue]]/Table1[[#This Row],[Gross_revenue]]*100%</f>
        <v>1</v>
      </c>
      <c r="T881" s="18">
        <f>COUNTIFS(Table1[Customer ID], "&gt;1", Table1[Customer ID], 1)</f>
        <v>0</v>
      </c>
    </row>
    <row r="882" spans="1:20" hidden="1" x14ac:dyDescent="0.3">
      <c r="A882" s="2" t="s">
        <v>1448</v>
      </c>
      <c r="B882" s="5">
        <v>45972</v>
      </c>
      <c r="C882" s="5" t="str">
        <f>TEXT(B882,"mmm")</f>
        <v>Nov</v>
      </c>
      <c r="D882" s="2" t="s">
        <v>1449</v>
      </c>
      <c r="E882" s="2" t="s">
        <v>48</v>
      </c>
      <c r="F882" s="2" t="str" cm="1">
        <f t="array" ref="F8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82" s="2" t="str" cm="1">
        <f t="array" ref="G8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82" s="2" t="s">
        <v>188</v>
      </c>
      <c r="I882" s="2" t="s">
        <v>95</v>
      </c>
      <c r="J882" s="2">
        <v>1</v>
      </c>
      <c r="K882" s="8">
        <v>699</v>
      </c>
      <c r="L882" s="3">
        <v>0.2</v>
      </c>
      <c r="M882" s="12">
        <f>K882*L882</f>
        <v>139.80000000000001</v>
      </c>
      <c r="N882" s="12">
        <f>K882*J882</f>
        <v>699</v>
      </c>
      <c r="O882" s="12">
        <f>N882-M882</f>
        <v>559.20000000000005</v>
      </c>
      <c r="P882" s="2" t="s">
        <v>45</v>
      </c>
      <c r="Q882" s="2" t="s">
        <v>18</v>
      </c>
      <c r="R882" s="2">
        <v>40</v>
      </c>
      <c r="S882" s="20">
        <f>Table1[[#This Row],[Net_revenue]]/Table1[[#This Row],[Gross_revenue]]*100%</f>
        <v>0.8</v>
      </c>
      <c r="T882" s="18">
        <f>COUNTIFS(Table1[Customer ID], "&gt;1", Table1[Customer ID], 1)</f>
        <v>0</v>
      </c>
    </row>
    <row r="883" spans="1:20" hidden="1" x14ac:dyDescent="0.3">
      <c r="A883" s="2" t="s">
        <v>1450</v>
      </c>
      <c r="B883" s="5">
        <v>45941</v>
      </c>
      <c r="C883" s="5" t="str">
        <f>TEXT(B883,"mmm")</f>
        <v>Oct</v>
      </c>
      <c r="D883" s="2" t="s">
        <v>1413</v>
      </c>
      <c r="E883" s="2" t="s">
        <v>21</v>
      </c>
      <c r="F883" s="2" t="str" cm="1">
        <f t="array" ref="F8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83" s="2" t="str" cm="1">
        <f t="array" ref="G8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83" s="2" t="s">
        <v>49</v>
      </c>
      <c r="I883" s="2" t="s">
        <v>23</v>
      </c>
      <c r="J883" s="2">
        <v>2</v>
      </c>
      <c r="K883" s="8">
        <v>1299</v>
      </c>
      <c r="L883" s="3">
        <v>0.25</v>
      </c>
      <c r="M883" s="12">
        <f>K883*L883</f>
        <v>324.75</v>
      </c>
      <c r="N883" s="12">
        <f>K883*J883</f>
        <v>2598</v>
      </c>
      <c r="O883" s="12">
        <f>N883-M883</f>
        <v>2273.25</v>
      </c>
      <c r="P883" s="2" t="s">
        <v>24</v>
      </c>
      <c r="Q883" s="2" t="s">
        <v>18</v>
      </c>
      <c r="R883" s="2">
        <v>40</v>
      </c>
      <c r="S883" s="20">
        <f>Table1[[#This Row],[Net_revenue]]/Table1[[#This Row],[Gross_revenue]]*100%</f>
        <v>0.875</v>
      </c>
      <c r="T883" s="18">
        <f>COUNTIFS(Table1[Customer ID], "&gt;1", Table1[Customer ID], 1)</f>
        <v>0</v>
      </c>
    </row>
    <row r="884" spans="1:20" hidden="1" x14ac:dyDescent="0.3">
      <c r="A884" s="2" t="s">
        <v>1451</v>
      </c>
      <c r="B884" s="5">
        <v>45823</v>
      </c>
      <c r="C884" s="5" t="str">
        <f>TEXT(B884,"mmm")</f>
        <v>Jun</v>
      </c>
      <c r="D884" s="2" t="s">
        <v>1452</v>
      </c>
      <c r="E884" s="2" t="s">
        <v>14</v>
      </c>
      <c r="F884" s="2" t="str" cm="1">
        <f t="array" ref="F8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84" s="2" t="str" cm="1">
        <f t="array" ref="G8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84" s="2" t="s">
        <v>183</v>
      </c>
      <c r="I884" s="2" t="s">
        <v>37</v>
      </c>
      <c r="J884" s="2">
        <v>1</v>
      </c>
      <c r="K884" s="8">
        <v>499</v>
      </c>
      <c r="L884" s="3">
        <v>0</v>
      </c>
      <c r="M884" s="12">
        <f>K884*L884</f>
        <v>0</v>
      </c>
      <c r="N884" s="12">
        <f>K884*J884</f>
        <v>499</v>
      </c>
      <c r="O884" s="12">
        <f>N884-M884</f>
        <v>499</v>
      </c>
      <c r="P884" s="2" t="s">
        <v>45</v>
      </c>
      <c r="Q884" s="2" t="s">
        <v>18</v>
      </c>
      <c r="R884" s="2">
        <v>0</v>
      </c>
      <c r="S884" s="20">
        <f>Table1[[#This Row],[Net_revenue]]/Table1[[#This Row],[Gross_revenue]]*100%</f>
        <v>1</v>
      </c>
      <c r="T884" s="18">
        <f>COUNTIFS(Table1[Customer ID], "&gt;1", Table1[Customer ID], 1)</f>
        <v>0</v>
      </c>
    </row>
    <row r="885" spans="1:20" hidden="1" x14ac:dyDescent="0.3">
      <c r="A885" s="2" t="s">
        <v>1453</v>
      </c>
      <c r="B885" s="5">
        <v>45957</v>
      </c>
      <c r="C885" s="5" t="str">
        <f>TEXT(B885,"mmm")</f>
        <v>Oct</v>
      </c>
      <c r="D885" s="2" t="s">
        <v>241</v>
      </c>
      <c r="E885" s="2" t="s">
        <v>14</v>
      </c>
      <c r="F885" s="2" t="str" cm="1">
        <f t="array" ref="F8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85" s="2" t="str" cm="1">
        <f t="array" ref="G8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85" s="2" t="s">
        <v>41</v>
      </c>
      <c r="I885" s="2" t="s">
        <v>16</v>
      </c>
      <c r="J885" s="2">
        <v>2</v>
      </c>
      <c r="K885" s="8">
        <v>2299</v>
      </c>
      <c r="L885" s="3">
        <v>0.1</v>
      </c>
      <c r="M885" s="12">
        <f>K885*L885</f>
        <v>229.9</v>
      </c>
      <c r="N885" s="12">
        <f>K885*J885</f>
        <v>4598</v>
      </c>
      <c r="O885" s="12">
        <f>N885-M885</f>
        <v>4368.1000000000004</v>
      </c>
      <c r="P885" s="2" t="s">
        <v>30</v>
      </c>
      <c r="Q885" s="2" t="s">
        <v>50</v>
      </c>
      <c r="R885" s="2">
        <v>0</v>
      </c>
      <c r="S885" s="20">
        <f>Table1[[#This Row],[Net_revenue]]/Table1[[#This Row],[Gross_revenue]]*100%</f>
        <v>0.95000000000000007</v>
      </c>
      <c r="T885" s="18">
        <f>COUNTIFS(Table1[Customer ID], "&gt;1", Table1[Customer ID], 1)</f>
        <v>0</v>
      </c>
    </row>
    <row r="886" spans="1:20" hidden="1" x14ac:dyDescent="0.3">
      <c r="A886" s="2" t="s">
        <v>1454</v>
      </c>
      <c r="B886" s="5">
        <v>45801</v>
      </c>
      <c r="C886" s="5" t="str">
        <f>TEXT(B886,"mmm")</f>
        <v>May</v>
      </c>
      <c r="D886" s="2" t="s">
        <v>775</v>
      </c>
      <c r="E886" s="2" t="s">
        <v>40</v>
      </c>
      <c r="F886" s="2" t="str" cm="1">
        <f t="array" ref="F8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86" s="2" t="str" cm="1">
        <f t="array" ref="G8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86" s="2" t="s">
        <v>121</v>
      </c>
      <c r="I886" s="2" t="s">
        <v>95</v>
      </c>
      <c r="J886" s="2">
        <v>1</v>
      </c>
      <c r="K886" s="8">
        <v>1299</v>
      </c>
      <c r="L886" s="3">
        <v>0</v>
      </c>
      <c r="M886" s="12">
        <f>K886*L886</f>
        <v>0</v>
      </c>
      <c r="N886" s="12">
        <f>K886*J886</f>
        <v>1299</v>
      </c>
      <c r="O886" s="12">
        <f>N886-M886</f>
        <v>1299</v>
      </c>
      <c r="P886" s="2" t="s">
        <v>30</v>
      </c>
      <c r="Q886" s="2" t="s">
        <v>18</v>
      </c>
      <c r="R886" s="2">
        <v>80</v>
      </c>
      <c r="S886" s="20">
        <f>Table1[[#This Row],[Net_revenue]]/Table1[[#This Row],[Gross_revenue]]*100%</f>
        <v>1</v>
      </c>
      <c r="T886" s="18">
        <f>COUNTIFS(Table1[Customer ID], "&gt;1", Table1[Customer ID], 1)</f>
        <v>0</v>
      </c>
    </row>
    <row r="887" spans="1:20" hidden="1" x14ac:dyDescent="0.3">
      <c r="A887" s="2" t="s">
        <v>1455</v>
      </c>
      <c r="B887" s="5">
        <v>45843</v>
      </c>
      <c r="C887" s="5" t="str">
        <f>TEXT(B887,"mmm")</f>
        <v>Jul</v>
      </c>
      <c r="D887" s="2" t="s">
        <v>333</v>
      </c>
      <c r="E887" s="2" t="s">
        <v>14</v>
      </c>
      <c r="F887" s="2" t="str" cm="1">
        <f t="array" ref="F8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87" s="2" t="str" cm="1">
        <f t="array" ref="G8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87" s="2" t="s">
        <v>44</v>
      </c>
      <c r="I887" s="2" t="s">
        <v>16</v>
      </c>
      <c r="J887" s="2">
        <v>2</v>
      </c>
      <c r="K887" s="8">
        <v>1599</v>
      </c>
      <c r="L887" s="3">
        <v>0.1</v>
      </c>
      <c r="M887" s="12">
        <f>K887*L887</f>
        <v>159.9</v>
      </c>
      <c r="N887" s="12">
        <f>K887*J887</f>
        <v>3198</v>
      </c>
      <c r="O887" s="12">
        <f>N887-M887</f>
        <v>3038.1</v>
      </c>
      <c r="P887" s="2" t="s">
        <v>45</v>
      </c>
      <c r="Q887" s="2" t="s">
        <v>18</v>
      </c>
      <c r="R887" s="2">
        <v>0</v>
      </c>
      <c r="S887" s="20">
        <f>Table1[[#This Row],[Net_revenue]]/Table1[[#This Row],[Gross_revenue]]*100%</f>
        <v>0.95</v>
      </c>
      <c r="T887" s="18">
        <f>COUNTIFS(Table1[Customer ID], "&gt;1", Table1[Customer ID], 1)</f>
        <v>0</v>
      </c>
    </row>
    <row r="888" spans="1:20" hidden="1" x14ac:dyDescent="0.3">
      <c r="A888" s="2" t="s">
        <v>1456</v>
      </c>
      <c r="B888" s="5">
        <v>45975</v>
      </c>
      <c r="C888" s="5" t="str">
        <f>TEXT(B888,"mmm")</f>
        <v>Nov</v>
      </c>
      <c r="D888" s="2" t="s">
        <v>1457</v>
      </c>
      <c r="E888" s="2" t="s">
        <v>27</v>
      </c>
      <c r="F888" s="2" t="str" cm="1">
        <f t="array" ref="F8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888" s="2" t="str" cm="1">
        <f t="array" ref="G8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88" s="2" t="s">
        <v>71</v>
      </c>
      <c r="I888" s="2" t="s">
        <v>29</v>
      </c>
      <c r="J888" s="2">
        <v>2</v>
      </c>
      <c r="K888" s="8">
        <v>5499</v>
      </c>
      <c r="L888" s="3">
        <v>0.1</v>
      </c>
      <c r="M888" s="12">
        <f>K888*L888</f>
        <v>549.9</v>
      </c>
      <c r="N888" s="12">
        <f>K888*J888</f>
        <v>10998</v>
      </c>
      <c r="O888" s="12">
        <f>N888-M888</f>
        <v>10448.1</v>
      </c>
      <c r="P888" s="2" t="s">
        <v>30</v>
      </c>
      <c r="Q888" s="2" t="s">
        <v>18</v>
      </c>
      <c r="R888" s="2">
        <v>60</v>
      </c>
      <c r="S888" s="20">
        <f>Table1[[#This Row],[Net_revenue]]/Table1[[#This Row],[Gross_revenue]]*100%</f>
        <v>0.95000000000000007</v>
      </c>
      <c r="T888" s="18">
        <f>COUNTIFS(Table1[Customer ID], "&gt;1", Table1[Customer ID], 1)</f>
        <v>0</v>
      </c>
    </row>
    <row r="889" spans="1:20" hidden="1" x14ac:dyDescent="0.3">
      <c r="A889" s="2" t="s">
        <v>1458</v>
      </c>
      <c r="B889" s="5">
        <v>45885</v>
      </c>
      <c r="C889" s="5" t="str">
        <f>TEXT(B889,"mmm")</f>
        <v>Aug</v>
      </c>
      <c r="D889" s="2" t="s">
        <v>1459</v>
      </c>
      <c r="E889" s="2" t="s">
        <v>195</v>
      </c>
      <c r="F889" s="2" t="str" cm="1">
        <f t="array" ref="F8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889" s="2" t="str" cm="1">
        <f t="array" ref="G8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89" s="2" t="s">
        <v>63</v>
      </c>
      <c r="I889" s="2" t="s">
        <v>23</v>
      </c>
      <c r="J889" s="2">
        <v>2</v>
      </c>
      <c r="K889" s="8">
        <v>2499</v>
      </c>
      <c r="L889" s="3">
        <v>0</v>
      </c>
      <c r="M889" s="12">
        <f>K889*L889</f>
        <v>0</v>
      </c>
      <c r="N889" s="12">
        <f>K889*J889</f>
        <v>4998</v>
      </c>
      <c r="O889" s="12">
        <f>N889-M889</f>
        <v>4998</v>
      </c>
      <c r="P889" s="2" t="s">
        <v>17</v>
      </c>
      <c r="Q889" s="2" t="s">
        <v>18</v>
      </c>
      <c r="R889" s="2">
        <v>80</v>
      </c>
      <c r="S889" s="20">
        <f>Table1[[#This Row],[Net_revenue]]/Table1[[#This Row],[Gross_revenue]]*100%</f>
        <v>1</v>
      </c>
      <c r="T889" s="18">
        <f>COUNTIFS(Table1[Customer ID], "&gt;1", Table1[Customer ID], 1)</f>
        <v>0</v>
      </c>
    </row>
    <row r="890" spans="1:20" hidden="1" x14ac:dyDescent="0.3">
      <c r="A890" s="2" t="s">
        <v>1460</v>
      </c>
      <c r="B890" s="5">
        <v>45826</v>
      </c>
      <c r="C890" s="5" t="str">
        <f>TEXT(B890,"mmm")</f>
        <v>Jun</v>
      </c>
      <c r="D890" s="2" t="s">
        <v>1036</v>
      </c>
      <c r="E890" s="2" t="s">
        <v>48</v>
      </c>
      <c r="F890" s="2" t="str" cm="1">
        <f t="array" ref="F8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90" s="2" t="str" cm="1">
        <f t="array" ref="G8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90" s="2" t="s">
        <v>183</v>
      </c>
      <c r="I890" s="2" t="s">
        <v>37</v>
      </c>
      <c r="J890" s="2">
        <v>1</v>
      </c>
      <c r="K890" s="8">
        <v>499</v>
      </c>
      <c r="L890" s="3">
        <v>0.05</v>
      </c>
      <c r="M890" s="12">
        <f>K890*L890</f>
        <v>24.950000000000003</v>
      </c>
      <c r="N890" s="12">
        <f>K890*J890</f>
        <v>499</v>
      </c>
      <c r="O890" s="12">
        <f>N890-M890</f>
        <v>474.05</v>
      </c>
      <c r="P890" s="2" t="s">
        <v>30</v>
      </c>
      <c r="Q890" s="2" t="s">
        <v>18</v>
      </c>
      <c r="R890" s="2">
        <v>0</v>
      </c>
      <c r="S890" s="20">
        <f>Table1[[#This Row],[Net_revenue]]/Table1[[#This Row],[Gross_revenue]]*100%</f>
        <v>0.95000000000000007</v>
      </c>
      <c r="T890" s="18">
        <f>COUNTIFS(Table1[Customer ID], "&gt;1", Table1[Customer ID], 1)</f>
        <v>0</v>
      </c>
    </row>
    <row r="891" spans="1:20" hidden="1" x14ac:dyDescent="0.3">
      <c r="A891" s="2" t="s">
        <v>1461</v>
      </c>
      <c r="B891" s="5">
        <v>45970</v>
      </c>
      <c r="C891" s="5" t="str">
        <f>TEXT(B891,"mmm")</f>
        <v>Nov</v>
      </c>
      <c r="D891" s="2" t="s">
        <v>1462</v>
      </c>
      <c r="E891" s="2" t="s">
        <v>120</v>
      </c>
      <c r="F891" s="2" t="str" cm="1">
        <f t="array" ref="F8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91" s="2" t="str" cm="1">
        <f t="array" ref="G8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91" s="2" t="s">
        <v>49</v>
      </c>
      <c r="I891" s="2" t="s">
        <v>23</v>
      </c>
      <c r="J891" s="2">
        <v>3</v>
      </c>
      <c r="K891" s="8">
        <v>1299</v>
      </c>
      <c r="L891" s="3">
        <v>0.2</v>
      </c>
      <c r="M891" s="12">
        <f>K891*L891</f>
        <v>259.8</v>
      </c>
      <c r="N891" s="12">
        <f>K891*J891</f>
        <v>3897</v>
      </c>
      <c r="O891" s="12">
        <f>N891-M891</f>
        <v>3637.2</v>
      </c>
      <c r="P891" s="2" t="s">
        <v>45</v>
      </c>
      <c r="Q891" s="2" t="s">
        <v>18</v>
      </c>
      <c r="R891" s="2">
        <v>80</v>
      </c>
      <c r="S891" s="20">
        <f>Table1[[#This Row],[Net_revenue]]/Table1[[#This Row],[Gross_revenue]]*100%</f>
        <v>0.93333333333333324</v>
      </c>
      <c r="T891" s="18">
        <f>COUNTIFS(Table1[Customer ID], "&gt;1", Table1[Customer ID], 1)</f>
        <v>0</v>
      </c>
    </row>
    <row r="892" spans="1:20" hidden="1" x14ac:dyDescent="0.3">
      <c r="A892" s="2" t="s">
        <v>1463</v>
      </c>
      <c r="B892" s="5">
        <v>45763</v>
      </c>
      <c r="C892" s="5" t="str">
        <f>TEXT(B892,"mmm")</f>
        <v>Apr</v>
      </c>
      <c r="D892" s="2" t="s">
        <v>1097</v>
      </c>
      <c r="E892" s="2" t="s">
        <v>48</v>
      </c>
      <c r="F892" s="2" t="str" cm="1">
        <f t="array" ref="F8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892" s="2" t="str" cm="1">
        <f t="array" ref="G8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892" s="2" t="s">
        <v>49</v>
      </c>
      <c r="I892" s="2" t="s">
        <v>23</v>
      </c>
      <c r="J892" s="2">
        <v>3</v>
      </c>
      <c r="K892" s="8">
        <v>1299</v>
      </c>
      <c r="L892" s="3">
        <v>0.25</v>
      </c>
      <c r="M892" s="12">
        <f>K892*L892</f>
        <v>324.75</v>
      </c>
      <c r="N892" s="12">
        <f>K892*J892</f>
        <v>3897</v>
      </c>
      <c r="O892" s="12">
        <f>N892-M892</f>
        <v>3572.25</v>
      </c>
      <c r="P892" s="2" t="s">
        <v>45</v>
      </c>
      <c r="Q892" s="2" t="s">
        <v>72</v>
      </c>
      <c r="R892" s="2">
        <v>0</v>
      </c>
      <c r="S892" s="20">
        <f>Table1[[#This Row],[Net_revenue]]/Table1[[#This Row],[Gross_revenue]]*100%</f>
        <v>0.91666666666666663</v>
      </c>
      <c r="T892" s="18">
        <f>COUNTIFS(Table1[Customer ID], "&gt;1", Table1[Customer ID], 1)</f>
        <v>0</v>
      </c>
    </row>
    <row r="893" spans="1:20" hidden="1" x14ac:dyDescent="0.3">
      <c r="A893" s="2" t="s">
        <v>1464</v>
      </c>
      <c r="B893" s="5">
        <v>45751</v>
      </c>
      <c r="C893" s="5" t="str">
        <f>TEXT(B893,"mmm")</f>
        <v>Apr</v>
      </c>
      <c r="D893" s="2" t="s">
        <v>1465</v>
      </c>
      <c r="E893" s="2" t="s">
        <v>21</v>
      </c>
      <c r="F893" s="2" t="str" cm="1">
        <f t="array" ref="F8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93" s="2" t="str" cm="1">
        <f t="array" ref="G8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93" s="2" t="s">
        <v>65</v>
      </c>
      <c r="I893" s="2" t="s">
        <v>23</v>
      </c>
      <c r="J893" s="2">
        <v>1</v>
      </c>
      <c r="K893" s="8">
        <v>1899</v>
      </c>
      <c r="L893" s="3">
        <v>0.1</v>
      </c>
      <c r="M893" s="12">
        <f>K893*L893</f>
        <v>189.9</v>
      </c>
      <c r="N893" s="12">
        <f>K893*J893</f>
        <v>1899</v>
      </c>
      <c r="O893" s="12">
        <f>N893-M893</f>
        <v>1709.1</v>
      </c>
      <c r="P893" s="2" t="s">
        <v>17</v>
      </c>
      <c r="Q893" s="2" t="s">
        <v>18</v>
      </c>
      <c r="R893" s="2">
        <v>60</v>
      </c>
      <c r="S893" s="20">
        <f>Table1[[#This Row],[Net_revenue]]/Table1[[#This Row],[Gross_revenue]]*100%</f>
        <v>0.89999999999999991</v>
      </c>
      <c r="T893" s="18">
        <f>COUNTIFS(Table1[Customer ID], "&gt;1", Table1[Customer ID], 1)</f>
        <v>0</v>
      </c>
    </row>
    <row r="894" spans="1:20" hidden="1" x14ac:dyDescent="0.3">
      <c r="A894" s="2" t="s">
        <v>1466</v>
      </c>
      <c r="B894" s="5">
        <v>45894</v>
      </c>
      <c r="C894" s="5" t="str">
        <f>TEXT(B894,"mmm")</f>
        <v>Aug</v>
      </c>
      <c r="D894" s="2" t="s">
        <v>1467</v>
      </c>
      <c r="E894" s="2" t="s">
        <v>14</v>
      </c>
      <c r="F894" s="2" t="str" cm="1">
        <f t="array" ref="F8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94" s="2" t="str" cm="1">
        <f t="array" ref="G8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94" s="2" t="s">
        <v>36</v>
      </c>
      <c r="I894" s="2" t="s">
        <v>37</v>
      </c>
      <c r="J894" s="2">
        <v>1</v>
      </c>
      <c r="K894" s="8">
        <v>349</v>
      </c>
      <c r="L894" s="3">
        <v>0.2</v>
      </c>
      <c r="M894" s="12">
        <f>K894*L894</f>
        <v>69.8</v>
      </c>
      <c r="N894" s="12">
        <f>K894*J894</f>
        <v>349</v>
      </c>
      <c r="O894" s="12">
        <f>N894-M894</f>
        <v>279.2</v>
      </c>
      <c r="P894" s="2" t="s">
        <v>17</v>
      </c>
      <c r="Q894" s="2" t="s">
        <v>18</v>
      </c>
      <c r="R894" s="2">
        <v>40</v>
      </c>
      <c r="S894" s="20">
        <f>Table1[[#This Row],[Net_revenue]]/Table1[[#This Row],[Gross_revenue]]*100%</f>
        <v>0.79999999999999993</v>
      </c>
      <c r="T894" s="18">
        <f>COUNTIFS(Table1[Customer ID], "&gt;1", Table1[Customer ID], 1)</f>
        <v>0</v>
      </c>
    </row>
    <row r="895" spans="1:20" hidden="1" x14ac:dyDescent="0.3">
      <c r="A895" s="2" t="s">
        <v>1468</v>
      </c>
      <c r="B895" s="5">
        <v>45753</v>
      </c>
      <c r="C895" s="5" t="str">
        <f>TEXT(B895,"mmm")</f>
        <v>Apr</v>
      </c>
      <c r="D895" s="2" t="s">
        <v>1262</v>
      </c>
      <c r="E895" s="2" t="s">
        <v>40</v>
      </c>
      <c r="F895" s="2" t="str" cm="1">
        <f t="array" ref="F8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895" s="2" t="str" cm="1">
        <f t="array" ref="G8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895" s="2" t="s">
        <v>36</v>
      </c>
      <c r="I895" s="2" t="s">
        <v>37</v>
      </c>
      <c r="J895" s="2">
        <v>1</v>
      </c>
      <c r="K895" s="8">
        <v>349</v>
      </c>
      <c r="L895" s="3">
        <v>0.15</v>
      </c>
      <c r="M895" s="12">
        <f>K895*L895</f>
        <v>52.35</v>
      </c>
      <c r="N895" s="12">
        <f>K895*J895</f>
        <v>349</v>
      </c>
      <c r="O895" s="12">
        <f>N895-M895</f>
        <v>296.64999999999998</v>
      </c>
      <c r="P895" s="2" t="s">
        <v>30</v>
      </c>
      <c r="Q895" s="2" t="s">
        <v>18</v>
      </c>
      <c r="R895" s="2">
        <v>80</v>
      </c>
      <c r="S895" s="20">
        <f>Table1[[#This Row],[Net_revenue]]/Table1[[#This Row],[Gross_revenue]]*100%</f>
        <v>0.85</v>
      </c>
      <c r="T895" s="18">
        <f>COUNTIFS(Table1[Customer ID], "&gt;1", Table1[Customer ID], 1)</f>
        <v>0</v>
      </c>
    </row>
    <row r="896" spans="1:20" hidden="1" x14ac:dyDescent="0.3">
      <c r="A896" s="2" t="s">
        <v>1469</v>
      </c>
      <c r="B896" s="5">
        <v>45715</v>
      </c>
      <c r="C896" s="5" t="str">
        <f>TEXT(B896,"mmm")</f>
        <v>Feb</v>
      </c>
      <c r="D896" s="2" t="s">
        <v>282</v>
      </c>
      <c r="E896" s="2" t="s">
        <v>21</v>
      </c>
      <c r="F896" s="2" t="str" cm="1">
        <f t="array" ref="F8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96" s="2" t="str" cm="1">
        <f t="array" ref="G8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96" s="2" t="s">
        <v>68</v>
      </c>
      <c r="I896" s="2" t="s">
        <v>16</v>
      </c>
      <c r="J896" s="2">
        <v>1</v>
      </c>
      <c r="K896" s="8">
        <v>599</v>
      </c>
      <c r="L896" s="3">
        <v>0</v>
      </c>
      <c r="M896" s="12">
        <f>K896*L896</f>
        <v>0</v>
      </c>
      <c r="N896" s="12">
        <f>K896*J896</f>
        <v>599</v>
      </c>
      <c r="O896" s="12">
        <f>N896-M896</f>
        <v>599</v>
      </c>
      <c r="P896" s="2" t="s">
        <v>45</v>
      </c>
      <c r="Q896" s="2" t="s">
        <v>18</v>
      </c>
      <c r="R896" s="2">
        <v>60</v>
      </c>
      <c r="S896" s="20">
        <f>Table1[[#This Row],[Net_revenue]]/Table1[[#This Row],[Gross_revenue]]*100%</f>
        <v>1</v>
      </c>
      <c r="T896" s="18">
        <f>COUNTIFS(Table1[Customer ID], "&gt;1", Table1[Customer ID], 1)</f>
        <v>0</v>
      </c>
    </row>
    <row r="897" spans="1:20" x14ac:dyDescent="0.3">
      <c r="A897" s="2" t="s">
        <v>1470</v>
      </c>
      <c r="B897" s="5">
        <v>45822</v>
      </c>
      <c r="C897" s="5" t="str">
        <f>TEXT(B897,"mmm")</f>
        <v>Jun</v>
      </c>
      <c r="D897" s="2" t="s">
        <v>1148</v>
      </c>
      <c r="E897" s="2"/>
      <c r="F897" s="2" t="str" cm="1">
        <f t="array" ref="F8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897" s="2" t="str" cm="1">
        <f t="array" ref="G8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897" s="2" t="s">
        <v>44</v>
      </c>
      <c r="I897" s="2" t="s">
        <v>16</v>
      </c>
      <c r="J897" s="2">
        <v>1</v>
      </c>
      <c r="K897" s="8">
        <v>1599</v>
      </c>
      <c r="L897" s="3">
        <v>0</v>
      </c>
      <c r="M897" s="12">
        <f>K897*L897</f>
        <v>0</v>
      </c>
      <c r="N897" s="12">
        <f>K897*J897</f>
        <v>1599</v>
      </c>
      <c r="O897" s="12">
        <f>N897-M897</f>
        <v>1599</v>
      </c>
      <c r="P897" s="2" t="s">
        <v>30</v>
      </c>
      <c r="Q897" s="2" t="s">
        <v>18</v>
      </c>
      <c r="R897" s="2">
        <v>60</v>
      </c>
      <c r="S897" s="20">
        <f>Table1[[#This Row],[Net_revenue]]/Table1[[#This Row],[Gross_revenue]]*100%</f>
        <v>1</v>
      </c>
      <c r="T897" s="18">
        <f>COUNTIFS(Table1[Customer ID], "&gt;1", Table1[Customer ID], 1)</f>
        <v>0</v>
      </c>
    </row>
    <row r="898" spans="1:20" hidden="1" x14ac:dyDescent="0.3">
      <c r="A898" s="2" t="s">
        <v>1471</v>
      </c>
      <c r="B898" s="5">
        <v>45845</v>
      </c>
      <c r="C898" s="5" t="str">
        <f>TEXT(B898,"mmm")</f>
        <v>Jul</v>
      </c>
      <c r="D898" s="2" t="s">
        <v>144</v>
      </c>
      <c r="E898" s="2" t="s">
        <v>14</v>
      </c>
      <c r="F898" s="2" t="str" cm="1">
        <f t="array" ref="F8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898" s="2" t="str" cm="1">
        <f t="array" ref="G8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898" s="2" t="s">
        <v>68</v>
      </c>
      <c r="I898" s="2" t="s">
        <v>16</v>
      </c>
      <c r="J898" s="2">
        <v>1</v>
      </c>
      <c r="K898" s="8">
        <v>599</v>
      </c>
      <c r="L898" s="3">
        <v>0.1</v>
      </c>
      <c r="M898" s="12">
        <f>K898*L898</f>
        <v>59.900000000000006</v>
      </c>
      <c r="N898" s="12">
        <f>K898*J898</f>
        <v>599</v>
      </c>
      <c r="O898" s="12">
        <f>N898-M898</f>
        <v>539.1</v>
      </c>
      <c r="P898" s="2" t="s">
        <v>17</v>
      </c>
      <c r="Q898" s="2" t="s">
        <v>18</v>
      </c>
      <c r="R898" s="2">
        <v>80</v>
      </c>
      <c r="S898" s="20">
        <f>Table1[[#This Row],[Net_revenue]]/Table1[[#This Row],[Gross_revenue]]*100%</f>
        <v>0.9</v>
      </c>
      <c r="T898" s="18">
        <f>COUNTIFS(Table1[Customer ID], "&gt;1", Table1[Customer ID], 1)</f>
        <v>0</v>
      </c>
    </row>
    <row r="899" spans="1:20" hidden="1" x14ac:dyDescent="0.3">
      <c r="A899" s="2" t="s">
        <v>1472</v>
      </c>
      <c r="B899" s="5">
        <v>45746</v>
      </c>
      <c r="C899" s="5" t="str">
        <f>TEXT(B899,"mmm")</f>
        <v>Mar</v>
      </c>
      <c r="D899" s="2" t="s">
        <v>1473</v>
      </c>
      <c r="E899" s="2" t="s">
        <v>21</v>
      </c>
      <c r="F899" s="2" t="str" cm="1">
        <f t="array" ref="F8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899" s="2" t="str" cm="1">
        <f t="array" ref="G8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899" s="2" t="s">
        <v>134</v>
      </c>
      <c r="I899" s="2" t="s">
        <v>29</v>
      </c>
      <c r="J899" s="2">
        <v>1</v>
      </c>
      <c r="K899" s="8">
        <v>1499</v>
      </c>
      <c r="L899" s="3">
        <v>0</v>
      </c>
      <c r="M899" s="12">
        <f>K899*L899</f>
        <v>0</v>
      </c>
      <c r="N899" s="12">
        <f>K899*J899</f>
        <v>1499</v>
      </c>
      <c r="O899" s="12">
        <f>N899-M899</f>
        <v>1499</v>
      </c>
      <c r="P899" s="2" t="s">
        <v>45</v>
      </c>
      <c r="Q899" s="2" t="s">
        <v>18</v>
      </c>
      <c r="R899" s="2">
        <v>80</v>
      </c>
      <c r="S899" s="20">
        <f>Table1[[#This Row],[Net_revenue]]/Table1[[#This Row],[Gross_revenue]]*100%</f>
        <v>1</v>
      </c>
      <c r="T899" s="18">
        <f>COUNTIFS(Table1[Customer ID], "&gt;1", Table1[Customer ID], 1)</f>
        <v>0</v>
      </c>
    </row>
    <row r="900" spans="1:20" hidden="1" x14ac:dyDescent="0.3">
      <c r="A900" s="2" t="s">
        <v>1474</v>
      </c>
      <c r="B900" s="5">
        <v>45974</v>
      </c>
      <c r="C900" s="5" t="str">
        <f>TEXT(B900,"mmm")</f>
        <v>Nov</v>
      </c>
      <c r="D900" s="2" t="s">
        <v>821</v>
      </c>
      <c r="E900" s="2" t="s">
        <v>120</v>
      </c>
      <c r="F900" s="2" t="str" cm="1">
        <f t="array" ref="F9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00" s="2" t="str" cm="1">
        <f t="array" ref="G9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00" s="2" t="s">
        <v>36</v>
      </c>
      <c r="I900" s="2" t="s">
        <v>37</v>
      </c>
      <c r="J900" s="2">
        <v>4</v>
      </c>
      <c r="K900" s="8">
        <v>349</v>
      </c>
      <c r="L900" s="3">
        <v>0.1</v>
      </c>
      <c r="M900" s="12">
        <f>K900*L900</f>
        <v>34.9</v>
      </c>
      <c r="N900" s="12">
        <f>K900*J900</f>
        <v>1396</v>
      </c>
      <c r="O900" s="12">
        <f>N900-M900</f>
        <v>1361.1</v>
      </c>
      <c r="P900" s="2" t="s">
        <v>24</v>
      </c>
      <c r="Q900" s="2" t="s">
        <v>18</v>
      </c>
      <c r="R900" s="2">
        <v>0</v>
      </c>
      <c r="S900" s="20">
        <f>Table1[[#This Row],[Net_revenue]]/Table1[[#This Row],[Gross_revenue]]*100%</f>
        <v>0.97499999999999998</v>
      </c>
      <c r="T900" s="18">
        <f>COUNTIFS(Table1[Customer ID], "&gt;1", Table1[Customer ID], 1)</f>
        <v>0</v>
      </c>
    </row>
    <row r="901" spans="1:20" hidden="1" x14ac:dyDescent="0.3">
      <c r="A901" s="2" t="s">
        <v>1475</v>
      </c>
      <c r="B901" s="5">
        <v>45769</v>
      </c>
      <c r="C901" s="5" t="str">
        <f>TEXT(B901,"mmm")</f>
        <v>Apr</v>
      </c>
      <c r="D901" s="2" t="s">
        <v>465</v>
      </c>
      <c r="E901" s="2" t="s">
        <v>56</v>
      </c>
      <c r="F901" s="2" t="str" cm="1">
        <f t="array" ref="F9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01" s="2" t="str" cm="1">
        <f t="array" ref="G9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01" s="2" t="s">
        <v>80</v>
      </c>
      <c r="I901" s="2" t="s">
        <v>23</v>
      </c>
      <c r="J901" s="2">
        <v>3</v>
      </c>
      <c r="K901" s="8">
        <v>799</v>
      </c>
      <c r="L901" s="3">
        <v>0.2</v>
      </c>
      <c r="M901" s="12">
        <f>K901*L901</f>
        <v>159.80000000000001</v>
      </c>
      <c r="N901" s="12">
        <f>K901*J901</f>
        <v>2397</v>
      </c>
      <c r="O901" s="12">
        <f>N901-M901</f>
        <v>2237.1999999999998</v>
      </c>
      <c r="P901" s="2" t="s">
        <v>45</v>
      </c>
      <c r="Q901" s="2" t="s">
        <v>18</v>
      </c>
      <c r="R901" s="2">
        <v>60</v>
      </c>
      <c r="S901" s="20">
        <f>Table1[[#This Row],[Net_revenue]]/Table1[[#This Row],[Gross_revenue]]*100%</f>
        <v>0.93333333333333324</v>
      </c>
      <c r="T901" s="18">
        <f>COUNTIFS(Table1[Customer ID], "&gt;1", Table1[Customer ID], 1)</f>
        <v>0</v>
      </c>
    </row>
    <row r="902" spans="1:20" hidden="1" x14ac:dyDescent="0.3">
      <c r="A902" s="2" t="s">
        <v>1476</v>
      </c>
      <c r="B902" s="5">
        <v>45815</v>
      </c>
      <c r="C902" s="5" t="str">
        <f>TEXT(B902,"mmm")</f>
        <v>Jun</v>
      </c>
      <c r="D902" s="2" t="s">
        <v>884</v>
      </c>
      <c r="E902" s="2" t="s">
        <v>40</v>
      </c>
      <c r="F902" s="2" t="str" cm="1">
        <f t="array" ref="F9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02" s="2" t="str" cm="1">
        <f t="array" ref="G9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02" s="2" t="s">
        <v>49</v>
      </c>
      <c r="I902" s="2" t="s">
        <v>23</v>
      </c>
      <c r="J902" s="2">
        <v>1</v>
      </c>
      <c r="K902" s="8">
        <v>1299</v>
      </c>
      <c r="L902" s="3">
        <v>0</v>
      </c>
      <c r="M902" s="12">
        <f>K902*L902</f>
        <v>0</v>
      </c>
      <c r="N902" s="12">
        <f>K902*J902</f>
        <v>1299</v>
      </c>
      <c r="O902" s="12">
        <f>N902-M902</f>
        <v>1299</v>
      </c>
      <c r="P902" s="2" t="s">
        <v>45</v>
      </c>
      <c r="Q902" s="2" t="s">
        <v>18</v>
      </c>
      <c r="R902" s="2">
        <v>40</v>
      </c>
      <c r="S902" s="20">
        <f>Table1[[#This Row],[Net_revenue]]/Table1[[#This Row],[Gross_revenue]]*100%</f>
        <v>1</v>
      </c>
      <c r="T902" s="18">
        <f>COUNTIFS(Table1[Customer ID], "&gt;1", Table1[Customer ID], 1)</f>
        <v>0</v>
      </c>
    </row>
    <row r="903" spans="1:20" hidden="1" x14ac:dyDescent="0.3">
      <c r="A903" s="2" t="s">
        <v>1477</v>
      </c>
      <c r="B903" s="5">
        <v>45679</v>
      </c>
      <c r="C903" s="5" t="str">
        <f>TEXT(B903,"mmm")</f>
        <v>Jan</v>
      </c>
      <c r="D903" s="2" t="s">
        <v>1275</v>
      </c>
      <c r="E903" s="2" t="s">
        <v>40</v>
      </c>
      <c r="F903" s="2" t="str" cm="1">
        <f t="array" ref="F9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03" s="2" t="str" cm="1">
        <f t="array" ref="G9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03" s="2" t="s">
        <v>15</v>
      </c>
      <c r="I903" s="2" t="s">
        <v>16</v>
      </c>
      <c r="J903" s="2">
        <v>1</v>
      </c>
      <c r="K903" s="8">
        <v>1799</v>
      </c>
      <c r="L903" s="3">
        <v>0.2</v>
      </c>
      <c r="M903" s="12">
        <f>K903*L903</f>
        <v>359.8</v>
      </c>
      <c r="N903" s="12">
        <f>K903*J903</f>
        <v>1799</v>
      </c>
      <c r="O903" s="12">
        <f>N903-M903</f>
        <v>1439.2</v>
      </c>
      <c r="P903" s="2" t="s">
        <v>45</v>
      </c>
      <c r="Q903" s="2" t="s">
        <v>18</v>
      </c>
      <c r="R903" s="2">
        <v>40</v>
      </c>
      <c r="S903" s="20">
        <f>Table1[[#This Row],[Net_revenue]]/Table1[[#This Row],[Gross_revenue]]*100%</f>
        <v>0.8</v>
      </c>
      <c r="T903" s="18">
        <f>COUNTIFS(Table1[Customer ID], "&gt;1", Table1[Customer ID], 1)</f>
        <v>0</v>
      </c>
    </row>
    <row r="904" spans="1:20" hidden="1" x14ac:dyDescent="0.3">
      <c r="A904" s="2" t="s">
        <v>1478</v>
      </c>
      <c r="B904" s="5">
        <v>45713</v>
      </c>
      <c r="C904" s="5" t="str">
        <f>TEXT(B904,"mmm")</f>
        <v>Feb</v>
      </c>
      <c r="D904" s="2" t="s">
        <v>1479</v>
      </c>
      <c r="E904" s="2" t="s">
        <v>75</v>
      </c>
      <c r="F904" s="2" t="str" cm="1">
        <f t="array" ref="F9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904" s="2" t="str" cm="1">
        <f t="array" ref="G9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04" s="2" t="s">
        <v>217</v>
      </c>
      <c r="I904" s="2" t="s">
        <v>29</v>
      </c>
      <c r="J904" s="2">
        <v>1</v>
      </c>
      <c r="K904" s="8">
        <v>3299</v>
      </c>
      <c r="L904" s="3">
        <v>0.05</v>
      </c>
      <c r="M904" s="12">
        <f>K904*L904</f>
        <v>164.95000000000002</v>
      </c>
      <c r="N904" s="12">
        <f>K904*J904</f>
        <v>3299</v>
      </c>
      <c r="O904" s="12">
        <f>N904-M904</f>
        <v>3134.05</v>
      </c>
      <c r="P904" s="2" t="s">
        <v>30</v>
      </c>
      <c r="Q904" s="2" t="s">
        <v>18</v>
      </c>
      <c r="R904" s="2">
        <v>60</v>
      </c>
      <c r="S904" s="20">
        <f>Table1[[#This Row],[Net_revenue]]/Table1[[#This Row],[Gross_revenue]]*100%</f>
        <v>0.95000000000000007</v>
      </c>
      <c r="T904" s="18">
        <f>COUNTIFS(Table1[Customer ID], "&gt;1", Table1[Customer ID], 1)</f>
        <v>0</v>
      </c>
    </row>
    <row r="905" spans="1:20" hidden="1" x14ac:dyDescent="0.3">
      <c r="A905" s="2" t="s">
        <v>1480</v>
      </c>
      <c r="B905" s="5">
        <v>45783</v>
      </c>
      <c r="C905" s="5" t="str">
        <f>TEXT(B905,"mmm")</f>
        <v>May</v>
      </c>
      <c r="D905" s="2" t="s">
        <v>1481</v>
      </c>
      <c r="E905" s="2" t="s">
        <v>53</v>
      </c>
      <c r="F905" s="2" t="str" cm="1">
        <f t="array" ref="F9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905" s="2" t="str" cm="1">
        <f t="array" ref="G9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05" s="2" t="s">
        <v>134</v>
      </c>
      <c r="I905" s="2" t="s">
        <v>29</v>
      </c>
      <c r="J905" s="2">
        <v>4</v>
      </c>
      <c r="K905" s="8">
        <v>1499</v>
      </c>
      <c r="L905" s="3">
        <v>0.2</v>
      </c>
      <c r="M905" s="12">
        <f>K905*L905</f>
        <v>299.8</v>
      </c>
      <c r="N905" s="12">
        <f>K905*J905</f>
        <v>5996</v>
      </c>
      <c r="O905" s="12">
        <f>N905-M905</f>
        <v>5696.2</v>
      </c>
      <c r="P905" s="2" t="s">
        <v>45</v>
      </c>
      <c r="Q905" s="2" t="s">
        <v>18</v>
      </c>
      <c r="R905" s="2">
        <v>80</v>
      </c>
      <c r="S905" s="20">
        <f>Table1[[#This Row],[Net_revenue]]/Table1[[#This Row],[Gross_revenue]]*100%</f>
        <v>0.95</v>
      </c>
      <c r="T905" s="18">
        <f>COUNTIFS(Table1[Customer ID], "&gt;1", Table1[Customer ID], 1)</f>
        <v>0</v>
      </c>
    </row>
    <row r="906" spans="1:20" hidden="1" x14ac:dyDescent="0.3">
      <c r="A906" s="2" t="s">
        <v>1482</v>
      </c>
      <c r="B906" s="5">
        <v>45811</v>
      </c>
      <c r="C906" s="5" t="str">
        <f>TEXT(B906,"mmm")</f>
        <v>Jun</v>
      </c>
      <c r="D906" s="2" t="s">
        <v>807</v>
      </c>
      <c r="E906" s="2" t="s">
        <v>120</v>
      </c>
      <c r="F906" s="2" t="str" cm="1">
        <f t="array" ref="F9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06" s="2" t="str" cm="1">
        <f t="array" ref="G9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06" s="2" t="s">
        <v>49</v>
      </c>
      <c r="I906" s="2" t="s">
        <v>23</v>
      </c>
      <c r="J906" s="2">
        <v>1</v>
      </c>
      <c r="K906" s="8">
        <v>1299</v>
      </c>
      <c r="L906" s="3">
        <v>0.1</v>
      </c>
      <c r="M906" s="12">
        <f>K906*L906</f>
        <v>129.9</v>
      </c>
      <c r="N906" s="12">
        <f>K906*J906</f>
        <v>1299</v>
      </c>
      <c r="O906" s="12">
        <f>N906-M906</f>
        <v>1169.0999999999999</v>
      </c>
      <c r="P906" s="2" t="s">
        <v>17</v>
      </c>
      <c r="Q906" s="2" t="s">
        <v>18</v>
      </c>
      <c r="R906" s="2">
        <v>80</v>
      </c>
      <c r="S906" s="20">
        <f>Table1[[#This Row],[Net_revenue]]/Table1[[#This Row],[Gross_revenue]]*100%</f>
        <v>0.89999999999999991</v>
      </c>
      <c r="T906" s="18">
        <f>COUNTIFS(Table1[Customer ID], "&gt;1", Table1[Customer ID], 1)</f>
        <v>0</v>
      </c>
    </row>
    <row r="907" spans="1:20" hidden="1" x14ac:dyDescent="0.3">
      <c r="A907" s="2" t="s">
        <v>1483</v>
      </c>
      <c r="B907" s="5">
        <v>45844</v>
      </c>
      <c r="C907" s="5" t="str">
        <f>TEXT(B907,"mmm")</f>
        <v>Jul</v>
      </c>
      <c r="D907" s="2" t="s">
        <v>871</v>
      </c>
      <c r="E907" s="2" t="s">
        <v>56</v>
      </c>
      <c r="F907" s="2" t="str" cm="1">
        <f t="array" ref="F9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07" s="2" t="str" cm="1">
        <f t="array" ref="G9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07" s="2" t="s">
        <v>134</v>
      </c>
      <c r="I907" s="2" t="s">
        <v>29</v>
      </c>
      <c r="J907" s="2">
        <v>4</v>
      </c>
      <c r="K907" s="8">
        <v>1499</v>
      </c>
      <c r="L907" s="3">
        <v>0.1</v>
      </c>
      <c r="M907" s="12">
        <f>K907*L907</f>
        <v>149.9</v>
      </c>
      <c r="N907" s="12">
        <f>K907*J907</f>
        <v>5996</v>
      </c>
      <c r="O907" s="12">
        <f>N907-M907</f>
        <v>5846.1</v>
      </c>
      <c r="P907" s="2" t="s">
        <v>45</v>
      </c>
      <c r="Q907" s="2" t="s">
        <v>18</v>
      </c>
      <c r="R907" s="2">
        <v>60</v>
      </c>
      <c r="S907" s="20">
        <f>Table1[[#This Row],[Net_revenue]]/Table1[[#This Row],[Gross_revenue]]*100%</f>
        <v>0.97500000000000009</v>
      </c>
      <c r="T907" s="18">
        <f>COUNTIFS(Table1[Customer ID], "&gt;1", Table1[Customer ID], 1)</f>
        <v>0</v>
      </c>
    </row>
    <row r="908" spans="1:20" hidden="1" x14ac:dyDescent="0.3">
      <c r="A908" s="2" t="s">
        <v>1484</v>
      </c>
      <c r="B908" s="5">
        <v>46018</v>
      </c>
      <c r="C908" s="5" t="str">
        <f>TEXT(B908,"mmm")</f>
        <v>Dec</v>
      </c>
      <c r="D908" s="2" t="s">
        <v>1485</v>
      </c>
      <c r="E908" s="2" t="s">
        <v>14</v>
      </c>
      <c r="F908" s="2" t="str" cm="1">
        <f t="array" ref="F9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08" s="2" t="str" cm="1">
        <f t="array" ref="G9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08" s="2" t="s">
        <v>98</v>
      </c>
      <c r="I908" s="2" t="s">
        <v>37</v>
      </c>
      <c r="J908" s="2">
        <v>1</v>
      </c>
      <c r="K908" s="8">
        <v>299</v>
      </c>
      <c r="L908" s="3">
        <v>0</v>
      </c>
      <c r="M908" s="12">
        <f>K908*L908</f>
        <v>0</v>
      </c>
      <c r="N908" s="12">
        <f>K908*J908</f>
        <v>299</v>
      </c>
      <c r="O908" s="12">
        <f>N908-M908</f>
        <v>299</v>
      </c>
      <c r="P908" s="2" t="s">
        <v>17</v>
      </c>
      <c r="Q908" s="2" t="s">
        <v>18</v>
      </c>
      <c r="R908" s="2">
        <v>40</v>
      </c>
      <c r="S908" s="20">
        <f>Table1[[#This Row],[Net_revenue]]/Table1[[#This Row],[Gross_revenue]]*100%</f>
        <v>1</v>
      </c>
      <c r="T908" s="18">
        <f>COUNTIFS(Table1[Customer ID], "&gt;1", Table1[Customer ID], 1)</f>
        <v>0</v>
      </c>
    </row>
    <row r="909" spans="1:20" hidden="1" x14ac:dyDescent="0.3">
      <c r="A909" s="2" t="s">
        <v>1486</v>
      </c>
      <c r="B909" s="5">
        <v>45849</v>
      </c>
      <c r="C909" s="5" t="str">
        <f>TEXT(B909,"mmm")</f>
        <v>Jul</v>
      </c>
      <c r="D909" s="2" t="s">
        <v>26</v>
      </c>
      <c r="E909" s="2" t="s">
        <v>27</v>
      </c>
      <c r="F909" s="2" t="str" cm="1">
        <f t="array" ref="F9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09" s="2" t="str" cm="1">
        <f t="array" ref="G9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09" s="2" t="s">
        <v>89</v>
      </c>
      <c r="I909" s="2" t="s">
        <v>29</v>
      </c>
      <c r="J909" s="2">
        <v>1</v>
      </c>
      <c r="K909" s="8">
        <v>449</v>
      </c>
      <c r="L909" s="3">
        <v>0</v>
      </c>
      <c r="M909" s="12">
        <f>K909*L909</f>
        <v>0</v>
      </c>
      <c r="N909" s="12">
        <f>K909*J909</f>
        <v>449</v>
      </c>
      <c r="O909" s="12">
        <f>N909-M909</f>
        <v>449</v>
      </c>
      <c r="P909" s="2" t="s">
        <v>30</v>
      </c>
      <c r="Q909" s="2" t="s">
        <v>18</v>
      </c>
      <c r="R909" s="2">
        <v>0</v>
      </c>
      <c r="S909" s="20">
        <f>Table1[[#This Row],[Net_revenue]]/Table1[[#This Row],[Gross_revenue]]*100%</f>
        <v>1</v>
      </c>
      <c r="T909" s="18">
        <f>COUNTIFS(Table1[Customer ID], "&gt;1", Table1[Customer ID], 1)</f>
        <v>0</v>
      </c>
    </row>
    <row r="910" spans="1:20" hidden="1" x14ac:dyDescent="0.3">
      <c r="A910" s="2" t="s">
        <v>1487</v>
      </c>
      <c r="B910" s="5">
        <v>45814</v>
      </c>
      <c r="C910" s="5" t="str">
        <f>TEXT(B910,"mmm")</f>
        <v>Jun</v>
      </c>
      <c r="D910" s="2" t="s">
        <v>621</v>
      </c>
      <c r="E910" s="2" t="s">
        <v>21</v>
      </c>
      <c r="F910" s="2" t="str" cm="1">
        <f t="array" ref="F9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10" s="2" t="str" cm="1">
        <f t="array" ref="G9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10" s="2" t="s">
        <v>134</v>
      </c>
      <c r="I910" s="2" t="s">
        <v>29</v>
      </c>
      <c r="J910" s="2">
        <v>2</v>
      </c>
      <c r="K910" s="8">
        <v>1499</v>
      </c>
      <c r="L910" s="3">
        <v>0.1</v>
      </c>
      <c r="M910" s="12">
        <f>K910*L910</f>
        <v>149.9</v>
      </c>
      <c r="N910" s="12">
        <f>K910*J910</f>
        <v>2998</v>
      </c>
      <c r="O910" s="12">
        <f>N910-M910</f>
        <v>2848.1</v>
      </c>
      <c r="P910" s="2" t="s">
        <v>45</v>
      </c>
      <c r="Q910" s="2" t="s">
        <v>18</v>
      </c>
      <c r="R910" s="2">
        <v>0</v>
      </c>
      <c r="S910" s="20">
        <f>Table1[[#This Row],[Net_revenue]]/Table1[[#This Row],[Gross_revenue]]*100%</f>
        <v>0.95</v>
      </c>
      <c r="T910" s="18">
        <f>COUNTIFS(Table1[Customer ID], "&gt;1", Table1[Customer ID], 1)</f>
        <v>0</v>
      </c>
    </row>
    <row r="911" spans="1:20" hidden="1" x14ac:dyDescent="0.3">
      <c r="A911" s="2" t="s">
        <v>1488</v>
      </c>
      <c r="B911" s="5">
        <v>45802</v>
      </c>
      <c r="C911" s="5" t="str">
        <f>TEXT(B911,"mmm")</f>
        <v>May</v>
      </c>
      <c r="D911" s="2" t="s">
        <v>222</v>
      </c>
      <c r="E911" s="2" t="s">
        <v>14</v>
      </c>
      <c r="F911" s="2" t="str" cm="1">
        <f t="array" ref="F9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11" s="2" t="str" cm="1">
        <f t="array" ref="G9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11" s="2" t="s">
        <v>89</v>
      </c>
      <c r="I911" s="2" t="s">
        <v>29</v>
      </c>
      <c r="J911" s="2">
        <v>1</v>
      </c>
      <c r="K911" s="8">
        <v>449</v>
      </c>
      <c r="L911" s="3">
        <v>0.05</v>
      </c>
      <c r="M911" s="12">
        <f>K911*L911</f>
        <v>22.450000000000003</v>
      </c>
      <c r="N911" s="12">
        <f>K911*J911</f>
        <v>449</v>
      </c>
      <c r="O911" s="12">
        <f>N911-M911</f>
        <v>426.55</v>
      </c>
      <c r="P911" s="2" t="s">
        <v>45</v>
      </c>
      <c r="Q911" s="2" t="s">
        <v>18</v>
      </c>
      <c r="R911" s="2">
        <v>80</v>
      </c>
      <c r="S911" s="20">
        <f>Table1[[#This Row],[Net_revenue]]/Table1[[#This Row],[Gross_revenue]]*100%</f>
        <v>0.95000000000000007</v>
      </c>
      <c r="T911" s="18">
        <f>COUNTIFS(Table1[Customer ID], "&gt;1", Table1[Customer ID], 1)</f>
        <v>0</v>
      </c>
    </row>
    <row r="912" spans="1:20" hidden="1" x14ac:dyDescent="0.3">
      <c r="A912" s="2" t="s">
        <v>1489</v>
      </c>
      <c r="B912" s="5">
        <v>45900</v>
      </c>
      <c r="C912" s="5" t="str">
        <f>TEXT(B912,"mmm")</f>
        <v>Aug</v>
      </c>
      <c r="D912" s="2" t="s">
        <v>1490</v>
      </c>
      <c r="E912" s="2" t="s">
        <v>21</v>
      </c>
      <c r="F912" s="2" t="str" cm="1">
        <f t="array" ref="F9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12" s="2" t="str" cm="1">
        <f t="array" ref="G9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12" s="2" t="s">
        <v>98</v>
      </c>
      <c r="I912" s="2" t="s">
        <v>37</v>
      </c>
      <c r="J912" s="2">
        <v>1</v>
      </c>
      <c r="K912" s="8">
        <v>299</v>
      </c>
      <c r="L912" s="3">
        <v>0</v>
      </c>
      <c r="M912" s="12">
        <f>K912*L912</f>
        <v>0</v>
      </c>
      <c r="N912" s="12">
        <f>K912*J912</f>
        <v>299</v>
      </c>
      <c r="O912" s="12">
        <f>N912-M912</f>
        <v>299</v>
      </c>
      <c r="P912" s="2" t="s">
        <v>45</v>
      </c>
      <c r="Q912" s="2" t="s">
        <v>18</v>
      </c>
      <c r="R912" s="2">
        <v>80</v>
      </c>
      <c r="S912" s="20">
        <f>Table1[[#This Row],[Net_revenue]]/Table1[[#This Row],[Gross_revenue]]*100%</f>
        <v>1</v>
      </c>
      <c r="T912" s="18">
        <f>COUNTIFS(Table1[Customer ID], "&gt;1", Table1[Customer ID], 1)</f>
        <v>0</v>
      </c>
    </row>
    <row r="913" spans="1:20" hidden="1" x14ac:dyDescent="0.3">
      <c r="A913" s="2" t="s">
        <v>1491</v>
      </c>
      <c r="B913" s="5">
        <v>45897</v>
      </c>
      <c r="C913" s="5" t="str">
        <f>TEXT(B913,"mmm")</f>
        <v>Aug</v>
      </c>
      <c r="D913" s="2" t="s">
        <v>405</v>
      </c>
      <c r="E913" s="2" t="s">
        <v>27</v>
      </c>
      <c r="F913" s="2" t="str" cm="1">
        <f t="array" ref="F9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13" s="2" t="str" cm="1">
        <f t="array" ref="G9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13" s="2" t="s">
        <v>36</v>
      </c>
      <c r="I913" s="2" t="s">
        <v>37</v>
      </c>
      <c r="J913" s="2">
        <v>1</v>
      </c>
      <c r="K913" s="8">
        <v>349</v>
      </c>
      <c r="L913" s="3">
        <v>0</v>
      </c>
      <c r="M913" s="12">
        <f>K913*L913</f>
        <v>0</v>
      </c>
      <c r="N913" s="12">
        <f>K913*J913</f>
        <v>349</v>
      </c>
      <c r="O913" s="12">
        <f>N913-M913</f>
        <v>349</v>
      </c>
      <c r="P913" s="2" t="s">
        <v>45</v>
      </c>
      <c r="Q913" s="2" t="s">
        <v>18</v>
      </c>
      <c r="R913" s="2">
        <v>60</v>
      </c>
      <c r="S913" s="20">
        <f>Table1[[#This Row],[Net_revenue]]/Table1[[#This Row],[Gross_revenue]]*100%</f>
        <v>1</v>
      </c>
      <c r="T913" s="18">
        <f>COUNTIFS(Table1[Customer ID], "&gt;1", Table1[Customer ID], 1)</f>
        <v>0</v>
      </c>
    </row>
    <row r="914" spans="1:20" hidden="1" x14ac:dyDescent="0.3">
      <c r="A914" s="2" t="s">
        <v>1492</v>
      </c>
      <c r="B914" s="5">
        <v>45893</v>
      </c>
      <c r="C914" s="5" t="str">
        <f>TEXT(B914,"mmm")</f>
        <v>Aug</v>
      </c>
      <c r="D914" s="2" t="s">
        <v>1493</v>
      </c>
      <c r="E914" s="2" t="s">
        <v>21</v>
      </c>
      <c r="F914" s="2" t="str" cm="1">
        <f t="array" ref="F9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14" s="2" t="str" cm="1">
        <f t="array" ref="G9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14" s="2" t="s">
        <v>44</v>
      </c>
      <c r="I914" s="2" t="s">
        <v>16</v>
      </c>
      <c r="J914" s="2">
        <v>3</v>
      </c>
      <c r="K914" s="8">
        <v>1599</v>
      </c>
      <c r="L914" s="3">
        <v>0</v>
      </c>
      <c r="M914" s="12">
        <f>K914*L914</f>
        <v>0</v>
      </c>
      <c r="N914" s="12">
        <f>K914*J914</f>
        <v>4797</v>
      </c>
      <c r="O914" s="12">
        <f>N914-M914</f>
        <v>4797</v>
      </c>
      <c r="P914" s="2" t="s">
        <v>45</v>
      </c>
      <c r="Q914" s="2" t="s">
        <v>50</v>
      </c>
      <c r="R914" s="2">
        <v>80</v>
      </c>
      <c r="S914" s="20">
        <f>Table1[[#This Row],[Net_revenue]]/Table1[[#This Row],[Gross_revenue]]*100%</f>
        <v>1</v>
      </c>
      <c r="T914" s="18">
        <f>COUNTIFS(Table1[Customer ID], "&gt;1", Table1[Customer ID], 1)</f>
        <v>0</v>
      </c>
    </row>
    <row r="915" spans="1:20" hidden="1" x14ac:dyDescent="0.3">
      <c r="A915" s="2" t="s">
        <v>1494</v>
      </c>
      <c r="B915" s="5">
        <v>45802</v>
      </c>
      <c r="C915" s="5" t="str">
        <f>TEXT(B915,"mmm")</f>
        <v>May</v>
      </c>
      <c r="D915" s="2" t="s">
        <v>1495</v>
      </c>
      <c r="E915" s="2" t="s">
        <v>21</v>
      </c>
      <c r="F915" s="2" t="str" cm="1">
        <f t="array" ref="F9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15" s="2" t="str" cm="1">
        <f t="array" ref="G9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15" s="2" t="s">
        <v>28</v>
      </c>
      <c r="I915" s="2" t="s">
        <v>29</v>
      </c>
      <c r="J915" s="2">
        <v>1</v>
      </c>
      <c r="K915" s="8">
        <v>2799</v>
      </c>
      <c r="L915" s="3">
        <v>0</v>
      </c>
      <c r="M915" s="12">
        <f>K915*L915</f>
        <v>0</v>
      </c>
      <c r="N915" s="12">
        <f>K915*J915</f>
        <v>2799</v>
      </c>
      <c r="O915" s="12">
        <f>N915-M915</f>
        <v>2799</v>
      </c>
      <c r="P915" s="2" t="s">
        <v>45</v>
      </c>
      <c r="Q915" s="2" t="s">
        <v>18</v>
      </c>
      <c r="R915" s="2">
        <v>0</v>
      </c>
      <c r="S915" s="20">
        <f>Table1[[#This Row],[Net_revenue]]/Table1[[#This Row],[Gross_revenue]]*100%</f>
        <v>1</v>
      </c>
      <c r="T915" s="18">
        <f>COUNTIFS(Table1[Customer ID], "&gt;1", Table1[Customer ID], 1)</f>
        <v>0</v>
      </c>
    </row>
    <row r="916" spans="1:20" hidden="1" x14ac:dyDescent="0.3">
      <c r="A916" s="2" t="s">
        <v>1496</v>
      </c>
      <c r="B916" s="5">
        <v>45786</v>
      </c>
      <c r="C916" s="5" t="str">
        <f>TEXT(B916,"mmm")</f>
        <v>May</v>
      </c>
      <c r="D916" s="2" t="s">
        <v>752</v>
      </c>
      <c r="E916" s="2" t="s">
        <v>27</v>
      </c>
      <c r="F916" s="2" t="str" cm="1">
        <f t="array" ref="F9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16" s="2" t="str" cm="1">
        <f t="array" ref="G9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16" s="2" t="s">
        <v>117</v>
      </c>
      <c r="I916" s="2" t="s">
        <v>23</v>
      </c>
      <c r="J916" s="2">
        <v>3</v>
      </c>
      <c r="K916" s="8">
        <v>2199</v>
      </c>
      <c r="L916" s="3">
        <v>0</v>
      </c>
      <c r="M916" s="12">
        <f>K916*L916</f>
        <v>0</v>
      </c>
      <c r="N916" s="12">
        <f>K916*J916</f>
        <v>6597</v>
      </c>
      <c r="O916" s="12">
        <f>N916-M916</f>
        <v>6597</v>
      </c>
      <c r="P916" s="2" t="s">
        <v>45</v>
      </c>
      <c r="Q916" s="2" t="s">
        <v>18</v>
      </c>
      <c r="R916" s="2">
        <v>40</v>
      </c>
      <c r="S916" s="20">
        <f>Table1[[#This Row],[Net_revenue]]/Table1[[#This Row],[Gross_revenue]]*100%</f>
        <v>1</v>
      </c>
      <c r="T916" s="18">
        <f>COUNTIFS(Table1[Customer ID], "&gt;1", Table1[Customer ID], 1)</f>
        <v>0</v>
      </c>
    </row>
    <row r="917" spans="1:20" hidden="1" x14ac:dyDescent="0.3">
      <c r="A917" s="2" t="s">
        <v>1497</v>
      </c>
      <c r="B917" s="5">
        <v>45962</v>
      </c>
      <c r="C917" s="5" t="str">
        <f>TEXT(B917,"mmm")</f>
        <v>Nov</v>
      </c>
      <c r="D917" s="2" t="s">
        <v>456</v>
      </c>
      <c r="E917" s="2" t="s">
        <v>21</v>
      </c>
      <c r="F917" s="2" t="str" cm="1">
        <f t="array" ref="F9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17" s="2" t="str" cm="1">
        <f t="array" ref="G9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17" s="2" t="s">
        <v>71</v>
      </c>
      <c r="I917" s="2" t="s">
        <v>29</v>
      </c>
      <c r="J917" s="2">
        <v>1</v>
      </c>
      <c r="K917" s="8">
        <v>5499</v>
      </c>
      <c r="L917" s="3">
        <v>0.1</v>
      </c>
      <c r="M917" s="12">
        <f>K917*L917</f>
        <v>549.9</v>
      </c>
      <c r="N917" s="12">
        <f>K917*J917</f>
        <v>5499</v>
      </c>
      <c r="O917" s="12">
        <f>N917-M917</f>
        <v>4949.1000000000004</v>
      </c>
      <c r="P917" s="2" t="s">
        <v>17</v>
      </c>
      <c r="Q917" s="2" t="s">
        <v>18</v>
      </c>
      <c r="R917" s="2">
        <v>80</v>
      </c>
      <c r="S917" s="20">
        <f>Table1[[#This Row],[Net_revenue]]/Table1[[#This Row],[Gross_revenue]]*100%</f>
        <v>0.9</v>
      </c>
      <c r="T917" s="18">
        <f>COUNTIFS(Table1[Customer ID], "&gt;1", Table1[Customer ID], 1)</f>
        <v>0</v>
      </c>
    </row>
    <row r="918" spans="1:20" hidden="1" x14ac:dyDescent="0.3">
      <c r="A918" s="2" t="s">
        <v>1498</v>
      </c>
      <c r="B918" s="5">
        <v>45875</v>
      </c>
      <c r="C918" s="5" t="str">
        <f>TEXT(B918,"mmm")</f>
        <v>Aug</v>
      </c>
      <c r="D918" s="2" t="s">
        <v>442</v>
      </c>
      <c r="E918" s="2" t="s">
        <v>195</v>
      </c>
      <c r="F918" s="2" t="str" cm="1">
        <f t="array" ref="F9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918" s="2" t="str" cm="1">
        <f t="array" ref="G9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18" s="2" t="s">
        <v>68</v>
      </c>
      <c r="I918" s="2" t="s">
        <v>16</v>
      </c>
      <c r="J918" s="2">
        <v>1</v>
      </c>
      <c r="K918" s="8">
        <v>599</v>
      </c>
      <c r="L918" s="3">
        <v>0.25</v>
      </c>
      <c r="M918" s="12">
        <f>K918*L918</f>
        <v>149.75</v>
      </c>
      <c r="N918" s="12">
        <f>K918*J918</f>
        <v>599</v>
      </c>
      <c r="O918" s="12">
        <f>N918-M918</f>
        <v>449.25</v>
      </c>
      <c r="P918" s="2" t="s">
        <v>45</v>
      </c>
      <c r="Q918" s="2" t="s">
        <v>18</v>
      </c>
      <c r="R918" s="2">
        <v>80</v>
      </c>
      <c r="S918" s="20">
        <f>Table1[[#This Row],[Net_revenue]]/Table1[[#This Row],[Gross_revenue]]*100%</f>
        <v>0.75</v>
      </c>
      <c r="T918" s="18">
        <f>COUNTIFS(Table1[Customer ID], "&gt;1", Table1[Customer ID], 1)</f>
        <v>0</v>
      </c>
    </row>
    <row r="919" spans="1:20" hidden="1" x14ac:dyDescent="0.3">
      <c r="A919" s="2" t="s">
        <v>1499</v>
      </c>
      <c r="B919" s="5">
        <v>45685</v>
      </c>
      <c r="C919" s="5" t="str">
        <f>TEXT(B919,"mmm")</f>
        <v>Jan</v>
      </c>
      <c r="D919" s="2" t="s">
        <v>1500</v>
      </c>
      <c r="E919" s="2" t="s">
        <v>48</v>
      </c>
      <c r="F919" s="2" t="str" cm="1">
        <f t="array" ref="F9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19" s="2" t="str" cm="1">
        <f t="array" ref="G9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19" s="2" t="s">
        <v>15</v>
      </c>
      <c r="I919" s="2" t="s">
        <v>16</v>
      </c>
      <c r="J919" s="2">
        <v>1</v>
      </c>
      <c r="K919" s="8">
        <v>1799</v>
      </c>
      <c r="L919" s="3">
        <v>0</v>
      </c>
      <c r="M919" s="12">
        <f>K919*L919</f>
        <v>0</v>
      </c>
      <c r="N919" s="12">
        <f>K919*J919</f>
        <v>1799</v>
      </c>
      <c r="O919" s="12">
        <f>N919-M919</f>
        <v>1799</v>
      </c>
      <c r="P919" s="2" t="s">
        <v>30</v>
      </c>
      <c r="Q919" s="2" t="s">
        <v>18</v>
      </c>
      <c r="R919" s="2">
        <v>80</v>
      </c>
      <c r="S919" s="20">
        <f>Table1[[#This Row],[Net_revenue]]/Table1[[#This Row],[Gross_revenue]]*100%</f>
        <v>1</v>
      </c>
      <c r="T919" s="18">
        <f>COUNTIFS(Table1[Customer ID], "&gt;1", Table1[Customer ID], 1)</f>
        <v>0</v>
      </c>
    </row>
    <row r="920" spans="1:20" hidden="1" x14ac:dyDescent="0.3">
      <c r="A920" s="2" t="s">
        <v>1501</v>
      </c>
      <c r="B920" s="5">
        <v>45855</v>
      </c>
      <c r="C920" s="5" t="str">
        <f>TEXT(B920,"mmm")</f>
        <v>Jul</v>
      </c>
      <c r="D920" s="2" t="s">
        <v>869</v>
      </c>
      <c r="E920" s="2" t="s">
        <v>27</v>
      </c>
      <c r="F920" s="2" t="str" cm="1">
        <f t="array" ref="F9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20" s="2" t="str" cm="1">
        <f t="array" ref="G9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20" s="2" t="s">
        <v>44</v>
      </c>
      <c r="I920" s="2" t="s">
        <v>16</v>
      </c>
      <c r="J920" s="2">
        <v>1</v>
      </c>
      <c r="K920" s="8">
        <v>1599</v>
      </c>
      <c r="L920" s="3">
        <v>0.1</v>
      </c>
      <c r="M920" s="12">
        <f>K920*L920</f>
        <v>159.9</v>
      </c>
      <c r="N920" s="12">
        <f>K920*J920</f>
        <v>1599</v>
      </c>
      <c r="O920" s="12">
        <f>N920-M920</f>
        <v>1439.1</v>
      </c>
      <c r="P920" s="2" t="s">
        <v>45</v>
      </c>
      <c r="Q920" s="2" t="s">
        <v>18</v>
      </c>
      <c r="R920" s="2">
        <v>0</v>
      </c>
      <c r="S920" s="20">
        <f>Table1[[#This Row],[Net_revenue]]/Table1[[#This Row],[Gross_revenue]]*100%</f>
        <v>0.89999999999999991</v>
      </c>
      <c r="T920" s="18">
        <f>COUNTIFS(Table1[Customer ID], "&gt;1", Table1[Customer ID], 1)</f>
        <v>0</v>
      </c>
    </row>
    <row r="921" spans="1:20" hidden="1" x14ac:dyDescent="0.3">
      <c r="A921" s="2" t="s">
        <v>1502</v>
      </c>
      <c r="B921" s="5">
        <v>45754</v>
      </c>
      <c r="C921" s="5" t="str">
        <f>TEXT(B921,"mmm")</f>
        <v>Apr</v>
      </c>
      <c r="D921" s="2" t="s">
        <v>226</v>
      </c>
      <c r="E921" s="2" t="s">
        <v>48</v>
      </c>
      <c r="F921" s="2" t="str" cm="1">
        <f t="array" ref="F9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21" s="2" t="str" cm="1">
        <f t="array" ref="G9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21" s="2" t="s">
        <v>63</v>
      </c>
      <c r="I921" s="2" t="s">
        <v>23</v>
      </c>
      <c r="J921" s="2">
        <v>2</v>
      </c>
      <c r="K921" s="8">
        <v>2499</v>
      </c>
      <c r="L921" s="3">
        <v>0.05</v>
      </c>
      <c r="M921" s="12">
        <f>K921*L921</f>
        <v>124.95</v>
      </c>
      <c r="N921" s="12">
        <f>K921*J921</f>
        <v>4998</v>
      </c>
      <c r="O921" s="12">
        <f>N921-M921</f>
        <v>4873.05</v>
      </c>
      <c r="P921" s="2" t="s">
        <v>45</v>
      </c>
      <c r="Q921" s="2" t="s">
        <v>18</v>
      </c>
      <c r="R921" s="2">
        <v>60</v>
      </c>
      <c r="S921" s="20">
        <f>Table1[[#This Row],[Net_revenue]]/Table1[[#This Row],[Gross_revenue]]*100%</f>
        <v>0.97500000000000009</v>
      </c>
      <c r="T921" s="18">
        <f>COUNTIFS(Table1[Customer ID], "&gt;1", Table1[Customer ID], 1)</f>
        <v>0</v>
      </c>
    </row>
    <row r="922" spans="1:20" hidden="1" x14ac:dyDescent="0.3">
      <c r="A922" s="2" t="s">
        <v>1503</v>
      </c>
      <c r="B922" s="5">
        <v>45671</v>
      </c>
      <c r="C922" s="5" t="str">
        <f>TEXT(B922,"mmm")</f>
        <v>Jan</v>
      </c>
      <c r="D922" s="2" t="s">
        <v>1504</v>
      </c>
      <c r="E922" s="2" t="s">
        <v>56</v>
      </c>
      <c r="F922" s="2" t="str" cm="1">
        <f t="array" ref="F9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22" s="2" t="str" cm="1">
        <f t="array" ref="G9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22" s="2" t="s">
        <v>68</v>
      </c>
      <c r="I922" s="2" t="s">
        <v>16</v>
      </c>
      <c r="J922" s="2">
        <v>2</v>
      </c>
      <c r="K922" s="8">
        <v>599</v>
      </c>
      <c r="L922" s="3">
        <v>0.2</v>
      </c>
      <c r="M922" s="12">
        <f>K922*L922</f>
        <v>119.80000000000001</v>
      </c>
      <c r="N922" s="12">
        <f>K922*J922</f>
        <v>1198</v>
      </c>
      <c r="O922" s="12">
        <f>N922-M922</f>
        <v>1078.2</v>
      </c>
      <c r="P922" s="2" t="s">
        <v>45</v>
      </c>
      <c r="Q922" s="2" t="s">
        <v>18</v>
      </c>
      <c r="R922" s="2">
        <v>0</v>
      </c>
      <c r="S922" s="20">
        <f>Table1[[#This Row],[Net_revenue]]/Table1[[#This Row],[Gross_revenue]]*100%</f>
        <v>0.9</v>
      </c>
      <c r="T922" s="18">
        <f>COUNTIFS(Table1[Customer ID], "&gt;1", Table1[Customer ID], 1)</f>
        <v>0</v>
      </c>
    </row>
    <row r="923" spans="1:20" hidden="1" x14ac:dyDescent="0.3">
      <c r="A923" s="2" t="s">
        <v>1505</v>
      </c>
      <c r="B923" s="5">
        <v>45698</v>
      </c>
      <c r="C923" s="5" t="str">
        <f>TEXT(B923,"mmm")</f>
        <v>Feb</v>
      </c>
      <c r="D923" s="2" t="s">
        <v>1231</v>
      </c>
      <c r="E923" s="2" t="s">
        <v>21</v>
      </c>
      <c r="F923" s="2" t="str" cm="1">
        <f t="array" ref="F9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23" s="2" t="str" cm="1">
        <f t="array" ref="G9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23" s="2" t="s">
        <v>89</v>
      </c>
      <c r="I923" s="2" t="s">
        <v>29</v>
      </c>
      <c r="J923" s="2">
        <v>1</v>
      </c>
      <c r="K923" s="8">
        <v>449</v>
      </c>
      <c r="L923" s="3">
        <v>0.05</v>
      </c>
      <c r="M923" s="12">
        <f>K923*L923</f>
        <v>22.450000000000003</v>
      </c>
      <c r="N923" s="12">
        <f>K923*J923</f>
        <v>449</v>
      </c>
      <c r="O923" s="12">
        <f>N923-M923</f>
        <v>426.55</v>
      </c>
      <c r="P923" s="2" t="s">
        <v>24</v>
      </c>
      <c r="Q923" s="2" t="s">
        <v>18</v>
      </c>
      <c r="R923" s="2">
        <v>60</v>
      </c>
      <c r="S923" s="20">
        <f>Table1[[#This Row],[Net_revenue]]/Table1[[#This Row],[Gross_revenue]]*100%</f>
        <v>0.95000000000000007</v>
      </c>
      <c r="T923" s="18">
        <f>COUNTIFS(Table1[Customer ID], "&gt;1", Table1[Customer ID], 1)</f>
        <v>0</v>
      </c>
    </row>
    <row r="924" spans="1:20" hidden="1" x14ac:dyDescent="0.3">
      <c r="A924" s="2" t="s">
        <v>1506</v>
      </c>
      <c r="B924" s="5">
        <v>45830</v>
      </c>
      <c r="C924" s="5" t="str">
        <f>TEXT(B924,"mmm")</f>
        <v>Jun</v>
      </c>
      <c r="D924" s="2" t="s">
        <v>355</v>
      </c>
      <c r="E924" s="2" t="s">
        <v>56</v>
      </c>
      <c r="F924" s="2" t="str" cm="1">
        <f t="array" ref="F9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24" s="2" t="str" cm="1">
        <f t="array" ref="G9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24" s="2" t="s">
        <v>117</v>
      </c>
      <c r="I924" s="2" t="s">
        <v>23</v>
      </c>
      <c r="J924" s="2">
        <v>2</v>
      </c>
      <c r="K924" s="8">
        <v>2199</v>
      </c>
      <c r="L924" s="3">
        <v>0.05</v>
      </c>
      <c r="M924" s="12">
        <f>K924*L924</f>
        <v>109.95</v>
      </c>
      <c r="N924" s="12">
        <f>K924*J924</f>
        <v>4398</v>
      </c>
      <c r="O924" s="12">
        <f>N924-M924</f>
        <v>4288.05</v>
      </c>
      <c r="P924" s="2" t="s">
        <v>17</v>
      </c>
      <c r="Q924" s="2" t="s">
        <v>18</v>
      </c>
      <c r="R924" s="2">
        <v>40</v>
      </c>
      <c r="S924" s="20">
        <f>Table1[[#This Row],[Net_revenue]]/Table1[[#This Row],[Gross_revenue]]*100%</f>
        <v>0.97500000000000009</v>
      </c>
      <c r="T924" s="18">
        <f>COUNTIFS(Table1[Customer ID], "&gt;1", Table1[Customer ID], 1)</f>
        <v>0</v>
      </c>
    </row>
    <row r="925" spans="1:20" hidden="1" x14ac:dyDescent="0.3">
      <c r="A925" s="2" t="s">
        <v>1507</v>
      </c>
      <c r="B925" s="5">
        <v>45920</v>
      </c>
      <c r="C925" s="5" t="str">
        <f>TEXT(B925,"mmm")</f>
        <v>Sep</v>
      </c>
      <c r="D925" s="2" t="s">
        <v>754</v>
      </c>
      <c r="E925" s="2" t="s">
        <v>40</v>
      </c>
      <c r="F925" s="2" t="str" cm="1">
        <f t="array" ref="F9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25" s="2" t="str" cm="1">
        <f t="array" ref="G9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25" s="2" t="s">
        <v>183</v>
      </c>
      <c r="I925" s="2" t="s">
        <v>37</v>
      </c>
      <c r="J925" s="2">
        <v>1</v>
      </c>
      <c r="K925" s="8">
        <v>499</v>
      </c>
      <c r="L925" s="3">
        <v>0.05</v>
      </c>
      <c r="M925" s="12">
        <f>K925*L925</f>
        <v>24.950000000000003</v>
      </c>
      <c r="N925" s="12">
        <f>K925*J925</f>
        <v>499</v>
      </c>
      <c r="O925" s="12">
        <f>N925-M925</f>
        <v>474.05</v>
      </c>
      <c r="P925" s="2" t="s">
        <v>30</v>
      </c>
      <c r="Q925" s="2" t="s">
        <v>18</v>
      </c>
      <c r="R925" s="2">
        <v>40</v>
      </c>
      <c r="S925" s="20">
        <f>Table1[[#This Row],[Net_revenue]]/Table1[[#This Row],[Gross_revenue]]*100%</f>
        <v>0.95000000000000007</v>
      </c>
      <c r="T925" s="18">
        <f>COUNTIFS(Table1[Customer ID], "&gt;1", Table1[Customer ID], 1)</f>
        <v>0</v>
      </c>
    </row>
    <row r="926" spans="1:20" hidden="1" x14ac:dyDescent="0.3">
      <c r="A926" s="2" t="s">
        <v>1508</v>
      </c>
      <c r="B926" s="5">
        <v>46005</v>
      </c>
      <c r="C926" s="5" t="str">
        <f>TEXT(B926,"mmm")</f>
        <v>Dec</v>
      </c>
      <c r="D926" s="2" t="s">
        <v>1224</v>
      </c>
      <c r="E926" s="2" t="s">
        <v>48</v>
      </c>
      <c r="F926" s="2" t="str" cm="1">
        <f t="array" ref="F9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26" s="2" t="str" cm="1">
        <f t="array" ref="G9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26" s="2" t="s">
        <v>44</v>
      </c>
      <c r="I926" s="2" t="s">
        <v>16</v>
      </c>
      <c r="J926" s="2">
        <v>3</v>
      </c>
      <c r="K926" s="8">
        <v>1599</v>
      </c>
      <c r="L926" s="3">
        <v>0.1</v>
      </c>
      <c r="M926" s="12">
        <f>K926*L926</f>
        <v>159.9</v>
      </c>
      <c r="N926" s="12">
        <f>K926*J926</f>
        <v>4797</v>
      </c>
      <c r="O926" s="12">
        <f>N926-M926</f>
        <v>4637.1000000000004</v>
      </c>
      <c r="P926" s="2" t="s">
        <v>45</v>
      </c>
      <c r="Q926" s="2" t="s">
        <v>18</v>
      </c>
      <c r="R926" s="2">
        <v>0</v>
      </c>
      <c r="S926" s="20">
        <f>Table1[[#This Row],[Net_revenue]]/Table1[[#This Row],[Gross_revenue]]*100%</f>
        <v>0.96666666666666679</v>
      </c>
      <c r="T926" s="18">
        <f>COUNTIFS(Table1[Customer ID], "&gt;1", Table1[Customer ID], 1)</f>
        <v>0</v>
      </c>
    </row>
    <row r="927" spans="1:20" hidden="1" x14ac:dyDescent="0.3">
      <c r="A927" s="2" t="s">
        <v>1509</v>
      </c>
      <c r="B927" s="5">
        <v>45741</v>
      </c>
      <c r="C927" s="5" t="str">
        <f>TEXT(B927,"mmm")</f>
        <v>Mar</v>
      </c>
      <c r="D927" s="2" t="s">
        <v>1510</v>
      </c>
      <c r="E927" s="2" t="s">
        <v>40</v>
      </c>
      <c r="F927" s="2" t="str" cm="1">
        <f t="array" ref="F9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27" s="2" t="str" cm="1">
        <f t="array" ref="G9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27" s="2" t="s">
        <v>117</v>
      </c>
      <c r="I927" s="2" t="s">
        <v>23</v>
      </c>
      <c r="J927" s="2">
        <v>2</v>
      </c>
      <c r="K927" s="8">
        <v>2199</v>
      </c>
      <c r="L927" s="3">
        <v>0.1</v>
      </c>
      <c r="M927" s="12">
        <f>K927*L927</f>
        <v>219.9</v>
      </c>
      <c r="N927" s="12">
        <f>K927*J927</f>
        <v>4398</v>
      </c>
      <c r="O927" s="12">
        <f>N927-M927</f>
        <v>4178.1000000000004</v>
      </c>
      <c r="P927" s="2" t="s">
        <v>24</v>
      </c>
      <c r="Q927" s="2" t="s">
        <v>18</v>
      </c>
      <c r="R927" s="2">
        <v>40</v>
      </c>
      <c r="S927" s="20">
        <f>Table1[[#This Row],[Net_revenue]]/Table1[[#This Row],[Gross_revenue]]*100%</f>
        <v>0.95000000000000007</v>
      </c>
      <c r="T927" s="18">
        <f>COUNTIFS(Table1[Customer ID], "&gt;1", Table1[Customer ID], 1)</f>
        <v>0</v>
      </c>
    </row>
    <row r="928" spans="1:20" hidden="1" x14ac:dyDescent="0.3">
      <c r="A928" s="2" t="s">
        <v>1511</v>
      </c>
      <c r="B928" s="5">
        <v>45699</v>
      </c>
      <c r="C928" s="5" t="str">
        <f>TEXT(B928,"mmm")</f>
        <v>Feb</v>
      </c>
      <c r="D928" s="2" t="s">
        <v>315</v>
      </c>
      <c r="E928" s="2" t="s">
        <v>75</v>
      </c>
      <c r="F928" s="2" t="str" cm="1">
        <f t="array" ref="F9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928" s="2" t="str" cm="1">
        <f t="array" ref="G9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28" s="2" t="s">
        <v>41</v>
      </c>
      <c r="I928" s="2" t="s">
        <v>16</v>
      </c>
      <c r="J928" s="2">
        <v>1</v>
      </c>
      <c r="K928" s="8">
        <v>2299</v>
      </c>
      <c r="L928" s="3">
        <v>0.1</v>
      </c>
      <c r="M928" s="12">
        <f>K928*L928</f>
        <v>229.9</v>
      </c>
      <c r="N928" s="12">
        <f>K928*J928</f>
        <v>2299</v>
      </c>
      <c r="O928" s="12">
        <f>N928-M928</f>
        <v>2069.1</v>
      </c>
      <c r="P928" s="2" t="s">
        <v>24</v>
      </c>
      <c r="Q928" s="2" t="s">
        <v>72</v>
      </c>
      <c r="R928" s="2">
        <v>80</v>
      </c>
      <c r="S928" s="20">
        <f>Table1[[#This Row],[Net_revenue]]/Table1[[#This Row],[Gross_revenue]]*100%</f>
        <v>0.89999999999999991</v>
      </c>
      <c r="T928" s="18">
        <f>COUNTIFS(Table1[Customer ID], "&gt;1", Table1[Customer ID], 1)</f>
        <v>0</v>
      </c>
    </row>
    <row r="929" spans="1:20" hidden="1" x14ac:dyDescent="0.3">
      <c r="A929" s="2" t="s">
        <v>1512</v>
      </c>
      <c r="B929" s="5">
        <v>45683</v>
      </c>
      <c r="C929" s="5" t="str">
        <f>TEXT(B929,"mmm")</f>
        <v>Jan</v>
      </c>
      <c r="D929" s="2" t="s">
        <v>102</v>
      </c>
      <c r="E929" s="2" t="s">
        <v>14</v>
      </c>
      <c r="F929" s="2" t="str" cm="1">
        <f t="array" ref="F9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29" s="2" t="str" cm="1">
        <f t="array" ref="G9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29" s="2" t="s">
        <v>49</v>
      </c>
      <c r="I929" s="2" t="s">
        <v>23</v>
      </c>
      <c r="J929" s="2">
        <v>1</v>
      </c>
      <c r="K929" s="8">
        <v>1299</v>
      </c>
      <c r="L929" s="3">
        <v>0.1</v>
      </c>
      <c r="M929" s="12">
        <f>K929*L929</f>
        <v>129.9</v>
      </c>
      <c r="N929" s="12">
        <f>K929*J929</f>
        <v>1299</v>
      </c>
      <c r="O929" s="12">
        <f>N929-M929</f>
        <v>1169.0999999999999</v>
      </c>
      <c r="P929" s="2" t="s">
        <v>45</v>
      </c>
      <c r="Q929" s="2" t="s">
        <v>18</v>
      </c>
      <c r="R929" s="2">
        <v>0</v>
      </c>
      <c r="S929" s="20">
        <f>Table1[[#This Row],[Net_revenue]]/Table1[[#This Row],[Gross_revenue]]*100%</f>
        <v>0.89999999999999991</v>
      </c>
      <c r="T929" s="18">
        <f>COUNTIFS(Table1[Customer ID], "&gt;1", Table1[Customer ID], 1)</f>
        <v>0</v>
      </c>
    </row>
    <row r="930" spans="1:20" hidden="1" x14ac:dyDescent="0.3">
      <c r="A930" s="2" t="s">
        <v>1513</v>
      </c>
      <c r="B930" s="5">
        <v>45790</v>
      </c>
      <c r="C930" s="5" t="str">
        <f>TEXT(B930,"mmm")</f>
        <v>May</v>
      </c>
      <c r="D930" s="2" t="s">
        <v>701</v>
      </c>
      <c r="E930" s="2" t="s">
        <v>120</v>
      </c>
      <c r="F930" s="2" t="str" cm="1">
        <f t="array" ref="F9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30" s="2" t="str" cm="1">
        <f t="array" ref="G9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30" s="2" t="s">
        <v>63</v>
      </c>
      <c r="I930" s="2" t="s">
        <v>23</v>
      </c>
      <c r="J930" s="2">
        <v>1</v>
      </c>
      <c r="K930" s="8">
        <v>2499</v>
      </c>
      <c r="L930" s="3">
        <v>0.2</v>
      </c>
      <c r="M930" s="12">
        <f>K930*L930</f>
        <v>499.8</v>
      </c>
      <c r="N930" s="12">
        <f>K930*J930</f>
        <v>2499</v>
      </c>
      <c r="O930" s="12">
        <f>N930-M930</f>
        <v>1999.2</v>
      </c>
      <c r="P930" s="2" t="s">
        <v>17</v>
      </c>
      <c r="Q930" s="2" t="s">
        <v>50</v>
      </c>
      <c r="R930" s="2">
        <v>60</v>
      </c>
      <c r="S930" s="20">
        <f>Table1[[#This Row],[Net_revenue]]/Table1[[#This Row],[Gross_revenue]]*100%</f>
        <v>0.8</v>
      </c>
      <c r="T930" s="18">
        <f>COUNTIFS(Table1[Customer ID], "&gt;1", Table1[Customer ID], 1)</f>
        <v>0</v>
      </c>
    </row>
    <row r="931" spans="1:20" hidden="1" x14ac:dyDescent="0.3">
      <c r="A931" s="2" t="s">
        <v>1514</v>
      </c>
      <c r="B931" s="5">
        <v>45985</v>
      </c>
      <c r="C931" s="5" t="str">
        <f>TEXT(B931,"mmm")</f>
        <v>Nov</v>
      </c>
      <c r="D931" s="2" t="s">
        <v>670</v>
      </c>
      <c r="E931" s="2" t="s">
        <v>14</v>
      </c>
      <c r="F931" s="2" t="str" cm="1">
        <f t="array" ref="F9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31" s="2" t="str" cm="1">
        <f t="array" ref="G9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31" s="2" t="s">
        <v>33</v>
      </c>
      <c r="I931" s="2" t="s">
        <v>16</v>
      </c>
      <c r="J931" s="2">
        <v>1</v>
      </c>
      <c r="K931" s="8">
        <v>899</v>
      </c>
      <c r="L931" s="3">
        <v>0.05</v>
      </c>
      <c r="M931" s="12">
        <f>K931*L931</f>
        <v>44.95</v>
      </c>
      <c r="N931" s="12">
        <f>K931*J931</f>
        <v>899</v>
      </c>
      <c r="O931" s="12">
        <f>N931-M931</f>
        <v>854.05</v>
      </c>
      <c r="P931" s="2" t="s">
        <v>24</v>
      </c>
      <c r="Q931" s="2" t="s">
        <v>18</v>
      </c>
      <c r="R931" s="2">
        <v>0</v>
      </c>
      <c r="S931" s="20">
        <f>Table1[[#This Row],[Net_revenue]]/Table1[[#This Row],[Gross_revenue]]*100%</f>
        <v>0.95</v>
      </c>
      <c r="T931" s="18">
        <f>COUNTIFS(Table1[Customer ID], "&gt;1", Table1[Customer ID], 1)</f>
        <v>0</v>
      </c>
    </row>
    <row r="932" spans="1:20" hidden="1" x14ac:dyDescent="0.3">
      <c r="A932" s="2" t="s">
        <v>1515</v>
      </c>
      <c r="B932" s="5">
        <v>45829</v>
      </c>
      <c r="C932" s="5" t="str">
        <f>TEXT(B932,"mmm")</f>
        <v>Jun</v>
      </c>
      <c r="D932" s="2" t="s">
        <v>1516</v>
      </c>
      <c r="E932" s="2" t="s">
        <v>14</v>
      </c>
      <c r="F932" s="2" t="str" cm="1">
        <f t="array" ref="F9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32" s="2" t="str" cm="1">
        <f t="array" ref="G9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32" s="2" t="s">
        <v>134</v>
      </c>
      <c r="I932" s="2" t="s">
        <v>29</v>
      </c>
      <c r="J932" s="2">
        <v>2</v>
      </c>
      <c r="K932" s="8">
        <v>1499</v>
      </c>
      <c r="L932" s="3">
        <v>0.2</v>
      </c>
      <c r="M932" s="12">
        <f>K932*L932</f>
        <v>299.8</v>
      </c>
      <c r="N932" s="12">
        <f>K932*J932</f>
        <v>2998</v>
      </c>
      <c r="O932" s="12">
        <f>N932-M932</f>
        <v>2698.2</v>
      </c>
      <c r="P932" s="2" t="s">
        <v>17</v>
      </c>
      <c r="Q932" s="2" t="s">
        <v>18</v>
      </c>
      <c r="R932" s="2">
        <v>40</v>
      </c>
      <c r="S932" s="20">
        <f>Table1[[#This Row],[Net_revenue]]/Table1[[#This Row],[Gross_revenue]]*100%</f>
        <v>0.89999999999999991</v>
      </c>
      <c r="T932" s="18">
        <f>COUNTIFS(Table1[Customer ID], "&gt;1", Table1[Customer ID], 1)</f>
        <v>0</v>
      </c>
    </row>
    <row r="933" spans="1:20" hidden="1" x14ac:dyDescent="0.3">
      <c r="A933" s="2" t="s">
        <v>1517</v>
      </c>
      <c r="B933" s="5">
        <v>45716</v>
      </c>
      <c r="C933" s="5" t="str">
        <f>TEXT(B933,"mmm")</f>
        <v>Feb</v>
      </c>
      <c r="D933" s="2" t="s">
        <v>262</v>
      </c>
      <c r="E933" s="2" t="s">
        <v>75</v>
      </c>
      <c r="F933" s="2" t="str" cm="1">
        <f t="array" ref="F9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933" s="2" t="str" cm="1">
        <f t="array" ref="G9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33" s="2" t="s">
        <v>98</v>
      </c>
      <c r="I933" s="2" t="s">
        <v>37</v>
      </c>
      <c r="J933" s="2">
        <v>1</v>
      </c>
      <c r="K933" s="8">
        <v>299</v>
      </c>
      <c r="L933" s="3">
        <v>0</v>
      </c>
      <c r="M933" s="12">
        <f>K933*L933</f>
        <v>0</v>
      </c>
      <c r="N933" s="12">
        <f>K933*J933</f>
        <v>299</v>
      </c>
      <c r="O933" s="12">
        <f>N933-M933</f>
        <v>299</v>
      </c>
      <c r="P933" s="2" t="s">
        <v>17</v>
      </c>
      <c r="Q933" s="2" t="s">
        <v>18</v>
      </c>
      <c r="R933" s="2">
        <v>40</v>
      </c>
      <c r="S933" s="20">
        <f>Table1[[#This Row],[Net_revenue]]/Table1[[#This Row],[Gross_revenue]]*100%</f>
        <v>1</v>
      </c>
      <c r="T933" s="18">
        <f>COUNTIFS(Table1[Customer ID], "&gt;1", Table1[Customer ID], 1)</f>
        <v>0</v>
      </c>
    </row>
    <row r="934" spans="1:20" hidden="1" x14ac:dyDescent="0.3">
      <c r="A934" s="2" t="s">
        <v>1518</v>
      </c>
      <c r="B934" s="5">
        <v>45766</v>
      </c>
      <c r="C934" s="5" t="str">
        <f>TEXT(B934,"mmm")</f>
        <v>Apr</v>
      </c>
      <c r="D934" s="2" t="s">
        <v>1504</v>
      </c>
      <c r="E934" s="2" t="s">
        <v>56</v>
      </c>
      <c r="F934" s="2" t="str" cm="1">
        <f t="array" ref="F9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34" s="2" t="str" cm="1">
        <f t="array" ref="G9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34" s="2" t="s">
        <v>65</v>
      </c>
      <c r="I934" s="2" t="s">
        <v>23</v>
      </c>
      <c r="J934" s="2">
        <v>3</v>
      </c>
      <c r="K934" s="8">
        <v>1899</v>
      </c>
      <c r="L934" s="3">
        <v>0.25</v>
      </c>
      <c r="M934" s="12">
        <f>K934*L934</f>
        <v>474.75</v>
      </c>
      <c r="N934" s="12">
        <f>K934*J934</f>
        <v>5697</v>
      </c>
      <c r="O934" s="12">
        <f>N934-M934</f>
        <v>5222.25</v>
      </c>
      <c r="P934" s="2" t="s">
        <v>45</v>
      </c>
      <c r="Q934" s="2" t="s">
        <v>18</v>
      </c>
      <c r="R934" s="2">
        <v>0</v>
      </c>
      <c r="S934" s="20">
        <f>Table1[[#This Row],[Net_revenue]]/Table1[[#This Row],[Gross_revenue]]*100%</f>
        <v>0.91666666666666663</v>
      </c>
      <c r="T934" s="18">
        <f>COUNTIFS(Table1[Customer ID], "&gt;1", Table1[Customer ID], 1)</f>
        <v>0</v>
      </c>
    </row>
    <row r="935" spans="1:20" hidden="1" x14ac:dyDescent="0.3">
      <c r="A935" s="2" t="s">
        <v>1519</v>
      </c>
      <c r="B935" s="5">
        <v>45835</v>
      </c>
      <c r="C935" s="5" t="str">
        <f>TEXT(B935,"mmm")</f>
        <v>Jun</v>
      </c>
      <c r="D935" s="2" t="s">
        <v>1520</v>
      </c>
      <c r="E935" s="2" t="s">
        <v>21</v>
      </c>
      <c r="F935" s="2" t="str" cm="1">
        <f t="array" ref="F9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35" s="2" t="str" cm="1">
        <f t="array" ref="G9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35" s="2" t="s">
        <v>89</v>
      </c>
      <c r="I935" s="2" t="s">
        <v>29</v>
      </c>
      <c r="J935" s="2">
        <v>3</v>
      </c>
      <c r="K935" s="8">
        <v>449</v>
      </c>
      <c r="L935" s="3">
        <v>0.25</v>
      </c>
      <c r="M935" s="12">
        <f>K935*L935</f>
        <v>112.25</v>
      </c>
      <c r="N935" s="12">
        <f>K935*J935</f>
        <v>1347</v>
      </c>
      <c r="O935" s="12">
        <f>N935-M935</f>
        <v>1234.75</v>
      </c>
      <c r="P935" s="2" t="s">
        <v>30</v>
      </c>
      <c r="Q935" s="2" t="s">
        <v>50</v>
      </c>
      <c r="R935" s="2">
        <v>80</v>
      </c>
      <c r="S935" s="20">
        <f>Table1[[#This Row],[Net_revenue]]/Table1[[#This Row],[Gross_revenue]]*100%</f>
        <v>0.91666666666666663</v>
      </c>
      <c r="T935" s="18">
        <f>COUNTIFS(Table1[Customer ID], "&gt;1", Table1[Customer ID], 1)</f>
        <v>0</v>
      </c>
    </row>
    <row r="936" spans="1:20" hidden="1" x14ac:dyDescent="0.3">
      <c r="A936" s="2" t="s">
        <v>1521</v>
      </c>
      <c r="B936" s="5">
        <v>45687</v>
      </c>
      <c r="C936" s="5" t="str">
        <f>TEXT(B936,"mmm")</f>
        <v>Jan</v>
      </c>
      <c r="D936" s="2" t="s">
        <v>402</v>
      </c>
      <c r="E936" s="2" t="s">
        <v>40</v>
      </c>
      <c r="F936" s="2" t="str" cm="1">
        <f t="array" ref="F9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36" s="2" t="str" cm="1">
        <f t="array" ref="G9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36" s="2" t="s">
        <v>15</v>
      </c>
      <c r="I936" s="2" t="s">
        <v>16</v>
      </c>
      <c r="J936" s="2">
        <v>1</v>
      </c>
      <c r="K936" s="8">
        <v>1799</v>
      </c>
      <c r="L936" s="3">
        <v>0.25</v>
      </c>
      <c r="M936" s="12">
        <f>K936*L936</f>
        <v>449.75</v>
      </c>
      <c r="N936" s="12">
        <f>K936*J936</f>
        <v>1799</v>
      </c>
      <c r="O936" s="12">
        <f>N936-M936</f>
        <v>1349.25</v>
      </c>
      <c r="P936" s="2" t="s">
        <v>45</v>
      </c>
      <c r="Q936" s="2" t="s">
        <v>18</v>
      </c>
      <c r="R936" s="2">
        <v>40</v>
      </c>
      <c r="S936" s="20">
        <f>Table1[[#This Row],[Net_revenue]]/Table1[[#This Row],[Gross_revenue]]*100%</f>
        <v>0.75</v>
      </c>
      <c r="T936" s="18">
        <f>COUNTIFS(Table1[Customer ID], "&gt;1", Table1[Customer ID], 1)</f>
        <v>0</v>
      </c>
    </row>
    <row r="937" spans="1:20" hidden="1" x14ac:dyDescent="0.3">
      <c r="A937" s="2" t="s">
        <v>1522</v>
      </c>
      <c r="B937" s="5">
        <v>45724</v>
      </c>
      <c r="C937" s="5" t="str">
        <f>TEXT(B937,"mmm")</f>
        <v>Mar</v>
      </c>
      <c r="D937" s="2" t="s">
        <v>1022</v>
      </c>
      <c r="E937" s="2" t="s">
        <v>48</v>
      </c>
      <c r="F937" s="2" t="str" cm="1">
        <f t="array" ref="F9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37" s="2" t="str" cm="1">
        <f t="array" ref="G9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37" s="2" t="s">
        <v>44</v>
      </c>
      <c r="I937" s="2" t="s">
        <v>16</v>
      </c>
      <c r="J937" s="2">
        <v>1</v>
      </c>
      <c r="K937" s="8">
        <v>1599</v>
      </c>
      <c r="L937" s="3">
        <v>0</v>
      </c>
      <c r="M937" s="12">
        <f>K937*L937</f>
        <v>0</v>
      </c>
      <c r="N937" s="12">
        <f>K937*J937</f>
        <v>1599</v>
      </c>
      <c r="O937" s="12">
        <f>N937-M937</f>
        <v>1599</v>
      </c>
      <c r="P937" s="2" t="s">
        <v>45</v>
      </c>
      <c r="Q937" s="2" t="s">
        <v>18</v>
      </c>
      <c r="R937" s="2">
        <v>0</v>
      </c>
      <c r="S937" s="20">
        <f>Table1[[#This Row],[Net_revenue]]/Table1[[#This Row],[Gross_revenue]]*100%</f>
        <v>1</v>
      </c>
      <c r="T937" s="18">
        <f>COUNTIFS(Table1[Customer ID], "&gt;1", Table1[Customer ID], 1)</f>
        <v>0</v>
      </c>
    </row>
    <row r="938" spans="1:20" hidden="1" x14ac:dyDescent="0.3">
      <c r="A938" s="2" t="s">
        <v>1523</v>
      </c>
      <c r="B938" s="5">
        <v>45914</v>
      </c>
      <c r="C938" s="5" t="str">
        <f>TEXT(B938,"mmm")</f>
        <v>Sep</v>
      </c>
      <c r="D938" s="2" t="s">
        <v>387</v>
      </c>
      <c r="E938" s="2" t="s">
        <v>48</v>
      </c>
      <c r="F938" s="2" t="str" cm="1">
        <f t="array" ref="F9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38" s="2" t="str" cm="1">
        <f t="array" ref="G9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38" s="2" t="s">
        <v>134</v>
      </c>
      <c r="I938" s="2" t="s">
        <v>29</v>
      </c>
      <c r="J938" s="2">
        <v>1</v>
      </c>
      <c r="K938" s="8">
        <v>1499</v>
      </c>
      <c r="L938" s="3">
        <v>0.25</v>
      </c>
      <c r="M938" s="12">
        <f>K938*L938</f>
        <v>374.75</v>
      </c>
      <c r="N938" s="12">
        <f>K938*J938</f>
        <v>1499</v>
      </c>
      <c r="O938" s="12">
        <f>N938-M938</f>
        <v>1124.25</v>
      </c>
      <c r="P938" s="2" t="s">
        <v>45</v>
      </c>
      <c r="Q938" s="2" t="s">
        <v>18</v>
      </c>
      <c r="R938" s="2">
        <v>60</v>
      </c>
      <c r="S938" s="20">
        <f>Table1[[#This Row],[Net_revenue]]/Table1[[#This Row],[Gross_revenue]]*100%</f>
        <v>0.75</v>
      </c>
      <c r="T938" s="18">
        <f>COUNTIFS(Table1[Customer ID], "&gt;1", Table1[Customer ID], 1)</f>
        <v>0</v>
      </c>
    </row>
    <row r="939" spans="1:20" hidden="1" x14ac:dyDescent="0.3">
      <c r="A939" s="2" t="s">
        <v>1524</v>
      </c>
      <c r="B939" s="5">
        <v>45986</v>
      </c>
      <c r="C939" s="5" t="str">
        <f>TEXT(B939,"mmm")</f>
        <v>Nov</v>
      </c>
      <c r="D939" s="2" t="s">
        <v>237</v>
      </c>
      <c r="E939" s="2" t="s">
        <v>56</v>
      </c>
      <c r="F939" s="2" t="str" cm="1">
        <f t="array" ref="F9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39" s="2" t="str" cm="1">
        <f t="array" ref="G9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39" s="2" t="s">
        <v>80</v>
      </c>
      <c r="I939" s="2" t="s">
        <v>23</v>
      </c>
      <c r="J939" s="2">
        <v>5</v>
      </c>
      <c r="K939" s="8">
        <v>799</v>
      </c>
      <c r="L939" s="3">
        <v>0.1</v>
      </c>
      <c r="M939" s="12">
        <f>K939*L939</f>
        <v>79.900000000000006</v>
      </c>
      <c r="N939" s="12">
        <f>K939*J939</f>
        <v>3995</v>
      </c>
      <c r="O939" s="12">
        <f>N939-M939</f>
        <v>3915.1</v>
      </c>
      <c r="P939" s="2" t="s">
        <v>45</v>
      </c>
      <c r="Q939" s="2" t="s">
        <v>18</v>
      </c>
      <c r="R939" s="2">
        <v>60</v>
      </c>
      <c r="S939" s="20">
        <f>Table1[[#This Row],[Net_revenue]]/Table1[[#This Row],[Gross_revenue]]*100%</f>
        <v>0.98</v>
      </c>
      <c r="T939" s="18">
        <f>COUNTIFS(Table1[Customer ID], "&gt;1", Table1[Customer ID], 1)</f>
        <v>0</v>
      </c>
    </row>
    <row r="940" spans="1:20" hidden="1" x14ac:dyDescent="0.3">
      <c r="A940" s="2" t="s">
        <v>1525</v>
      </c>
      <c r="B940" s="5">
        <v>45975</v>
      </c>
      <c r="C940" s="5" t="str">
        <f>TEXT(B940,"mmm")</f>
        <v>Nov</v>
      </c>
      <c r="D940" s="2" t="s">
        <v>335</v>
      </c>
      <c r="E940" s="2" t="s">
        <v>21</v>
      </c>
      <c r="F940" s="2" t="str" cm="1">
        <f t="array" ref="F9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40" s="2" t="str" cm="1">
        <f t="array" ref="G9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40" s="2" t="s">
        <v>65</v>
      </c>
      <c r="I940" s="2" t="s">
        <v>23</v>
      </c>
      <c r="J940" s="2">
        <v>1</v>
      </c>
      <c r="K940" s="8">
        <v>1899</v>
      </c>
      <c r="L940" s="3">
        <v>0</v>
      </c>
      <c r="M940" s="12">
        <f>K940*L940</f>
        <v>0</v>
      </c>
      <c r="N940" s="12">
        <f>K940*J940</f>
        <v>1899</v>
      </c>
      <c r="O940" s="12">
        <f>N940-M940</f>
        <v>1899</v>
      </c>
      <c r="P940" s="2" t="s">
        <v>17</v>
      </c>
      <c r="Q940" s="2" t="s">
        <v>18</v>
      </c>
      <c r="R940" s="2">
        <v>60</v>
      </c>
      <c r="S940" s="20">
        <f>Table1[[#This Row],[Net_revenue]]/Table1[[#This Row],[Gross_revenue]]*100%</f>
        <v>1</v>
      </c>
      <c r="T940" s="18">
        <f>COUNTIFS(Table1[Customer ID], "&gt;1", Table1[Customer ID], 1)</f>
        <v>0</v>
      </c>
    </row>
    <row r="941" spans="1:20" hidden="1" x14ac:dyDescent="0.3">
      <c r="A941" s="2" t="s">
        <v>1526</v>
      </c>
      <c r="B941" s="5">
        <v>45698</v>
      </c>
      <c r="C941" s="5" t="str">
        <f>TEXT(B941,"mmm")</f>
        <v>Feb</v>
      </c>
      <c r="D941" s="2" t="s">
        <v>1197</v>
      </c>
      <c r="E941" s="2" t="s">
        <v>75</v>
      </c>
      <c r="F941" s="2" t="str" cm="1">
        <f t="array" ref="F9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941" s="2" t="str" cm="1">
        <f t="array" ref="G9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41" s="2" t="s">
        <v>22</v>
      </c>
      <c r="I941" s="2" t="s">
        <v>23</v>
      </c>
      <c r="J941" s="2">
        <v>4</v>
      </c>
      <c r="K941" s="8">
        <v>3999</v>
      </c>
      <c r="L941" s="3">
        <v>0</v>
      </c>
      <c r="M941" s="12">
        <f>K941*L941</f>
        <v>0</v>
      </c>
      <c r="N941" s="12">
        <f>K941*J941</f>
        <v>15996</v>
      </c>
      <c r="O941" s="12">
        <f>N941-M941</f>
        <v>15996</v>
      </c>
      <c r="P941" s="2" t="s">
        <v>24</v>
      </c>
      <c r="Q941" s="2" t="s">
        <v>18</v>
      </c>
      <c r="R941" s="2">
        <v>60</v>
      </c>
      <c r="S941" s="20">
        <f>Table1[[#This Row],[Net_revenue]]/Table1[[#This Row],[Gross_revenue]]*100%</f>
        <v>1</v>
      </c>
      <c r="T941" s="18">
        <f>COUNTIFS(Table1[Customer ID], "&gt;1", Table1[Customer ID], 1)</f>
        <v>0</v>
      </c>
    </row>
    <row r="942" spans="1:20" hidden="1" x14ac:dyDescent="0.3">
      <c r="A942" s="2" t="s">
        <v>1527</v>
      </c>
      <c r="B942" s="5">
        <v>45851</v>
      </c>
      <c r="C942" s="5" t="str">
        <f>TEXT(B942,"mmm")</f>
        <v>Jul</v>
      </c>
      <c r="D942" s="2" t="s">
        <v>1528</v>
      </c>
      <c r="E942" s="2" t="s">
        <v>27</v>
      </c>
      <c r="F942" s="2" t="str" cm="1">
        <f t="array" ref="F9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42" s="2" t="str" cm="1">
        <f t="array" ref="G9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42" s="2" t="s">
        <v>89</v>
      </c>
      <c r="I942" s="2" t="s">
        <v>29</v>
      </c>
      <c r="J942" s="2">
        <v>1</v>
      </c>
      <c r="K942" s="8">
        <v>449</v>
      </c>
      <c r="L942" s="3">
        <v>0.2</v>
      </c>
      <c r="M942" s="12">
        <f>K942*L942</f>
        <v>89.800000000000011</v>
      </c>
      <c r="N942" s="12">
        <f>K942*J942</f>
        <v>449</v>
      </c>
      <c r="O942" s="12">
        <f>N942-M942</f>
        <v>359.2</v>
      </c>
      <c r="P942" s="2" t="s">
        <v>45</v>
      </c>
      <c r="Q942" s="2" t="s">
        <v>18</v>
      </c>
      <c r="R942" s="2">
        <v>80</v>
      </c>
      <c r="S942" s="20">
        <f>Table1[[#This Row],[Net_revenue]]/Table1[[#This Row],[Gross_revenue]]*100%</f>
        <v>0.79999999999999993</v>
      </c>
      <c r="T942" s="18">
        <f>COUNTIFS(Table1[Customer ID], "&gt;1", Table1[Customer ID], 1)</f>
        <v>0</v>
      </c>
    </row>
    <row r="943" spans="1:20" hidden="1" x14ac:dyDescent="0.3">
      <c r="A943" s="2" t="s">
        <v>1529</v>
      </c>
      <c r="B943" s="5">
        <v>45822</v>
      </c>
      <c r="C943" s="5" t="str">
        <f>TEXT(B943,"mmm")</f>
        <v>Jun</v>
      </c>
      <c r="D943" s="2" t="s">
        <v>1530</v>
      </c>
      <c r="E943" s="2" t="s">
        <v>40</v>
      </c>
      <c r="F943" s="2" t="str" cm="1">
        <f t="array" ref="F9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43" s="2" t="str" cm="1">
        <f t="array" ref="G9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43" s="2" t="s">
        <v>41</v>
      </c>
      <c r="I943" s="2" t="s">
        <v>16</v>
      </c>
      <c r="J943" s="2">
        <v>1</v>
      </c>
      <c r="K943" s="8">
        <v>2299</v>
      </c>
      <c r="L943" s="3">
        <v>0.2</v>
      </c>
      <c r="M943" s="12">
        <f>K943*L943</f>
        <v>459.8</v>
      </c>
      <c r="N943" s="12">
        <f>K943*J943</f>
        <v>2299</v>
      </c>
      <c r="O943" s="12">
        <f>N943-M943</f>
        <v>1839.2</v>
      </c>
      <c r="P943" s="2" t="s">
        <v>17</v>
      </c>
      <c r="Q943" s="2" t="s">
        <v>18</v>
      </c>
      <c r="R943" s="2">
        <v>60</v>
      </c>
      <c r="S943" s="20">
        <f>Table1[[#This Row],[Net_revenue]]/Table1[[#This Row],[Gross_revenue]]*100%</f>
        <v>0.8</v>
      </c>
      <c r="T943" s="18">
        <f>COUNTIFS(Table1[Customer ID], "&gt;1", Table1[Customer ID], 1)</f>
        <v>0</v>
      </c>
    </row>
    <row r="944" spans="1:20" hidden="1" x14ac:dyDescent="0.3">
      <c r="A944" s="2" t="s">
        <v>1531</v>
      </c>
      <c r="B944" s="5">
        <v>46016</v>
      </c>
      <c r="C944" s="5" t="str">
        <f>TEXT(B944,"mmm")</f>
        <v>Dec</v>
      </c>
      <c r="D944" s="2" t="s">
        <v>860</v>
      </c>
      <c r="E944" s="2" t="s">
        <v>48</v>
      </c>
      <c r="F944" s="2" t="str" cm="1">
        <f t="array" ref="F9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44" s="2" t="str" cm="1">
        <f t="array" ref="G9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44" s="2" t="s">
        <v>80</v>
      </c>
      <c r="I944" s="2" t="s">
        <v>23</v>
      </c>
      <c r="J944" s="2">
        <v>2</v>
      </c>
      <c r="K944" s="8">
        <v>799</v>
      </c>
      <c r="L944" s="3">
        <v>0.2</v>
      </c>
      <c r="M944" s="12">
        <f>K944*L944</f>
        <v>159.80000000000001</v>
      </c>
      <c r="N944" s="12">
        <f>K944*J944</f>
        <v>1598</v>
      </c>
      <c r="O944" s="12">
        <f>N944-M944</f>
        <v>1438.2</v>
      </c>
      <c r="P944" s="2" t="s">
        <v>45</v>
      </c>
      <c r="Q944" s="2" t="s">
        <v>18</v>
      </c>
      <c r="R944" s="2">
        <v>0</v>
      </c>
      <c r="S944" s="20">
        <f>Table1[[#This Row],[Net_revenue]]/Table1[[#This Row],[Gross_revenue]]*100%</f>
        <v>0.9</v>
      </c>
      <c r="T944" s="18">
        <f>COUNTIFS(Table1[Customer ID], "&gt;1", Table1[Customer ID], 1)</f>
        <v>0</v>
      </c>
    </row>
    <row r="945" spans="1:20" hidden="1" x14ac:dyDescent="0.3">
      <c r="A945" s="2" t="s">
        <v>1532</v>
      </c>
      <c r="B945" s="5">
        <v>45921</v>
      </c>
      <c r="C945" s="5" t="str">
        <f>TEXT(B945,"mmm")</f>
        <v>Sep</v>
      </c>
      <c r="D945" s="2" t="s">
        <v>1533</v>
      </c>
      <c r="E945" s="2" t="s">
        <v>21</v>
      </c>
      <c r="F945" s="2" t="str" cm="1">
        <f t="array" ref="F9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45" s="2" t="str" cm="1">
        <f t="array" ref="G9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45" s="2" t="s">
        <v>121</v>
      </c>
      <c r="I945" s="2" t="s">
        <v>95</v>
      </c>
      <c r="J945" s="2">
        <v>1</v>
      </c>
      <c r="K945" s="8">
        <v>1299</v>
      </c>
      <c r="L945" s="3">
        <v>0.1</v>
      </c>
      <c r="M945" s="12">
        <f>K945*L945</f>
        <v>129.9</v>
      </c>
      <c r="N945" s="12">
        <f>K945*J945</f>
        <v>1299</v>
      </c>
      <c r="O945" s="12">
        <f>N945-M945</f>
        <v>1169.0999999999999</v>
      </c>
      <c r="P945" s="2" t="s">
        <v>45</v>
      </c>
      <c r="Q945" s="2" t="s">
        <v>72</v>
      </c>
      <c r="R945" s="2">
        <v>0</v>
      </c>
      <c r="S945" s="20">
        <f>Table1[[#This Row],[Net_revenue]]/Table1[[#This Row],[Gross_revenue]]*100%</f>
        <v>0.89999999999999991</v>
      </c>
      <c r="T945" s="18">
        <f>COUNTIFS(Table1[Customer ID], "&gt;1", Table1[Customer ID], 1)</f>
        <v>0</v>
      </c>
    </row>
    <row r="946" spans="1:20" hidden="1" x14ac:dyDescent="0.3">
      <c r="A946" s="2" t="s">
        <v>1534</v>
      </c>
      <c r="B946" s="5">
        <v>45995</v>
      </c>
      <c r="C946" s="5" t="str">
        <f>TEXT(B946,"mmm")</f>
        <v>Dec</v>
      </c>
      <c r="D946" s="2" t="s">
        <v>918</v>
      </c>
      <c r="E946" s="2" t="s">
        <v>120</v>
      </c>
      <c r="F946" s="2" t="str" cm="1">
        <f t="array" ref="F9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46" s="2" t="str" cm="1">
        <f t="array" ref="G9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46" s="2" t="s">
        <v>217</v>
      </c>
      <c r="I946" s="2" t="s">
        <v>29</v>
      </c>
      <c r="J946" s="2">
        <v>1</v>
      </c>
      <c r="K946" s="8">
        <v>3299</v>
      </c>
      <c r="L946" s="3">
        <v>0.1</v>
      </c>
      <c r="M946" s="12">
        <f>K946*L946</f>
        <v>329.90000000000003</v>
      </c>
      <c r="N946" s="12">
        <f>K946*J946</f>
        <v>3299</v>
      </c>
      <c r="O946" s="12">
        <f>N946-M946</f>
        <v>2969.1</v>
      </c>
      <c r="P946" s="2" t="s">
        <v>45</v>
      </c>
      <c r="Q946" s="2" t="s">
        <v>18</v>
      </c>
      <c r="R946" s="2">
        <v>80</v>
      </c>
      <c r="S946" s="20">
        <f>Table1[[#This Row],[Net_revenue]]/Table1[[#This Row],[Gross_revenue]]*100%</f>
        <v>0.9</v>
      </c>
      <c r="T946" s="18">
        <f>COUNTIFS(Table1[Customer ID], "&gt;1", Table1[Customer ID], 1)</f>
        <v>0</v>
      </c>
    </row>
    <row r="947" spans="1:20" hidden="1" x14ac:dyDescent="0.3">
      <c r="A947" s="2" t="s">
        <v>1535</v>
      </c>
      <c r="B947" s="5">
        <v>45711</v>
      </c>
      <c r="C947" s="5" t="str">
        <f>TEXT(B947,"mmm")</f>
        <v>Feb</v>
      </c>
      <c r="D947" s="2" t="s">
        <v>1528</v>
      </c>
      <c r="E947" s="2" t="s">
        <v>56</v>
      </c>
      <c r="F947" s="2" t="str" cm="1">
        <f t="array" ref="F9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47" s="2" t="str" cm="1">
        <f t="array" ref="G9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47" s="2" t="s">
        <v>49</v>
      </c>
      <c r="I947" s="2" t="s">
        <v>23</v>
      </c>
      <c r="J947" s="2">
        <v>1</v>
      </c>
      <c r="K947" s="8">
        <v>1299</v>
      </c>
      <c r="L947" s="3">
        <v>0</v>
      </c>
      <c r="M947" s="12">
        <f>K947*L947</f>
        <v>0</v>
      </c>
      <c r="N947" s="12">
        <f>K947*J947</f>
        <v>1299</v>
      </c>
      <c r="O947" s="12">
        <f>N947-M947</f>
        <v>1299</v>
      </c>
      <c r="P947" s="2" t="s">
        <v>17</v>
      </c>
      <c r="Q947" s="2" t="s">
        <v>18</v>
      </c>
      <c r="R947" s="2">
        <v>80</v>
      </c>
      <c r="S947" s="20">
        <f>Table1[[#This Row],[Net_revenue]]/Table1[[#This Row],[Gross_revenue]]*100%</f>
        <v>1</v>
      </c>
      <c r="T947" s="18">
        <f>COUNTIFS(Table1[Customer ID], "&gt;1", Table1[Customer ID], 1)</f>
        <v>0</v>
      </c>
    </row>
    <row r="948" spans="1:20" hidden="1" x14ac:dyDescent="0.3">
      <c r="A948" s="2" t="s">
        <v>1536</v>
      </c>
      <c r="B948" s="5">
        <v>45898</v>
      </c>
      <c r="C948" s="5" t="str">
        <f>TEXT(B948,"mmm")</f>
        <v>Aug</v>
      </c>
      <c r="D948" s="2" t="s">
        <v>1537</v>
      </c>
      <c r="E948" s="2" t="s">
        <v>21</v>
      </c>
      <c r="F948" s="2" t="str" cm="1">
        <f t="array" ref="F9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48" s="2" t="str" cm="1">
        <f t="array" ref="G9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48" s="2" t="s">
        <v>44</v>
      </c>
      <c r="I948" s="2" t="s">
        <v>16</v>
      </c>
      <c r="J948" s="2">
        <v>1</v>
      </c>
      <c r="K948" s="8">
        <v>1599</v>
      </c>
      <c r="L948" s="3">
        <v>0.05</v>
      </c>
      <c r="M948" s="12">
        <f>K948*L948</f>
        <v>79.95</v>
      </c>
      <c r="N948" s="12">
        <f>K948*J948</f>
        <v>1599</v>
      </c>
      <c r="O948" s="12">
        <f>N948-M948</f>
        <v>1519.05</v>
      </c>
      <c r="P948" s="2" t="s">
        <v>45</v>
      </c>
      <c r="Q948" s="2" t="s">
        <v>18</v>
      </c>
      <c r="R948" s="2">
        <v>80</v>
      </c>
      <c r="S948" s="20">
        <f>Table1[[#This Row],[Net_revenue]]/Table1[[#This Row],[Gross_revenue]]*100%</f>
        <v>0.95</v>
      </c>
      <c r="T948" s="18">
        <f>COUNTIFS(Table1[Customer ID], "&gt;1", Table1[Customer ID], 1)</f>
        <v>0</v>
      </c>
    </row>
    <row r="949" spans="1:20" hidden="1" x14ac:dyDescent="0.3">
      <c r="A949" s="2" t="s">
        <v>1538</v>
      </c>
      <c r="B949" s="5">
        <v>46004</v>
      </c>
      <c r="C949" s="5" t="str">
        <f>TEXT(B949,"mmm")</f>
        <v>Dec</v>
      </c>
      <c r="D949" s="2" t="s">
        <v>278</v>
      </c>
      <c r="E949" s="2" t="s">
        <v>21</v>
      </c>
      <c r="F949" s="2" t="str" cm="1">
        <f t="array" ref="F9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49" s="2" t="str" cm="1">
        <f t="array" ref="G9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49" s="2" t="s">
        <v>22</v>
      </c>
      <c r="I949" s="2" t="s">
        <v>23</v>
      </c>
      <c r="J949" s="2">
        <v>2</v>
      </c>
      <c r="K949" s="8">
        <v>3999</v>
      </c>
      <c r="L949" s="3">
        <v>0</v>
      </c>
      <c r="M949" s="12">
        <f>K949*L949</f>
        <v>0</v>
      </c>
      <c r="N949" s="12">
        <f>K949*J949</f>
        <v>7998</v>
      </c>
      <c r="O949" s="12">
        <f>N949-M949</f>
        <v>7998</v>
      </c>
      <c r="P949" s="2" t="s">
        <v>17</v>
      </c>
      <c r="Q949" s="2" t="s">
        <v>50</v>
      </c>
      <c r="R949" s="2">
        <v>60</v>
      </c>
      <c r="S949" s="20">
        <f>Table1[[#This Row],[Net_revenue]]/Table1[[#This Row],[Gross_revenue]]*100%</f>
        <v>1</v>
      </c>
      <c r="T949" s="18">
        <f>COUNTIFS(Table1[Customer ID], "&gt;1", Table1[Customer ID], 1)</f>
        <v>0</v>
      </c>
    </row>
    <row r="950" spans="1:20" hidden="1" x14ac:dyDescent="0.3">
      <c r="A950" s="2" t="s">
        <v>1539</v>
      </c>
      <c r="B950" s="5">
        <v>45701</v>
      </c>
      <c r="C950" s="5" t="str">
        <f>TEXT(B950,"mmm")</f>
        <v>Feb</v>
      </c>
      <c r="D950" s="2" t="s">
        <v>432</v>
      </c>
      <c r="E950" s="2" t="s">
        <v>48</v>
      </c>
      <c r="F950" s="2" t="str" cm="1">
        <f t="array" ref="F9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50" s="2" t="str" cm="1">
        <f t="array" ref="G9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50" s="2" t="s">
        <v>117</v>
      </c>
      <c r="I950" s="2" t="s">
        <v>23</v>
      </c>
      <c r="J950" s="2">
        <v>1</v>
      </c>
      <c r="K950" s="8">
        <v>2199</v>
      </c>
      <c r="L950" s="3">
        <v>0</v>
      </c>
      <c r="M950" s="12">
        <f>K950*L950</f>
        <v>0</v>
      </c>
      <c r="N950" s="12">
        <f>K950*J950</f>
        <v>2199</v>
      </c>
      <c r="O950" s="12">
        <f>N950-M950</f>
        <v>2199</v>
      </c>
      <c r="P950" s="2" t="s">
        <v>17</v>
      </c>
      <c r="Q950" s="2" t="s">
        <v>18</v>
      </c>
      <c r="R950" s="2">
        <v>40</v>
      </c>
      <c r="S950" s="20">
        <f>Table1[[#This Row],[Net_revenue]]/Table1[[#This Row],[Gross_revenue]]*100%</f>
        <v>1</v>
      </c>
      <c r="T950" s="18">
        <f>COUNTIFS(Table1[Customer ID], "&gt;1", Table1[Customer ID], 1)</f>
        <v>0</v>
      </c>
    </row>
    <row r="951" spans="1:20" hidden="1" x14ac:dyDescent="0.3">
      <c r="A951" s="2" t="s">
        <v>1540</v>
      </c>
      <c r="B951" s="5">
        <v>45787</v>
      </c>
      <c r="C951" s="5" t="str">
        <f>TEXT(B951,"mmm")</f>
        <v>May</v>
      </c>
      <c r="D951" s="2" t="s">
        <v>421</v>
      </c>
      <c r="E951" s="2" t="s">
        <v>21</v>
      </c>
      <c r="F951" s="2" t="str" cm="1">
        <f t="array" ref="F9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51" s="2" t="str" cm="1">
        <f t="array" ref="G9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51" s="2" t="s">
        <v>63</v>
      </c>
      <c r="I951" s="2" t="s">
        <v>23</v>
      </c>
      <c r="J951" s="2">
        <v>1</v>
      </c>
      <c r="K951" s="8">
        <v>2499</v>
      </c>
      <c r="L951" s="3">
        <v>0.1</v>
      </c>
      <c r="M951" s="12">
        <f>K951*L951</f>
        <v>249.9</v>
      </c>
      <c r="N951" s="12">
        <f>K951*J951</f>
        <v>2499</v>
      </c>
      <c r="O951" s="12">
        <f>N951-M951</f>
        <v>2249.1</v>
      </c>
      <c r="P951" s="2" t="s">
        <v>30</v>
      </c>
      <c r="Q951" s="2" t="s">
        <v>18</v>
      </c>
      <c r="R951" s="2">
        <v>0</v>
      </c>
      <c r="S951" s="20">
        <f>Table1[[#This Row],[Net_revenue]]/Table1[[#This Row],[Gross_revenue]]*100%</f>
        <v>0.89999999999999991</v>
      </c>
      <c r="T951" s="18">
        <f>COUNTIFS(Table1[Customer ID], "&gt;1", Table1[Customer ID], 1)</f>
        <v>0</v>
      </c>
    </row>
    <row r="952" spans="1:20" hidden="1" x14ac:dyDescent="0.3">
      <c r="A952" s="2" t="s">
        <v>1541</v>
      </c>
      <c r="B952" s="5">
        <v>45696</v>
      </c>
      <c r="C952" s="5" t="str">
        <f>TEXT(B952,"mmm")</f>
        <v>Feb</v>
      </c>
      <c r="D952" s="2" t="s">
        <v>1089</v>
      </c>
      <c r="E952" s="2" t="s">
        <v>120</v>
      </c>
      <c r="F952" s="2" t="str" cm="1">
        <f t="array" ref="F9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52" s="2" t="str" cm="1">
        <f t="array" ref="G9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52" s="2" t="s">
        <v>68</v>
      </c>
      <c r="I952" s="2" t="s">
        <v>16</v>
      </c>
      <c r="J952" s="2">
        <v>3</v>
      </c>
      <c r="K952" s="8">
        <v>599</v>
      </c>
      <c r="L952" s="3">
        <v>0</v>
      </c>
      <c r="M952" s="12">
        <f>K952*L952</f>
        <v>0</v>
      </c>
      <c r="N952" s="12">
        <f>K952*J952</f>
        <v>1797</v>
      </c>
      <c r="O952" s="12">
        <f>N952-M952</f>
        <v>1797</v>
      </c>
      <c r="P952" s="2" t="s">
        <v>17</v>
      </c>
      <c r="Q952" s="2" t="s">
        <v>18</v>
      </c>
      <c r="R952" s="2">
        <v>0</v>
      </c>
      <c r="S952" s="20">
        <f>Table1[[#This Row],[Net_revenue]]/Table1[[#This Row],[Gross_revenue]]*100%</f>
        <v>1</v>
      </c>
      <c r="T952" s="18">
        <f>COUNTIFS(Table1[Customer ID], "&gt;1", Table1[Customer ID], 1)</f>
        <v>0</v>
      </c>
    </row>
    <row r="953" spans="1:20" hidden="1" x14ac:dyDescent="0.3">
      <c r="A953" s="2" t="s">
        <v>1542</v>
      </c>
      <c r="B953" s="5">
        <v>45895</v>
      </c>
      <c r="C953" s="5" t="str">
        <f>TEXT(B953,"mmm")</f>
        <v>Aug</v>
      </c>
      <c r="D953" s="2" t="s">
        <v>1543</v>
      </c>
      <c r="E953" s="2" t="s">
        <v>56</v>
      </c>
      <c r="F953" s="2" t="str" cm="1">
        <f t="array" ref="F9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53" s="2" t="str" cm="1">
        <f t="array" ref="G9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53" s="2" t="s">
        <v>41</v>
      </c>
      <c r="I953" s="2" t="s">
        <v>16</v>
      </c>
      <c r="J953" s="2">
        <v>3</v>
      </c>
      <c r="K953" s="8">
        <v>2299</v>
      </c>
      <c r="L953" s="3">
        <v>0.1</v>
      </c>
      <c r="M953" s="12">
        <f>K953*L953</f>
        <v>229.9</v>
      </c>
      <c r="N953" s="12">
        <f>K953*J953</f>
        <v>6897</v>
      </c>
      <c r="O953" s="12">
        <f>N953-M953</f>
        <v>6667.1</v>
      </c>
      <c r="P953" s="2" t="s">
        <v>45</v>
      </c>
      <c r="Q953" s="2" t="s">
        <v>18</v>
      </c>
      <c r="R953" s="2">
        <v>80</v>
      </c>
      <c r="S953" s="20">
        <f>Table1[[#This Row],[Net_revenue]]/Table1[[#This Row],[Gross_revenue]]*100%</f>
        <v>0.96666666666666667</v>
      </c>
      <c r="T953" s="18">
        <f>COUNTIFS(Table1[Customer ID], "&gt;1", Table1[Customer ID], 1)</f>
        <v>0</v>
      </c>
    </row>
    <row r="954" spans="1:20" hidden="1" x14ac:dyDescent="0.3">
      <c r="A954" s="2" t="s">
        <v>1544</v>
      </c>
      <c r="B954" s="5">
        <v>45700</v>
      </c>
      <c r="C954" s="5" t="str">
        <f>TEXT(B954,"mmm")</f>
        <v>Feb</v>
      </c>
      <c r="D954" s="2" t="s">
        <v>1257</v>
      </c>
      <c r="E954" s="2" t="s">
        <v>40</v>
      </c>
      <c r="F954" s="2" t="str" cm="1">
        <f t="array" ref="F9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54" s="2" t="str" cm="1">
        <f t="array" ref="G9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54" s="2" t="s">
        <v>98</v>
      </c>
      <c r="I954" s="2" t="s">
        <v>37</v>
      </c>
      <c r="J954" s="2">
        <v>1</v>
      </c>
      <c r="K954" s="8">
        <v>299</v>
      </c>
      <c r="L954" s="3">
        <v>0.1</v>
      </c>
      <c r="M954" s="12">
        <f>K954*L954</f>
        <v>29.900000000000002</v>
      </c>
      <c r="N954" s="12">
        <f>K954*J954</f>
        <v>299</v>
      </c>
      <c r="O954" s="12">
        <f>N954-M954</f>
        <v>269.10000000000002</v>
      </c>
      <c r="P954" s="2" t="s">
        <v>45</v>
      </c>
      <c r="Q954" s="2" t="s">
        <v>18</v>
      </c>
      <c r="R954" s="2">
        <v>0</v>
      </c>
      <c r="S954" s="20">
        <f>Table1[[#This Row],[Net_revenue]]/Table1[[#This Row],[Gross_revenue]]*100%</f>
        <v>0.9</v>
      </c>
      <c r="T954" s="18">
        <f>COUNTIFS(Table1[Customer ID], "&gt;1", Table1[Customer ID], 1)</f>
        <v>0</v>
      </c>
    </row>
    <row r="955" spans="1:20" hidden="1" x14ac:dyDescent="0.3">
      <c r="A955" s="2" t="s">
        <v>1545</v>
      </c>
      <c r="B955" s="5">
        <v>45690</v>
      </c>
      <c r="C955" s="5" t="str">
        <f>TEXT(B955,"mmm")</f>
        <v>Feb</v>
      </c>
      <c r="D955" s="2" t="s">
        <v>1546</v>
      </c>
      <c r="E955" s="2" t="s">
        <v>21</v>
      </c>
      <c r="F955" s="2" t="str" cm="1">
        <f t="array" ref="F9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55" s="2" t="str" cm="1">
        <f t="array" ref="G9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55" s="2" t="s">
        <v>121</v>
      </c>
      <c r="I955" s="2" t="s">
        <v>95</v>
      </c>
      <c r="J955" s="2">
        <v>2</v>
      </c>
      <c r="K955" s="8">
        <v>1299</v>
      </c>
      <c r="L955" s="3">
        <v>0.25</v>
      </c>
      <c r="M955" s="12">
        <f>K955*L955</f>
        <v>324.75</v>
      </c>
      <c r="N955" s="12">
        <f>K955*J955</f>
        <v>2598</v>
      </c>
      <c r="O955" s="12">
        <f>N955-M955</f>
        <v>2273.25</v>
      </c>
      <c r="P955" s="2" t="s">
        <v>45</v>
      </c>
      <c r="Q955" s="2" t="s">
        <v>18</v>
      </c>
      <c r="R955" s="2">
        <v>0</v>
      </c>
      <c r="S955" s="20">
        <f>Table1[[#This Row],[Net_revenue]]/Table1[[#This Row],[Gross_revenue]]*100%</f>
        <v>0.875</v>
      </c>
      <c r="T955" s="18">
        <f>COUNTIFS(Table1[Customer ID], "&gt;1", Table1[Customer ID], 1)</f>
        <v>0</v>
      </c>
    </row>
    <row r="956" spans="1:20" hidden="1" x14ac:dyDescent="0.3">
      <c r="A956" s="2" t="s">
        <v>1547</v>
      </c>
      <c r="B956" s="5">
        <v>45833</v>
      </c>
      <c r="C956" s="5" t="str">
        <f>TEXT(B956,"mmm")</f>
        <v>Jun</v>
      </c>
      <c r="D956" s="2" t="s">
        <v>1197</v>
      </c>
      <c r="E956" s="2" t="s">
        <v>56</v>
      </c>
      <c r="F956" s="2" t="str" cm="1">
        <f t="array" ref="F9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56" s="2" t="str" cm="1">
        <f t="array" ref="G9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56" s="2" t="s">
        <v>49</v>
      </c>
      <c r="I956" s="2" t="s">
        <v>23</v>
      </c>
      <c r="J956" s="2">
        <v>1</v>
      </c>
      <c r="K956" s="8">
        <v>1299</v>
      </c>
      <c r="L956" s="3">
        <v>0</v>
      </c>
      <c r="M956" s="12">
        <f>K956*L956</f>
        <v>0</v>
      </c>
      <c r="N956" s="12">
        <f>K956*J956</f>
        <v>1299</v>
      </c>
      <c r="O956" s="12">
        <f>N956-M956</f>
        <v>1299</v>
      </c>
      <c r="P956" s="2" t="s">
        <v>17</v>
      </c>
      <c r="Q956" s="2" t="s">
        <v>18</v>
      </c>
      <c r="R956" s="2">
        <v>0</v>
      </c>
      <c r="S956" s="20">
        <f>Table1[[#This Row],[Net_revenue]]/Table1[[#This Row],[Gross_revenue]]*100%</f>
        <v>1</v>
      </c>
      <c r="T956" s="18">
        <f>COUNTIFS(Table1[Customer ID], "&gt;1", Table1[Customer ID], 1)</f>
        <v>0</v>
      </c>
    </row>
    <row r="957" spans="1:20" hidden="1" x14ac:dyDescent="0.3">
      <c r="A957" s="2" t="s">
        <v>1548</v>
      </c>
      <c r="B957" s="5">
        <v>45951</v>
      </c>
      <c r="C957" s="5" t="str">
        <f>TEXT(B957,"mmm")</f>
        <v>Oct</v>
      </c>
      <c r="D957" s="2" t="s">
        <v>1549</v>
      </c>
      <c r="E957" s="2" t="s">
        <v>40</v>
      </c>
      <c r="F957" s="2" t="str" cm="1">
        <f t="array" ref="F9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57" s="2" t="str" cm="1">
        <f t="array" ref="G9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57" s="2" t="s">
        <v>49</v>
      </c>
      <c r="I957" s="2" t="s">
        <v>23</v>
      </c>
      <c r="J957" s="2">
        <v>1</v>
      </c>
      <c r="K957" s="8">
        <v>1299</v>
      </c>
      <c r="L957" s="3">
        <v>0.1</v>
      </c>
      <c r="M957" s="12">
        <f>K957*L957</f>
        <v>129.9</v>
      </c>
      <c r="N957" s="12">
        <f>K957*J957</f>
        <v>1299</v>
      </c>
      <c r="O957" s="12">
        <f>N957-M957</f>
        <v>1169.0999999999999</v>
      </c>
      <c r="P957" s="2" t="s">
        <v>45</v>
      </c>
      <c r="Q957" s="2" t="s">
        <v>18</v>
      </c>
      <c r="R957" s="2">
        <v>40</v>
      </c>
      <c r="S957" s="20">
        <f>Table1[[#This Row],[Net_revenue]]/Table1[[#This Row],[Gross_revenue]]*100%</f>
        <v>0.89999999999999991</v>
      </c>
      <c r="T957" s="18">
        <f>COUNTIFS(Table1[Customer ID], "&gt;1", Table1[Customer ID], 1)</f>
        <v>0</v>
      </c>
    </row>
    <row r="958" spans="1:20" hidden="1" x14ac:dyDescent="0.3">
      <c r="A958" s="2" t="s">
        <v>1550</v>
      </c>
      <c r="B958" s="5">
        <v>45819</v>
      </c>
      <c r="C958" s="5" t="str">
        <f>TEXT(B958,"mmm")</f>
        <v>Jun</v>
      </c>
      <c r="D958" s="2" t="s">
        <v>112</v>
      </c>
      <c r="E958" s="2" t="s">
        <v>21</v>
      </c>
      <c r="F958" s="2" t="str" cm="1">
        <f t="array" ref="F9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58" s="2" t="str" cm="1">
        <f t="array" ref="G9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58" s="2" t="s">
        <v>134</v>
      </c>
      <c r="I958" s="2" t="s">
        <v>29</v>
      </c>
      <c r="J958" s="2">
        <v>1</v>
      </c>
      <c r="K958" s="8">
        <v>1499</v>
      </c>
      <c r="L958" s="3">
        <v>0.1</v>
      </c>
      <c r="M958" s="12">
        <f>K958*L958</f>
        <v>149.9</v>
      </c>
      <c r="N958" s="12">
        <f>K958*J958</f>
        <v>1499</v>
      </c>
      <c r="O958" s="12">
        <f>N958-M958</f>
        <v>1349.1</v>
      </c>
      <c r="P958" s="2" t="s">
        <v>45</v>
      </c>
      <c r="Q958" s="2" t="s">
        <v>50</v>
      </c>
      <c r="R958" s="2">
        <v>0</v>
      </c>
      <c r="S958" s="20">
        <f>Table1[[#This Row],[Net_revenue]]/Table1[[#This Row],[Gross_revenue]]*100%</f>
        <v>0.89999999999999991</v>
      </c>
      <c r="T958" s="18">
        <f>COUNTIFS(Table1[Customer ID], "&gt;1", Table1[Customer ID], 1)</f>
        <v>0</v>
      </c>
    </row>
    <row r="959" spans="1:20" hidden="1" x14ac:dyDescent="0.3">
      <c r="A959" s="2" t="s">
        <v>1551</v>
      </c>
      <c r="B959" s="5">
        <v>45869</v>
      </c>
      <c r="C959" s="5" t="str">
        <f>TEXT(B959,"mmm")</f>
        <v>Jul</v>
      </c>
      <c r="D959" s="2" t="s">
        <v>327</v>
      </c>
      <c r="E959" s="2" t="s">
        <v>53</v>
      </c>
      <c r="F959" s="2" t="str" cm="1">
        <f t="array" ref="F9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959" s="2" t="str" cm="1">
        <f t="array" ref="G9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59" s="2" t="s">
        <v>44</v>
      </c>
      <c r="I959" s="2" t="s">
        <v>16</v>
      </c>
      <c r="J959" s="2">
        <v>2</v>
      </c>
      <c r="K959" s="8">
        <v>1599</v>
      </c>
      <c r="L959" s="3">
        <v>0</v>
      </c>
      <c r="M959" s="12">
        <f>K959*L959</f>
        <v>0</v>
      </c>
      <c r="N959" s="12">
        <f>K959*J959</f>
        <v>3198</v>
      </c>
      <c r="O959" s="12">
        <f>N959-M959</f>
        <v>3198</v>
      </c>
      <c r="P959" s="2" t="s">
        <v>45</v>
      </c>
      <c r="Q959" s="2" t="s">
        <v>18</v>
      </c>
      <c r="R959" s="2">
        <v>80</v>
      </c>
      <c r="S959" s="20">
        <f>Table1[[#This Row],[Net_revenue]]/Table1[[#This Row],[Gross_revenue]]*100%</f>
        <v>1</v>
      </c>
      <c r="T959" s="18">
        <f>COUNTIFS(Table1[Customer ID], "&gt;1", Table1[Customer ID], 1)</f>
        <v>0</v>
      </c>
    </row>
    <row r="960" spans="1:20" hidden="1" x14ac:dyDescent="0.3">
      <c r="A960" s="2" t="s">
        <v>1552</v>
      </c>
      <c r="B960" s="5">
        <v>45728</v>
      </c>
      <c r="C960" s="5" t="str">
        <f>TEXT(B960,"mmm")</f>
        <v>Mar</v>
      </c>
      <c r="D960" s="2" t="s">
        <v>1172</v>
      </c>
      <c r="E960" s="2" t="s">
        <v>21</v>
      </c>
      <c r="F960" s="2" t="str" cm="1">
        <f t="array" ref="F9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60" s="2" t="str" cm="1">
        <f t="array" ref="G9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60" s="2" t="s">
        <v>117</v>
      </c>
      <c r="I960" s="2" t="s">
        <v>23</v>
      </c>
      <c r="J960" s="2">
        <v>3</v>
      </c>
      <c r="K960" s="8">
        <v>2199</v>
      </c>
      <c r="L960" s="3">
        <v>0</v>
      </c>
      <c r="M960" s="12">
        <f>K960*L960</f>
        <v>0</v>
      </c>
      <c r="N960" s="12">
        <f>K960*J960</f>
        <v>6597</v>
      </c>
      <c r="O960" s="12">
        <f>N960-M960</f>
        <v>6597</v>
      </c>
      <c r="P960" s="2" t="s">
        <v>24</v>
      </c>
      <c r="Q960" s="2" t="s">
        <v>18</v>
      </c>
      <c r="R960" s="2">
        <v>0</v>
      </c>
      <c r="S960" s="20">
        <f>Table1[[#This Row],[Net_revenue]]/Table1[[#This Row],[Gross_revenue]]*100%</f>
        <v>1</v>
      </c>
      <c r="T960" s="18">
        <f>COUNTIFS(Table1[Customer ID], "&gt;1", Table1[Customer ID], 1)</f>
        <v>0</v>
      </c>
    </row>
    <row r="961" spans="1:20" hidden="1" x14ac:dyDescent="0.3">
      <c r="A961" s="2" t="s">
        <v>1553</v>
      </c>
      <c r="B961" s="5">
        <v>45944</v>
      </c>
      <c r="C961" s="5" t="str">
        <f>TEXT(B961,"mmm")</f>
        <v>Oct</v>
      </c>
      <c r="D961" s="2" t="s">
        <v>856</v>
      </c>
      <c r="E961" s="2" t="s">
        <v>40</v>
      </c>
      <c r="F961" s="2" t="str" cm="1">
        <f t="array" ref="F9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61" s="2" t="str" cm="1">
        <f t="array" ref="G9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61" s="2" t="s">
        <v>49</v>
      </c>
      <c r="I961" s="2" t="s">
        <v>23</v>
      </c>
      <c r="J961" s="2">
        <v>3</v>
      </c>
      <c r="K961" s="8">
        <v>1299</v>
      </c>
      <c r="L961" s="3">
        <v>0</v>
      </c>
      <c r="M961" s="12">
        <f>K961*L961</f>
        <v>0</v>
      </c>
      <c r="N961" s="12">
        <f>K961*J961</f>
        <v>3897</v>
      </c>
      <c r="O961" s="12">
        <f>N961-M961</f>
        <v>3897</v>
      </c>
      <c r="P961" s="2" t="s">
        <v>30</v>
      </c>
      <c r="Q961" s="2" t="s">
        <v>18</v>
      </c>
      <c r="R961" s="2">
        <v>40</v>
      </c>
      <c r="S961" s="20">
        <f>Table1[[#This Row],[Net_revenue]]/Table1[[#This Row],[Gross_revenue]]*100%</f>
        <v>1</v>
      </c>
      <c r="T961" s="18">
        <f>COUNTIFS(Table1[Customer ID], "&gt;1", Table1[Customer ID], 1)</f>
        <v>0</v>
      </c>
    </row>
    <row r="962" spans="1:20" hidden="1" x14ac:dyDescent="0.3">
      <c r="A962" s="2" t="s">
        <v>1554</v>
      </c>
      <c r="B962" s="5">
        <v>45824</v>
      </c>
      <c r="C962" s="5" t="str">
        <f>TEXT(B962,"mmm")</f>
        <v>Jun</v>
      </c>
      <c r="D962" s="2" t="s">
        <v>804</v>
      </c>
      <c r="E962" s="2" t="s">
        <v>21</v>
      </c>
      <c r="F962" s="2" t="str" cm="1">
        <f t="array" ref="F9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62" s="2" t="str" cm="1">
        <f t="array" ref="G9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62" s="2" t="s">
        <v>63</v>
      </c>
      <c r="I962" s="2" t="s">
        <v>23</v>
      </c>
      <c r="J962" s="2">
        <v>1</v>
      </c>
      <c r="K962" s="8">
        <v>2499</v>
      </c>
      <c r="L962" s="3">
        <v>0.2</v>
      </c>
      <c r="M962" s="12">
        <f>K962*L962</f>
        <v>499.8</v>
      </c>
      <c r="N962" s="12">
        <f>K962*J962</f>
        <v>2499</v>
      </c>
      <c r="O962" s="12">
        <f>N962-M962</f>
        <v>1999.2</v>
      </c>
      <c r="P962" s="2" t="s">
        <v>45</v>
      </c>
      <c r="Q962" s="2" t="s">
        <v>50</v>
      </c>
      <c r="R962" s="2">
        <v>0</v>
      </c>
      <c r="S962" s="20">
        <f>Table1[[#This Row],[Net_revenue]]/Table1[[#This Row],[Gross_revenue]]*100%</f>
        <v>0.8</v>
      </c>
      <c r="T962" s="18">
        <f>COUNTIFS(Table1[Customer ID], "&gt;1", Table1[Customer ID], 1)</f>
        <v>0</v>
      </c>
    </row>
    <row r="963" spans="1:20" hidden="1" x14ac:dyDescent="0.3">
      <c r="A963" s="2" t="s">
        <v>1555</v>
      </c>
      <c r="B963" s="5">
        <v>45887</v>
      </c>
      <c r="C963" s="5" t="str">
        <f>TEXT(B963,"mmm")</f>
        <v>Aug</v>
      </c>
      <c r="D963" s="2" t="s">
        <v>1495</v>
      </c>
      <c r="E963" s="2" t="s">
        <v>195</v>
      </c>
      <c r="F963" s="2" t="str" cm="1">
        <f t="array" ref="F9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963" s="2" t="str" cm="1">
        <f t="array" ref="G9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63" s="2" t="s">
        <v>49</v>
      </c>
      <c r="I963" s="2" t="s">
        <v>23</v>
      </c>
      <c r="J963" s="2">
        <v>2</v>
      </c>
      <c r="K963" s="8">
        <v>1299</v>
      </c>
      <c r="L963" s="3">
        <v>0.2</v>
      </c>
      <c r="M963" s="12">
        <f>K963*L963</f>
        <v>259.8</v>
      </c>
      <c r="N963" s="12">
        <f>K963*J963</f>
        <v>2598</v>
      </c>
      <c r="O963" s="12">
        <f>N963-M963</f>
        <v>2338.1999999999998</v>
      </c>
      <c r="P963" s="2" t="s">
        <v>30</v>
      </c>
      <c r="Q963" s="2" t="s">
        <v>18</v>
      </c>
      <c r="R963" s="2">
        <v>40</v>
      </c>
      <c r="S963" s="20">
        <f>Table1[[#This Row],[Net_revenue]]/Table1[[#This Row],[Gross_revenue]]*100%</f>
        <v>0.89999999999999991</v>
      </c>
      <c r="T963" s="18">
        <f>COUNTIFS(Table1[Customer ID], "&gt;1", Table1[Customer ID], 1)</f>
        <v>0</v>
      </c>
    </row>
    <row r="964" spans="1:20" hidden="1" x14ac:dyDescent="0.3">
      <c r="A964" s="2" t="s">
        <v>1556</v>
      </c>
      <c r="B964" s="5">
        <v>45922</v>
      </c>
      <c r="C964" s="5" t="str">
        <f>TEXT(B964,"mmm")</f>
        <v>Sep</v>
      </c>
      <c r="D964" s="2" t="s">
        <v>750</v>
      </c>
      <c r="E964" s="2" t="s">
        <v>40</v>
      </c>
      <c r="F964" s="2" t="str" cm="1">
        <f t="array" ref="F9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64" s="2" t="str" cm="1">
        <f t="array" ref="G9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64" s="2" t="s">
        <v>217</v>
      </c>
      <c r="I964" s="2" t="s">
        <v>29</v>
      </c>
      <c r="J964" s="2">
        <v>1</v>
      </c>
      <c r="K964" s="8">
        <v>3299</v>
      </c>
      <c r="L964" s="3">
        <v>0</v>
      </c>
      <c r="M964" s="12">
        <f>K964*L964</f>
        <v>0</v>
      </c>
      <c r="N964" s="12">
        <f>K964*J964</f>
        <v>3299</v>
      </c>
      <c r="O964" s="12">
        <f>N964-M964</f>
        <v>3299</v>
      </c>
      <c r="P964" s="2" t="s">
        <v>45</v>
      </c>
      <c r="Q964" s="2" t="s">
        <v>18</v>
      </c>
      <c r="R964" s="2">
        <v>80</v>
      </c>
      <c r="S964" s="20">
        <f>Table1[[#This Row],[Net_revenue]]/Table1[[#This Row],[Gross_revenue]]*100%</f>
        <v>1</v>
      </c>
      <c r="T964" s="18">
        <f>COUNTIFS(Table1[Customer ID], "&gt;1", Table1[Customer ID], 1)</f>
        <v>0</v>
      </c>
    </row>
    <row r="965" spans="1:20" hidden="1" x14ac:dyDescent="0.3">
      <c r="A965" s="2" t="s">
        <v>1557</v>
      </c>
      <c r="B965" s="5">
        <v>45843</v>
      </c>
      <c r="C965" s="5" t="str">
        <f>TEXT(B965,"mmm")</f>
        <v>Jul</v>
      </c>
      <c r="D965" s="2" t="s">
        <v>723</v>
      </c>
      <c r="E965" s="2" t="s">
        <v>56</v>
      </c>
      <c r="F965" s="2" t="str" cm="1">
        <f t="array" ref="F9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65" s="2" t="str" cm="1">
        <f t="array" ref="G9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65" s="2" t="s">
        <v>117</v>
      </c>
      <c r="I965" s="2" t="s">
        <v>23</v>
      </c>
      <c r="J965" s="2">
        <v>1</v>
      </c>
      <c r="K965" s="8">
        <v>2199</v>
      </c>
      <c r="L965" s="3">
        <v>0.15</v>
      </c>
      <c r="M965" s="12">
        <f>K965*L965</f>
        <v>329.84999999999997</v>
      </c>
      <c r="N965" s="12">
        <f>K965*J965</f>
        <v>2199</v>
      </c>
      <c r="O965" s="12">
        <f>N965-M965</f>
        <v>1869.15</v>
      </c>
      <c r="P965" s="2" t="s">
        <v>17</v>
      </c>
      <c r="Q965" s="2" t="s">
        <v>18</v>
      </c>
      <c r="R965" s="2">
        <v>0</v>
      </c>
      <c r="S965" s="20">
        <f>Table1[[#This Row],[Net_revenue]]/Table1[[#This Row],[Gross_revenue]]*100%</f>
        <v>0.85000000000000009</v>
      </c>
      <c r="T965" s="18">
        <f>COUNTIFS(Table1[Customer ID], "&gt;1", Table1[Customer ID], 1)</f>
        <v>0</v>
      </c>
    </row>
    <row r="966" spans="1:20" hidden="1" x14ac:dyDescent="0.3">
      <c r="A966" s="2" t="s">
        <v>1558</v>
      </c>
      <c r="B966" s="5">
        <v>45770</v>
      </c>
      <c r="C966" s="5" t="str">
        <f>TEXT(B966,"mmm")</f>
        <v>Apr</v>
      </c>
      <c r="D966" s="2" t="s">
        <v>1228</v>
      </c>
      <c r="E966" s="2" t="s">
        <v>21</v>
      </c>
      <c r="F966" s="2" t="str" cm="1">
        <f t="array" ref="F9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66" s="2" t="str" cm="1">
        <f t="array" ref="G9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66" s="2" t="s">
        <v>80</v>
      </c>
      <c r="I966" s="2" t="s">
        <v>23</v>
      </c>
      <c r="J966" s="2">
        <v>1</v>
      </c>
      <c r="K966" s="8">
        <v>799</v>
      </c>
      <c r="L966" s="3">
        <v>0.05</v>
      </c>
      <c r="M966" s="12">
        <f>K966*L966</f>
        <v>39.950000000000003</v>
      </c>
      <c r="N966" s="12">
        <f>K966*J966</f>
        <v>799</v>
      </c>
      <c r="O966" s="12">
        <f>N966-M966</f>
        <v>759.05</v>
      </c>
      <c r="P966" s="2" t="s">
        <v>30</v>
      </c>
      <c r="Q966" s="2" t="s">
        <v>18</v>
      </c>
      <c r="R966" s="2">
        <v>80</v>
      </c>
      <c r="S966" s="20">
        <f>Table1[[#This Row],[Net_revenue]]/Table1[[#This Row],[Gross_revenue]]*100%</f>
        <v>0.95</v>
      </c>
      <c r="T966" s="18">
        <f>COUNTIFS(Table1[Customer ID], "&gt;1", Table1[Customer ID], 1)</f>
        <v>0</v>
      </c>
    </row>
    <row r="967" spans="1:20" hidden="1" x14ac:dyDescent="0.3">
      <c r="A967" s="2" t="s">
        <v>1559</v>
      </c>
      <c r="B967" s="5">
        <v>45898</v>
      </c>
      <c r="C967" s="5" t="str">
        <f>TEXT(B967,"mmm")</f>
        <v>Aug</v>
      </c>
      <c r="D967" s="2" t="s">
        <v>475</v>
      </c>
      <c r="E967" s="2" t="s">
        <v>21</v>
      </c>
      <c r="F967" s="2" t="str" cm="1">
        <f t="array" ref="F9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67" s="2" t="str" cm="1">
        <f t="array" ref="G9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67" s="2" t="s">
        <v>22</v>
      </c>
      <c r="I967" s="2" t="s">
        <v>23</v>
      </c>
      <c r="J967" s="2">
        <v>1</v>
      </c>
      <c r="K967" s="8">
        <v>3999</v>
      </c>
      <c r="L967" s="3">
        <v>0.05</v>
      </c>
      <c r="M967" s="12">
        <f>K967*L967</f>
        <v>199.95000000000002</v>
      </c>
      <c r="N967" s="12">
        <f>K967*J967</f>
        <v>3999</v>
      </c>
      <c r="O967" s="12">
        <f>N967-M967</f>
        <v>3799.05</v>
      </c>
      <c r="P967" s="2" t="s">
        <v>24</v>
      </c>
      <c r="Q967" s="2" t="s">
        <v>50</v>
      </c>
      <c r="R967" s="2">
        <v>0</v>
      </c>
      <c r="S967" s="20">
        <f>Table1[[#This Row],[Net_revenue]]/Table1[[#This Row],[Gross_revenue]]*100%</f>
        <v>0.95000000000000007</v>
      </c>
      <c r="T967" s="18">
        <f>COUNTIFS(Table1[Customer ID], "&gt;1", Table1[Customer ID], 1)</f>
        <v>0</v>
      </c>
    </row>
    <row r="968" spans="1:20" hidden="1" x14ac:dyDescent="0.3">
      <c r="A968" s="2" t="s">
        <v>1560</v>
      </c>
      <c r="B968" s="5">
        <v>45682</v>
      </c>
      <c r="C968" s="5" t="str">
        <f>TEXT(B968,"mmm")</f>
        <v>Jan</v>
      </c>
      <c r="D968" s="2" t="s">
        <v>86</v>
      </c>
      <c r="E968" s="2" t="s">
        <v>56</v>
      </c>
      <c r="F968" s="2" t="str" cm="1">
        <f t="array" ref="F9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968" s="2" t="str" cm="1">
        <f t="array" ref="G9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68" s="2" t="s">
        <v>33</v>
      </c>
      <c r="I968" s="2" t="s">
        <v>16</v>
      </c>
      <c r="J968" s="2">
        <v>1</v>
      </c>
      <c r="K968" s="8">
        <v>899</v>
      </c>
      <c r="L968" s="3">
        <v>0.1</v>
      </c>
      <c r="M968" s="12">
        <f>K968*L968</f>
        <v>89.9</v>
      </c>
      <c r="N968" s="12">
        <f>K968*J968</f>
        <v>899</v>
      </c>
      <c r="O968" s="12">
        <f>N968-M968</f>
        <v>809.1</v>
      </c>
      <c r="P968" s="2" t="s">
        <v>45</v>
      </c>
      <c r="Q968" s="2" t="s">
        <v>18</v>
      </c>
      <c r="R968" s="2">
        <v>80</v>
      </c>
      <c r="S968" s="20">
        <f>Table1[[#This Row],[Net_revenue]]/Table1[[#This Row],[Gross_revenue]]*100%</f>
        <v>0.9</v>
      </c>
      <c r="T968" s="18">
        <f>COUNTIFS(Table1[Customer ID], "&gt;1", Table1[Customer ID], 1)</f>
        <v>0</v>
      </c>
    </row>
    <row r="969" spans="1:20" hidden="1" x14ac:dyDescent="0.3">
      <c r="A969" s="2" t="s">
        <v>1561</v>
      </c>
      <c r="B969" s="5">
        <v>45917</v>
      </c>
      <c r="C969" s="5" t="str">
        <f>TEXT(B969,"mmm")</f>
        <v>Sep</v>
      </c>
      <c r="D969" s="2" t="s">
        <v>91</v>
      </c>
      <c r="E969" s="2" t="s">
        <v>48</v>
      </c>
      <c r="F969" s="2" t="str" cm="1">
        <f t="array" ref="F9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69" s="2" t="str" cm="1">
        <f t="array" ref="G9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69" s="2" t="s">
        <v>33</v>
      </c>
      <c r="I969" s="2" t="s">
        <v>16</v>
      </c>
      <c r="J969" s="2">
        <v>4</v>
      </c>
      <c r="K969" s="8">
        <v>899</v>
      </c>
      <c r="L969" s="3">
        <v>0.05</v>
      </c>
      <c r="M969" s="12">
        <f>K969*L969</f>
        <v>44.95</v>
      </c>
      <c r="N969" s="12">
        <f>K969*J969</f>
        <v>3596</v>
      </c>
      <c r="O969" s="12">
        <f>N969-M969</f>
        <v>3551.05</v>
      </c>
      <c r="P969" s="2" t="s">
        <v>45</v>
      </c>
      <c r="Q969" s="2" t="s">
        <v>18</v>
      </c>
      <c r="R969" s="2">
        <v>80</v>
      </c>
      <c r="S969" s="20">
        <f>Table1[[#This Row],[Net_revenue]]/Table1[[#This Row],[Gross_revenue]]*100%</f>
        <v>0.98750000000000004</v>
      </c>
      <c r="T969" s="18">
        <f>COUNTIFS(Table1[Customer ID], "&gt;1", Table1[Customer ID], 1)</f>
        <v>0</v>
      </c>
    </row>
    <row r="970" spans="1:20" hidden="1" x14ac:dyDescent="0.3">
      <c r="A970" s="2" t="s">
        <v>1562</v>
      </c>
      <c r="B970" s="5">
        <v>45972</v>
      </c>
      <c r="C970" s="5" t="str">
        <f>TEXT(B970,"mmm")</f>
        <v>Nov</v>
      </c>
      <c r="D970" s="2" t="s">
        <v>1563</v>
      </c>
      <c r="E970" s="2" t="s">
        <v>21</v>
      </c>
      <c r="F970" s="2" t="str" cm="1">
        <f t="array" ref="F9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70" s="2" t="str" cm="1">
        <f t="array" ref="G9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70" s="2" t="s">
        <v>49</v>
      </c>
      <c r="I970" s="2" t="s">
        <v>23</v>
      </c>
      <c r="J970" s="2">
        <v>1</v>
      </c>
      <c r="K970" s="8">
        <v>1299</v>
      </c>
      <c r="L970" s="3">
        <v>0.25</v>
      </c>
      <c r="M970" s="12">
        <f>K970*L970</f>
        <v>324.75</v>
      </c>
      <c r="N970" s="12">
        <f>K970*J970</f>
        <v>1299</v>
      </c>
      <c r="O970" s="12">
        <f>N970-M970</f>
        <v>974.25</v>
      </c>
      <c r="P970" s="2" t="s">
        <v>45</v>
      </c>
      <c r="Q970" s="2" t="s">
        <v>72</v>
      </c>
      <c r="R970" s="2">
        <v>0</v>
      </c>
      <c r="S970" s="20">
        <f>Table1[[#This Row],[Net_revenue]]/Table1[[#This Row],[Gross_revenue]]*100%</f>
        <v>0.75</v>
      </c>
      <c r="T970" s="18">
        <f>COUNTIFS(Table1[Customer ID], "&gt;1", Table1[Customer ID], 1)</f>
        <v>0</v>
      </c>
    </row>
    <row r="971" spans="1:20" hidden="1" x14ac:dyDescent="0.3">
      <c r="A971" s="2" t="s">
        <v>1564</v>
      </c>
      <c r="B971" s="5">
        <v>45706</v>
      </c>
      <c r="C971" s="5" t="str">
        <f>TEXT(B971,"mmm")</f>
        <v>Feb</v>
      </c>
      <c r="D971" s="2" t="s">
        <v>879</v>
      </c>
      <c r="E971" s="2" t="s">
        <v>40</v>
      </c>
      <c r="F971" s="2" t="str" cm="1">
        <f t="array" ref="F9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71" s="2" t="str" cm="1">
        <f t="array" ref="G9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71" s="2" t="s">
        <v>15</v>
      </c>
      <c r="I971" s="2" t="s">
        <v>16</v>
      </c>
      <c r="J971" s="2">
        <v>1</v>
      </c>
      <c r="K971" s="8">
        <v>1799</v>
      </c>
      <c r="L971" s="3">
        <v>0</v>
      </c>
      <c r="M971" s="12">
        <f>K971*L971</f>
        <v>0</v>
      </c>
      <c r="N971" s="12">
        <f>K971*J971</f>
        <v>1799</v>
      </c>
      <c r="O971" s="12">
        <f>N971-M971</f>
        <v>1799</v>
      </c>
      <c r="P971" s="2" t="s">
        <v>45</v>
      </c>
      <c r="Q971" s="2" t="s">
        <v>18</v>
      </c>
      <c r="R971" s="2">
        <v>60</v>
      </c>
      <c r="S971" s="20">
        <f>Table1[[#This Row],[Net_revenue]]/Table1[[#This Row],[Gross_revenue]]*100%</f>
        <v>1</v>
      </c>
      <c r="T971" s="18">
        <f>COUNTIFS(Table1[Customer ID], "&gt;1", Table1[Customer ID], 1)</f>
        <v>0</v>
      </c>
    </row>
    <row r="972" spans="1:20" hidden="1" x14ac:dyDescent="0.3">
      <c r="A972" s="2" t="s">
        <v>1565</v>
      </c>
      <c r="B972" s="5">
        <v>45718</v>
      </c>
      <c r="C972" s="5" t="str">
        <f>TEXT(B972,"mmm")</f>
        <v>Mar</v>
      </c>
      <c r="D972" s="2" t="s">
        <v>1566</v>
      </c>
      <c r="E972" s="2" t="s">
        <v>27</v>
      </c>
      <c r="F972" s="2" t="str" cm="1">
        <f t="array" ref="F9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72" s="2" t="str" cm="1">
        <f t="array" ref="G9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72" s="2" t="s">
        <v>15</v>
      </c>
      <c r="I972" s="2" t="s">
        <v>16</v>
      </c>
      <c r="J972" s="2">
        <v>1</v>
      </c>
      <c r="K972" s="8">
        <v>1799</v>
      </c>
      <c r="L972" s="3">
        <v>0.1</v>
      </c>
      <c r="M972" s="12">
        <f>K972*L972</f>
        <v>179.9</v>
      </c>
      <c r="N972" s="12">
        <f>K972*J972</f>
        <v>1799</v>
      </c>
      <c r="O972" s="12">
        <f>N972-M972</f>
        <v>1619.1</v>
      </c>
      <c r="P972" s="2" t="s">
        <v>17</v>
      </c>
      <c r="Q972" s="2" t="s">
        <v>18</v>
      </c>
      <c r="R972" s="2">
        <v>40</v>
      </c>
      <c r="S972" s="20">
        <f>Table1[[#This Row],[Net_revenue]]/Table1[[#This Row],[Gross_revenue]]*100%</f>
        <v>0.89999999999999991</v>
      </c>
      <c r="T972" s="18">
        <f>COUNTIFS(Table1[Customer ID], "&gt;1", Table1[Customer ID], 1)</f>
        <v>0</v>
      </c>
    </row>
    <row r="973" spans="1:20" hidden="1" x14ac:dyDescent="0.3">
      <c r="A973" s="2" t="s">
        <v>1567</v>
      </c>
      <c r="B973" s="5">
        <v>45827</v>
      </c>
      <c r="C973" s="5" t="str">
        <f>TEXT(B973,"mmm")</f>
        <v>Jun</v>
      </c>
      <c r="D973" s="2" t="s">
        <v>1516</v>
      </c>
      <c r="E973" s="2" t="s">
        <v>21</v>
      </c>
      <c r="F973" s="2" t="str" cm="1">
        <f t="array" ref="F9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73" s="2" t="str" cm="1">
        <f t="array" ref="G9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73" s="2" t="s">
        <v>41</v>
      </c>
      <c r="I973" s="2" t="s">
        <v>16</v>
      </c>
      <c r="J973" s="2">
        <v>4</v>
      </c>
      <c r="K973" s="8">
        <v>2299</v>
      </c>
      <c r="L973" s="3">
        <v>0.25</v>
      </c>
      <c r="M973" s="12">
        <f>K973*L973</f>
        <v>574.75</v>
      </c>
      <c r="N973" s="12">
        <f>K973*J973</f>
        <v>9196</v>
      </c>
      <c r="O973" s="12">
        <f>N973-M973</f>
        <v>8621.25</v>
      </c>
      <c r="P973" s="2" t="s">
        <v>45</v>
      </c>
      <c r="Q973" s="2" t="s">
        <v>18</v>
      </c>
      <c r="R973" s="2">
        <v>80</v>
      </c>
      <c r="S973" s="20">
        <f>Table1[[#This Row],[Net_revenue]]/Table1[[#This Row],[Gross_revenue]]*100%</f>
        <v>0.9375</v>
      </c>
      <c r="T973" s="18">
        <f>COUNTIFS(Table1[Customer ID], "&gt;1", Table1[Customer ID], 1)</f>
        <v>0</v>
      </c>
    </row>
    <row r="974" spans="1:20" hidden="1" x14ac:dyDescent="0.3">
      <c r="A974" s="2" t="s">
        <v>1568</v>
      </c>
      <c r="B974" s="5">
        <v>45832</v>
      </c>
      <c r="C974" s="5" t="str">
        <f>TEXT(B974,"mmm")</f>
        <v>Jun</v>
      </c>
      <c r="D974" s="2" t="s">
        <v>399</v>
      </c>
      <c r="E974" s="2" t="s">
        <v>40</v>
      </c>
      <c r="F974" s="2" t="str" cm="1">
        <f t="array" ref="F9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74" s="2" t="str" cm="1">
        <f t="array" ref="G9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74" s="2" t="s">
        <v>63</v>
      </c>
      <c r="I974" s="2" t="s">
        <v>23</v>
      </c>
      <c r="J974" s="2">
        <v>1</v>
      </c>
      <c r="K974" s="8">
        <v>2499</v>
      </c>
      <c r="L974" s="3">
        <v>0.05</v>
      </c>
      <c r="M974" s="12">
        <f>K974*L974</f>
        <v>124.95</v>
      </c>
      <c r="N974" s="12">
        <f>K974*J974</f>
        <v>2499</v>
      </c>
      <c r="O974" s="12">
        <f>N974-M974</f>
        <v>2374.0500000000002</v>
      </c>
      <c r="P974" s="2" t="s">
        <v>45</v>
      </c>
      <c r="Q974" s="2" t="s">
        <v>18</v>
      </c>
      <c r="R974" s="2">
        <v>0</v>
      </c>
      <c r="S974" s="20">
        <f>Table1[[#This Row],[Net_revenue]]/Table1[[#This Row],[Gross_revenue]]*100%</f>
        <v>0.95000000000000007</v>
      </c>
      <c r="T974" s="18">
        <f>COUNTIFS(Table1[Customer ID], "&gt;1", Table1[Customer ID], 1)</f>
        <v>0</v>
      </c>
    </row>
    <row r="975" spans="1:20" hidden="1" x14ac:dyDescent="0.3">
      <c r="A975" s="2" t="s">
        <v>1569</v>
      </c>
      <c r="B975" s="5">
        <v>45670</v>
      </c>
      <c r="C975" s="5" t="str">
        <f>TEXT(B975,"mmm")</f>
        <v>Jan</v>
      </c>
      <c r="D975" s="2" t="s">
        <v>201</v>
      </c>
      <c r="E975" s="2" t="s">
        <v>14</v>
      </c>
      <c r="F975" s="2" t="str" cm="1">
        <f t="array" ref="F9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75" s="2" t="str" cm="1">
        <f t="array" ref="G9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75" s="2" t="s">
        <v>22</v>
      </c>
      <c r="I975" s="2" t="s">
        <v>23</v>
      </c>
      <c r="J975" s="2">
        <v>1</v>
      </c>
      <c r="K975" s="8">
        <v>3999</v>
      </c>
      <c r="L975" s="3">
        <v>0</v>
      </c>
      <c r="M975" s="12">
        <f>K975*L975</f>
        <v>0</v>
      </c>
      <c r="N975" s="12">
        <f>K975*J975</f>
        <v>3999</v>
      </c>
      <c r="O975" s="12">
        <f>N975-M975</f>
        <v>3999</v>
      </c>
      <c r="P975" s="2" t="s">
        <v>24</v>
      </c>
      <c r="Q975" s="2" t="s">
        <v>72</v>
      </c>
      <c r="R975" s="2">
        <v>60</v>
      </c>
      <c r="S975" s="20">
        <f>Table1[[#This Row],[Net_revenue]]/Table1[[#This Row],[Gross_revenue]]*100%</f>
        <v>1</v>
      </c>
      <c r="T975" s="18">
        <f>COUNTIFS(Table1[Customer ID], "&gt;1", Table1[Customer ID], 1)</f>
        <v>0</v>
      </c>
    </row>
    <row r="976" spans="1:20" hidden="1" x14ac:dyDescent="0.3">
      <c r="A976" s="2" t="s">
        <v>1570</v>
      </c>
      <c r="B976" s="5">
        <v>45873</v>
      </c>
      <c r="C976" s="5" t="str">
        <f>TEXT(B976,"mmm")</f>
        <v>Aug</v>
      </c>
      <c r="D976" s="2" t="s">
        <v>1418</v>
      </c>
      <c r="E976" s="2" t="s">
        <v>21</v>
      </c>
      <c r="F976" s="2" t="str" cm="1">
        <f t="array" ref="F9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76" s="2" t="str" cm="1">
        <f t="array" ref="G9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76" s="2" t="s">
        <v>68</v>
      </c>
      <c r="I976" s="2" t="s">
        <v>16</v>
      </c>
      <c r="J976" s="2">
        <v>3</v>
      </c>
      <c r="K976" s="8">
        <v>599</v>
      </c>
      <c r="L976" s="3">
        <v>0.15</v>
      </c>
      <c r="M976" s="12">
        <f>K976*L976</f>
        <v>89.85</v>
      </c>
      <c r="N976" s="12">
        <f>K976*J976</f>
        <v>1797</v>
      </c>
      <c r="O976" s="12">
        <f>N976-M976</f>
        <v>1707.15</v>
      </c>
      <c r="P976" s="2" t="s">
        <v>17</v>
      </c>
      <c r="Q976" s="2" t="s">
        <v>18</v>
      </c>
      <c r="R976" s="2">
        <v>60</v>
      </c>
      <c r="S976" s="20">
        <f>Table1[[#This Row],[Net_revenue]]/Table1[[#This Row],[Gross_revenue]]*100%</f>
        <v>0.95000000000000007</v>
      </c>
      <c r="T976" s="18">
        <f>COUNTIFS(Table1[Customer ID], "&gt;1", Table1[Customer ID], 1)</f>
        <v>0</v>
      </c>
    </row>
    <row r="977" spans="1:20" hidden="1" x14ac:dyDescent="0.3">
      <c r="A977" s="2" t="s">
        <v>1571</v>
      </c>
      <c r="B977" s="5">
        <v>45848</v>
      </c>
      <c r="C977" s="5" t="str">
        <f>TEXT(B977,"mmm")</f>
        <v>Jul</v>
      </c>
      <c r="D977" s="2" t="s">
        <v>1363</v>
      </c>
      <c r="E977" s="2" t="s">
        <v>120</v>
      </c>
      <c r="F977" s="2" t="str" cm="1">
        <f t="array" ref="F9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77" s="2" t="str" cm="1">
        <f t="array" ref="G9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77" s="2" t="s">
        <v>80</v>
      </c>
      <c r="I977" s="2" t="s">
        <v>23</v>
      </c>
      <c r="J977" s="2">
        <v>2</v>
      </c>
      <c r="K977" s="8">
        <v>799</v>
      </c>
      <c r="L977" s="3">
        <v>0.05</v>
      </c>
      <c r="M977" s="12">
        <f>K977*L977</f>
        <v>39.950000000000003</v>
      </c>
      <c r="N977" s="12">
        <f>K977*J977</f>
        <v>1598</v>
      </c>
      <c r="O977" s="12">
        <f>N977-M977</f>
        <v>1558.05</v>
      </c>
      <c r="P977" s="2" t="s">
        <v>45</v>
      </c>
      <c r="Q977" s="2" t="s">
        <v>18</v>
      </c>
      <c r="R977" s="2">
        <v>80</v>
      </c>
      <c r="S977" s="20">
        <f>Table1[[#This Row],[Net_revenue]]/Table1[[#This Row],[Gross_revenue]]*100%</f>
        <v>0.97499999999999998</v>
      </c>
      <c r="T977" s="18">
        <f>COUNTIFS(Table1[Customer ID], "&gt;1", Table1[Customer ID], 1)</f>
        <v>0</v>
      </c>
    </row>
    <row r="978" spans="1:20" hidden="1" x14ac:dyDescent="0.3">
      <c r="A978" s="2" t="s">
        <v>1572</v>
      </c>
      <c r="B978" s="5">
        <v>45862</v>
      </c>
      <c r="C978" s="5" t="str">
        <f>TEXT(B978,"mmm")</f>
        <v>Jul</v>
      </c>
      <c r="D978" s="2" t="s">
        <v>628</v>
      </c>
      <c r="E978" s="2" t="s">
        <v>14</v>
      </c>
      <c r="F978" s="2" t="str" cm="1">
        <f t="array" ref="F9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78" s="2" t="str" cm="1">
        <f t="array" ref="G9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78" s="2" t="s">
        <v>41</v>
      </c>
      <c r="I978" s="2" t="s">
        <v>16</v>
      </c>
      <c r="J978" s="2">
        <v>1</v>
      </c>
      <c r="K978" s="8">
        <v>2299</v>
      </c>
      <c r="L978" s="3">
        <v>0.25</v>
      </c>
      <c r="M978" s="12">
        <f>K978*L978</f>
        <v>574.75</v>
      </c>
      <c r="N978" s="12">
        <f>K978*J978</f>
        <v>2299</v>
      </c>
      <c r="O978" s="12">
        <f>N978-M978</f>
        <v>1724.25</v>
      </c>
      <c r="P978" s="2" t="s">
        <v>17</v>
      </c>
      <c r="Q978" s="2" t="s">
        <v>18</v>
      </c>
      <c r="R978" s="2">
        <v>80</v>
      </c>
      <c r="S978" s="20">
        <f>Table1[[#This Row],[Net_revenue]]/Table1[[#This Row],[Gross_revenue]]*100%</f>
        <v>0.75</v>
      </c>
      <c r="T978" s="18">
        <f>COUNTIFS(Table1[Customer ID], "&gt;1", Table1[Customer ID], 1)</f>
        <v>0</v>
      </c>
    </row>
    <row r="979" spans="1:20" hidden="1" x14ac:dyDescent="0.3">
      <c r="A979" s="2" t="s">
        <v>1573</v>
      </c>
      <c r="B979" s="5">
        <v>46022</v>
      </c>
      <c r="C979" s="5" t="str">
        <f>TEXT(B979,"mmm")</f>
        <v>Dec</v>
      </c>
      <c r="D979" s="2" t="s">
        <v>1574</v>
      </c>
      <c r="E979" s="2" t="s">
        <v>48</v>
      </c>
      <c r="F979" s="2" t="str" cm="1">
        <f t="array" ref="F9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79" s="2" t="str" cm="1">
        <f t="array" ref="G9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79" s="2" t="s">
        <v>217</v>
      </c>
      <c r="I979" s="2" t="s">
        <v>29</v>
      </c>
      <c r="J979" s="2">
        <v>2</v>
      </c>
      <c r="K979" s="8">
        <v>3299</v>
      </c>
      <c r="L979" s="3">
        <v>0.25</v>
      </c>
      <c r="M979" s="12">
        <f>K979*L979</f>
        <v>824.75</v>
      </c>
      <c r="N979" s="12">
        <f>K979*J979</f>
        <v>6598</v>
      </c>
      <c r="O979" s="12">
        <f>N979-M979</f>
        <v>5773.25</v>
      </c>
      <c r="P979" s="2" t="s">
        <v>45</v>
      </c>
      <c r="Q979" s="2" t="s">
        <v>18</v>
      </c>
      <c r="R979" s="2">
        <v>60</v>
      </c>
      <c r="S979" s="20">
        <f>Table1[[#This Row],[Net_revenue]]/Table1[[#This Row],[Gross_revenue]]*100%</f>
        <v>0.875</v>
      </c>
      <c r="T979" s="18">
        <f>COUNTIFS(Table1[Customer ID], "&gt;1", Table1[Customer ID], 1)</f>
        <v>0</v>
      </c>
    </row>
    <row r="980" spans="1:20" hidden="1" x14ac:dyDescent="0.3">
      <c r="A980" s="2" t="s">
        <v>1575</v>
      </c>
      <c r="B980" s="5">
        <v>45840</v>
      </c>
      <c r="C980" s="5" t="str">
        <f>TEXT(B980,"mmm")</f>
        <v>Jul</v>
      </c>
      <c r="D980" s="2" t="s">
        <v>1197</v>
      </c>
      <c r="E980" s="2" t="s">
        <v>40</v>
      </c>
      <c r="F980" s="2" t="str" cm="1">
        <f t="array" ref="F9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80" s="2" t="str" cm="1">
        <f t="array" ref="G9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80" s="2" t="s">
        <v>63</v>
      </c>
      <c r="I980" s="2" t="s">
        <v>23</v>
      </c>
      <c r="J980" s="2">
        <v>1</v>
      </c>
      <c r="K980" s="8">
        <v>2499</v>
      </c>
      <c r="L980" s="3">
        <v>0</v>
      </c>
      <c r="M980" s="12">
        <f>K980*L980</f>
        <v>0</v>
      </c>
      <c r="N980" s="12">
        <f>K980*J980</f>
        <v>2499</v>
      </c>
      <c r="O980" s="12">
        <f>N980-M980</f>
        <v>2499</v>
      </c>
      <c r="P980" s="2" t="s">
        <v>45</v>
      </c>
      <c r="Q980" s="2" t="s">
        <v>18</v>
      </c>
      <c r="R980" s="2">
        <v>60</v>
      </c>
      <c r="S980" s="20">
        <f>Table1[[#This Row],[Net_revenue]]/Table1[[#This Row],[Gross_revenue]]*100%</f>
        <v>1</v>
      </c>
      <c r="T980" s="18">
        <f>COUNTIFS(Table1[Customer ID], "&gt;1", Table1[Customer ID], 1)</f>
        <v>0</v>
      </c>
    </row>
    <row r="981" spans="1:20" hidden="1" x14ac:dyDescent="0.3">
      <c r="A981" s="2" t="s">
        <v>1576</v>
      </c>
      <c r="B981" s="5">
        <v>45738</v>
      </c>
      <c r="C981" s="5" t="str">
        <f>TEXT(B981,"mmm")</f>
        <v>Mar</v>
      </c>
      <c r="D981" s="2" t="s">
        <v>511</v>
      </c>
      <c r="E981" s="2" t="s">
        <v>40</v>
      </c>
      <c r="F981" s="2" t="str" cm="1">
        <f t="array" ref="F9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81" s="2" t="str" cm="1">
        <f t="array" ref="G9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81" s="2" t="s">
        <v>63</v>
      </c>
      <c r="I981" s="2" t="s">
        <v>23</v>
      </c>
      <c r="J981" s="2">
        <v>2</v>
      </c>
      <c r="K981" s="8">
        <v>2499</v>
      </c>
      <c r="L981" s="3">
        <v>0.05</v>
      </c>
      <c r="M981" s="12">
        <f>K981*L981</f>
        <v>124.95</v>
      </c>
      <c r="N981" s="12">
        <f>K981*J981</f>
        <v>4998</v>
      </c>
      <c r="O981" s="12">
        <f>N981-M981</f>
        <v>4873.05</v>
      </c>
      <c r="P981" s="2" t="s">
        <v>17</v>
      </c>
      <c r="Q981" s="2" t="s">
        <v>18</v>
      </c>
      <c r="R981" s="2">
        <v>60</v>
      </c>
      <c r="S981" s="20">
        <f>Table1[[#This Row],[Net_revenue]]/Table1[[#This Row],[Gross_revenue]]*100%</f>
        <v>0.97500000000000009</v>
      </c>
      <c r="T981" s="18">
        <f>COUNTIFS(Table1[Customer ID], "&gt;1", Table1[Customer ID], 1)</f>
        <v>0</v>
      </c>
    </row>
    <row r="982" spans="1:20" hidden="1" x14ac:dyDescent="0.3">
      <c r="A982" s="2" t="s">
        <v>1577</v>
      </c>
      <c r="B982" s="5">
        <v>45704</v>
      </c>
      <c r="C982" s="5" t="str">
        <f>TEXT(B982,"mmm")</f>
        <v>Feb</v>
      </c>
      <c r="D982" s="2" t="s">
        <v>296</v>
      </c>
      <c r="E982" s="2" t="s">
        <v>27</v>
      </c>
      <c r="F982" s="2" t="str" cm="1">
        <f t="array" ref="F9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82" s="2" t="str" cm="1">
        <f t="array" ref="G9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82" s="2" t="s">
        <v>22</v>
      </c>
      <c r="I982" s="2" t="s">
        <v>23</v>
      </c>
      <c r="J982" s="2">
        <v>5</v>
      </c>
      <c r="K982" s="8">
        <v>3999</v>
      </c>
      <c r="L982" s="3">
        <v>0</v>
      </c>
      <c r="M982" s="12">
        <f>K982*L982</f>
        <v>0</v>
      </c>
      <c r="N982" s="12">
        <f>K982*J982</f>
        <v>19995</v>
      </c>
      <c r="O982" s="12">
        <f>N982-M982</f>
        <v>19995</v>
      </c>
      <c r="P982" s="2" t="s">
        <v>45</v>
      </c>
      <c r="Q982" s="2" t="s">
        <v>18</v>
      </c>
      <c r="R982" s="2">
        <v>0</v>
      </c>
      <c r="S982" s="20">
        <f>Table1[[#This Row],[Net_revenue]]/Table1[[#This Row],[Gross_revenue]]*100%</f>
        <v>1</v>
      </c>
      <c r="T982" s="18">
        <f>COUNTIFS(Table1[Customer ID], "&gt;1", Table1[Customer ID], 1)</f>
        <v>0</v>
      </c>
    </row>
    <row r="983" spans="1:20" hidden="1" x14ac:dyDescent="0.3">
      <c r="A983" s="2" t="s">
        <v>1578</v>
      </c>
      <c r="B983" s="5">
        <v>45761</v>
      </c>
      <c r="C983" s="5" t="str">
        <f>TEXT(B983,"mmm")</f>
        <v>Apr</v>
      </c>
      <c r="D983" s="2" t="s">
        <v>182</v>
      </c>
      <c r="E983" s="2" t="s">
        <v>195</v>
      </c>
      <c r="F983" s="2" t="str" cm="1">
        <f t="array" ref="F9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983" s="2" t="str" cm="1">
        <f t="array" ref="G9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83" s="2" t="s">
        <v>98</v>
      </c>
      <c r="I983" s="2" t="s">
        <v>37</v>
      </c>
      <c r="J983" s="2">
        <v>1</v>
      </c>
      <c r="K983" s="8">
        <v>299</v>
      </c>
      <c r="L983" s="3">
        <v>0.25</v>
      </c>
      <c r="M983" s="12">
        <f>K983*L983</f>
        <v>74.75</v>
      </c>
      <c r="N983" s="12">
        <f>K983*J983</f>
        <v>299</v>
      </c>
      <c r="O983" s="12">
        <f>N983-M983</f>
        <v>224.25</v>
      </c>
      <c r="P983" s="2" t="s">
        <v>24</v>
      </c>
      <c r="Q983" s="2" t="s">
        <v>18</v>
      </c>
      <c r="R983" s="2">
        <v>80</v>
      </c>
      <c r="S983" s="20">
        <f>Table1[[#This Row],[Net_revenue]]/Table1[[#This Row],[Gross_revenue]]*100%</f>
        <v>0.75</v>
      </c>
      <c r="T983" s="18">
        <f>COUNTIFS(Table1[Customer ID], "&gt;1", Table1[Customer ID], 1)</f>
        <v>0</v>
      </c>
    </row>
    <row r="984" spans="1:20" hidden="1" x14ac:dyDescent="0.3">
      <c r="A984" s="2" t="s">
        <v>1579</v>
      </c>
      <c r="B984" s="5">
        <v>45879</v>
      </c>
      <c r="C984" s="5" t="str">
        <f>TEXT(B984,"mmm")</f>
        <v>Aug</v>
      </c>
      <c r="D984" s="2" t="s">
        <v>1118</v>
      </c>
      <c r="E984" s="2" t="s">
        <v>21</v>
      </c>
      <c r="F984" s="2" t="str" cm="1">
        <f t="array" ref="F9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84" s="2" t="str" cm="1">
        <f t="array" ref="G9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84" s="2" t="s">
        <v>107</v>
      </c>
      <c r="I984" s="2" t="s">
        <v>95</v>
      </c>
      <c r="J984" s="2">
        <v>1</v>
      </c>
      <c r="K984" s="8">
        <v>1599</v>
      </c>
      <c r="L984" s="3">
        <v>0.15</v>
      </c>
      <c r="M984" s="12">
        <f>K984*L984</f>
        <v>239.85</v>
      </c>
      <c r="N984" s="12">
        <f>K984*J984</f>
        <v>1599</v>
      </c>
      <c r="O984" s="12">
        <f>N984-M984</f>
        <v>1359.15</v>
      </c>
      <c r="P984" s="2" t="s">
        <v>17</v>
      </c>
      <c r="Q984" s="2" t="s">
        <v>18</v>
      </c>
      <c r="R984" s="2">
        <v>0</v>
      </c>
      <c r="S984" s="20">
        <f>Table1[[#This Row],[Net_revenue]]/Table1[[#This Row],[Gross_revenue]]*100%</f>
        <v>0.85000000000000009</v>
      </c>
      <c r="T984" s="18">
        <f>COUNTIFS(Table1[Customer ID], "&gt;1", Table1[Customer ID], 1)</f>
        <v>0</v>
      </c>
    </row>
    <row r="985" spans="1:20" hidden="1" x14ac:dyDescent="0.3">
      <c r="A985" s="2" t="s">
        <v>1580</v>
      </c>
      <c r="B985" s="5">
        <v>45744</v>
      </c>
      <c r="C985" s="5" t="str">
        <f>TEXT(B985,"mmm")</f>
        <v>Mar</v>
      </c>
      <c r="D985" s="2" t="s">
        <v>1581</v>
      </c>
      <c r="E985" s="2" t="s">
        <v>21</v>
      </c>
      <c r="F985" s="2" t="str" cm="1">
        <f t="array" ref="F9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85" s="2" t="str" cm="1">
        <f t="array" ref="G9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85" s="2" t="s">
        <v>68</v>
      </c>
      <c r="I985" s="2" t="s">
        <v>16</v>
      </c>
      <c r="J985" s="2">
        <v>1</v>
      </c>
      <c r="K985" s="8">
        <v>599</v>
      </c>
      <c r="L985" s="3">
        <v>0</v>
      </c>
      <c r="M985" s="12">
        <f>K985*L985</f>
        <v>0</v>
      </c>
      <c r="N985" s="12">
        <f>K985*J985</f>
        <v>599</v>
      </c>
      <c r="O985" s="12">
        <f>N985-M985</f>
        <v>599</v>
      </c>
      <c r="P985" s="2" t="s">
        <v>17</v>
      </c>
      <c r="Q985" s="2" t="s">
        <v>18</v>
      </c>
      <c r="R985" s="2">
        <v>60</v>
      </c>
      <c r="S985" s="20">
        <f>Table1[[#This Row],[Net_revenue]]/Table1[[#This Row],[Gross_revenue]]*100%</f>
        <v>1</v>
      </c>
      <c r="T985" s="18">
        <f>COUNTIFS(Table1[Customer ID], "&gt;1", Table1[Customer ID], 1)</f>
        <v>0</v>
      </c>
    </row>
    <row r="986" spans="1:20" hidden="1" x14ac:dyDescent="0.3">
      <c r="A986" s="2" t="s">
        <v>1582</v>
      </c>
      <c r="B986" s="5">
        <v>45983</v>
      </c>
      <c r="C986" s="5" t="str">
        <f>TEXT(B986,"mmm")</f>
        <v>Nov</v>
      </c>
      <c r="D986" s="2" t="s">
        <v>1278</v>
      </c>
      <c r="E986" s="2" t="s">
        <v>14</v>
      </c>
      <c r="F986" s="2" t="str" cm="1">
        <f t="array" ref="F9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86" s="2" t="str" cm="1">
        <f t="array" ref="G9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86" s="2" t="s">
        <v>22</v>
      </c>
      <c r="I986" s="2" t="s">
        <v>23</v>
      </c>
      <c r="J986" s="2">
        <v>1</v>
      </c>
      <c r="K986" s="8">
        <v>3999</v>
      </c>
      <c r="L986" s="3">
        <v>0.25</v>
      </c>
      <c r="M986" s="12">
        <f>K986*L986</f>
        <v>999.75</v>
      </c>
      <c r="N986" s="12">
        <f>K986*J986</f>
        <v>3999</v>
      </c>
      <c r="O986" s="12">
        <f>N986-M986</f>
        <v>2999.25</v>
      </c>
      <c r="P986" s="2" t="s">
        <v>30</v>
      </c>
      <c r="Q986" s="2" t="s">
        <v>18</v>
      </c>
      <c r="R986" s="2">
        <v>0</v>
      </c>
      <c r="S986" s="20">
        <f>Table1[[#This Row],[Net_revenue]]/Table1[[#This Row],[Gross_revenue]]*100%</f>
        <v>0.75</v>
      </c>
      <c r="T986" s="18">
        <f>COUNTIFS(Table1[Customer ID], "&gt;1", Table1[Customer ID], 1)</f>
        <v>0</v>
      </c>
    </row>
    <row r="987" spans="1:20" hidden="1" x14ac:dyDescent="0.3">
      <c r="A987" s="2" t="s">
        <v>1583</v>
      </c>
      <c r="B987" s="5">
        <v>45735</v>
      </c>
      <c r="C987" s="5" t="str">
        <f>TEXT(B987,"mmm")</f>
        <v>Mar</v>
      </c>
      <c r="D987" s="2" t="s">
        <v>1481</v>
      </c>
      <c r="E987" s="2" t="s">
        <v>14</v>
      </c>
      <c r="F987" s="2" t="str" cm="1">
        <f t="array" ref="F9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87" s="2" t="str" cm="1">
        <f t="array" ref="G9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87" s="2" t="s">
        <v>65</v>
      </c>
      <c r="I987" s="2" t="s">
        <v>23</v>
      </c>
      <c r="J987" s="2">
        <v>1</v>
      </c>
      <c r="K987" s="8">
        <v>1899</v>
      </c>
      <c r="L987" s="3">
        <v>0.1</v>
      </c>
      <c r="M987" s="12">
        <f>K987*L987</f>
        <v>189.9</v>
      </c>
      <c r="N987" s="12">
        <f>K987*J987</f>
        <v>1899</v>
      </c>
      <c r="O987" s="12">
        <f>N987-M987</f>
        <v>1709.1</v>
      </c>
      <c r="P987" s="2" t="s">
        <v>45</v>
      </c>
      <c r="Q987" s="2" t="s">
        <v>18</v>
      </c>
      <c r="R987" s="2">
        <v>0</v>
      </c>
      <c r="S987" s="20">
        <f>Table1[[#This Row],[Net_revenue]]/Table1[[#This Row],[Gross_revenue]]*100%</f>
        <v>0.89999999999999991</v>
      </c>
      <c r="T987" s="18">
        <f>COUNTIFS(Table1[Customer ID], "&gt;1", Table1[Customer ID], 1)</f>
        <v>0</v>
      </c>
    </row>
    <row r="988" spans="1:20" hidden="1" x14ac:dyDescent="0.3">
      <c r="A988" s="2" t="s">
        <v>1584</v>
      </c>
      <c r="B988" s="5">
        <v>45709</v>
      </c>
      <c r="C988" s="5" t="str">
        <f>TEXT(B988,"mmm")</f>
        <v>Feb</v>
      </c>
      <c r="D988" s="2" t="s">
        <v>545</v>
      </c>
      <c r="E988" s="2" t="s">
        <v>48</v>
      </c>
      <c r="F988" s="2" t="str" cm="1">
        <f t="array" ref="F9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88" s="2" t="str" cm="1">
        <f t="array" ref="G9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88" s="2" t="s">
        <v>71</v>
      </c>
      <c r="I988" s="2" t="s">
        <v>29</v>
      </c>
      <c r="J988" s="2">
        <v>1</v>
      </c>
      <c r="K988" s="8">
        <v>5499</v>
      </c>
      <c r="L988" s="3">
        <v>0.15</v>
      </c>
      <c r="M988" s="12">
        <f>K988*L988</f>
        <v>824.85</v>
      </c>
      <c r="N988" s="12">
        <f>K988*J988</f>
        <v>5499</v>
      </c>
      <c r="O988" s="12">
        <f>N988-M988</f>
        <v>4674.1499999999996</v>
      </c>
      <c r="P988" s="2" t="s">
        <v>45</v>
      </c>
      <c r="Q988" s="2" t="s">
        <v>18</v>
      </c>
      <c r="R988" s="2">
        <v>40</v>
      </c>
      <c r="S988" s="20">
        <f>Table1[[#This Row],[Net_revenue]]/Table1[[#This Row],[Gross_revenue]]*100%</f>
        <v>0.85</v>
      </c>
      <c r="T988" s="18">
        <f>COUNTIFS(Table1[Customer ID], "&gt;1", Table1[Customer ID], 1)</f>
        <v>0</v>
      </c>
    </row>
    <row r="989" spans="1:20" hidden="1" x14ac:dyDescent="0.3">
      <c r="A989" s="2" t="s">
        <v>1585</v>
      </c>
      <c r="B989" s="5">
        <v>45731</v>
      </c>
      <c r="C989" s="5" t="str">
        <f>TEXT(B989,"mmm")</f>
        <v>Mar</v>
      </c>
      <c r="D989" s="2" t="s">
        <v>381</v>
      </c>
      <c r="E989" s="2" t="s">
        <v>40</v>
      </c>
      <c r="F989" s="2" t="str" cm="1">
        <f t="array" ref="F9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989" s="2" t="str" cm="1">
        <f t="array" ref="G9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89" s="2" t="s">
        <v>33</v>
      </c>
      <c r="I989" s="2" t="s">
        <v>16</v>
      </c>
      <c r="J989" s="2">
        <v>1</v>
      </c>
      <c r="K989" s="8">
        <v>899</v>
      </c>
      <c r="L989" s="3">
        <v>0.1</v>
      </c>
      <c r="M989" s="12">
        <f>K989*L989</f>
        <v>89.9</v>
      </c>
      <c r="N989" s="12">
        <f>K989*J989</f>
        <v>899</v>
      </c>
      <c r="O989" s="12">
        <f>N989-M989</f>
        <v>809.1</v>
      </c>
      <c r="P989" s="2" t="s">
        <v>45</v>
      </c>
      <c r="Q989" s="2" t="s">
        <v>18</v>
      </c>
      <c r="R989" s="2">
        <v>60</v>
      </c>
      <c r="S989" s="20">
        <f>Table1[[#This Row],[Net_revenue]]/Table1[[#This Row],[Gross_revenue]]*100%</f>
        <v>0.9</v>
      </c>
      <c r="T989" s="18">
        <f>COUNTIFS(Table1[Customer ID], "&gt;1", Table1[Customer ID], 1)</f>
        <v>0</v>
      </c>
    </row>
    <row r="990" spans="1:20" hidden="1" x14ac:dyDescent="0.3">
      <c r="A990" s="2" t="s">
        <v>1586</v>
      </c>
      <c r="B990" s="5">
        <v>45660</v>
      </c>
      <c r="C990" s="5" t="str">
        <f>TEXT(B990,"mmm")</f>
        <v>Jan</v>
      </c>
      <c r="D990" s="2" t="s">
        <v>568</v>
      </c>
      <c r="E990" s="2" t="s">
        <v>48</v>
      </c>
      <c r="F990" s="2" t="str" cm="1">
        <f t="array" ref="F9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990" s="2" t="str" cm="1">
        <f t="array" ref="G9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90" s="2" t="s">
        <v>183</v>
      </c>
      <c r="I990" s="2" t="s">
        <v>37</v>
      </c>
      <c r="J990" s="2">
        <v>1</v>
      </c>
      <c r="K990" s="8">
        <v>499</v>
      </c>
      <c r="L990" s="3">
        <v>0.05</v>
      </c>
      <c r="M990" s="12">
        <f>K990*L990</f>
        <v>24.950000000000003</v>
      </c>
      <c r="N990" s="12">
        <f>K990*J990</f>
        <v>499</v>
      </c>
      <c r="O990" s="12">
        <f>N990-M990</f>
        <v>474.05</v>
      </c>
      <c r="P990" s="2" t="s">
        <v>45</v>
      </c>
      <c r="Q990" s="2" t="s">
        <v>18</v>
      </c>
      <c r="R990" s="2">
        <v>60</v>
      </c>
      <c r="S990" s="20">
        <f>Table1[[#This Row],[Net_revenue]]/Table1[[#This Row],[Gross_revenue]]*100%</f>
        <v>0.95000000000000007</v>
      </c>
      <c r="T990" s="18">
        <f>COUNTIFS(Table1[Customer ID], "&gt;1", Table1[Customer ID], 1)</f>
        <v>0</v>
      </c>
    </row>
    <row r="991" spans="1:20" hidden="1" x14ac:dyDescent="0.3">
      <c r="A991" s="2" t="s">
        <v>1587</v>
      </c>
      <c r="B991" s="5">
        <v>45910</v>
      </c>
      <c r="C991" s="5" t="str">
        <f>TEXT(B991,"mmm")</f>
        <v>Sep</v>
      </c>
      <c r="D991" s="2" t="s">
        <v>1588</v>
      </c>
      <c r="E991" s="2" t="s">
        <v>14</v>
      </c>
      <c r="F991" s="2" t="str" cm="1">
        <f t="array" ref="F9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991" s="2" t="str" cm="1">
        <f t="array" ref="G9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991" s="2" t="s">
        <v>49</v>
      </c>
      <c r="I991" s="2" t="s">
        <v>23</v>
      </c>
      <c r="J991" s="2">
        <v>1</v>
      </c>
      <c r="K991" s="8">
        <v>1299</v>
      </c>
      <c r="L991" s="3">
        <v>0.1</v>
      </c>
      <c r="M991" s="12">
        <f>K991*L991</f>
        <v>129.9</v>
      </c>
      <c r="N991" s="12">
        <f>K991*J991</f>
        <v>1299</v>
      </c>
      <c r="O991" s="12">
        <f>N991-M991</f>
        <v>1169.0999999999999</v>
      </c>
      <c r="P991" s="2" t="s">
        <v>30</v>
      </c>
      <c r="Q991" s="2" t="s">
        <v>18</v>
      </c>
      <c r="R991" s="2">
        <v>60</v>
      </c>
      <c r="S991" s="20">
        <f>Table1[[#This Row],[Net_revenue]]/Table1[[#This Row],[Gross_revenue]]*100%</f>
        <v>0.89999999999999991</v>
      </c>
      <c r="T991" s="18">
        <f>COUNTIFS(Table1[Customer ID], "&gt;1", Table1[Customer ID], 1)</f>
        <v>0</v>
      </c>
    </row>
    <row r="992" spans="1:20" hidden="1" x14ac:dyDescent="0.3">
      <c r="A992" s="2" t="s">
        <v>1589</v>
      </c>
      <c r="B992" s="5">
        <v>45915</v>
      </c>
      <c r="C992" s="5" t="str">
        <f>TEXT(B992,"mmm")</f>
        <v>Sep</v>
      </c>
      <c r="D992" s="2" t="s">
        <v>526</v>
      </c>
      <c r="E992" s="2" t="s">
        <v>195</v>
      </c>
      <c r="F992" s="2" t="str" cm="1">
        <f t="array" ref="F9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992" s="2" t="str" cm="1">
        <f t="array" ref="G9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92" s="2" t="s">
        <v>188</v>
      </c>
      <c r="I992" s="2" t="s">
        <v>95</v>
      </c>
      <c r="J992" s="2">
        <v>2</v>
      </c>
      <c r="K992" s="8">
        <v>699</v>
      </c>
      <c r="L992" s="3">
        <v>0.1</v>
      </c>
      <c r="M992" s="12">
        <f>K992*L992</f>
        <v>69.900000000000006</v>
      </c>
      <c r="N992" s="12">
        <f>K992*J992</f>
        <v>1398</v>
      </c>
      <c r="O992" s="12">
        <f>N992-M992</f>
        <v>1328.1</v>
      </c>
      <c r="P992" s="2" t="s">
        <v>30</v>
      </c>
      <c r="Q992" s="2" t="s">
        <v>72</v>
      </c>
      <c r="R992" s="2">
        <v>60</v>
      </c>
      <c r="S992" s="20">
        <f>Table1[[#This Row],[Net_revenue]]/Table1[[#This Row],[Gross_revenue]]*100%</f>
        <v>0.95</v>
      </c>
      <c r="T992" s="18">
        <f>COUNTIFS(Table1[Customer ID], "&gt;1", Table1[Customer ID], 1)</f>
        <v>0</v>
      </c>
    </row>
    <row r="993" spans="1:20" hidden="1" x14ac:dyDescent="0.3">
      <c r="A993" s="2" t="s">
        <v>1590</v>
      </c>
      <c r="B993" s="5">
        <v>45916</v>
      </c>
      <c r="C993" s="5" t="str">
        <f>TEXT(B993,"mmm")</f>
        <v>Sep</v>
      </c>
      <c r="D993" s="2" t="s">
        <v>1591</v>
      </c>
      <c r="E993" s="2" t="s">
        <v>21</v>
      </c>
      <c r="F993" s="2" t="str" cm="1">
        <f t="array" ref="F9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93" s="2" t="str" cm="1">
        <f t="array" ref="G9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93" s="2" t="s">
        <v>22</v>
      </c>
      <c r="I993" s="2" t="s">
        <v>23</v>
      </c>
      <c r="J993" s="2">
        <v>1</v>
      </c>
      <c r="K993" s="8">
        <v>3999</v>
      </c>
      <c r="L993" s="3">
        <v>0</v>
      </c>
      <c r="M993" s="12">
        <f>K993*L993</f>
        <v>0</v>
      </c>
      <c r="N993" s="12">
        <f>K993*J993</f>
        <v>3999</v>
      </c>
      <c r="O993" s="12">
        <f>N993-M993</f>
        <v>3999</v>
      </c>
      <c r="P993" s="2" t="s">
        <v>30</v>
      </c>
      <c r="Q993" s="2" t="s">
        <v>18</v>
      </c>
      <c r="R993" s="2">
        <v>80</v>
      </c>
      <c r="S993" s="20">
        <f>Table1[[#This Row],[Net_revenue]]/Table1[[#This Row],[Gross_revenue]]*100%</f>
        <v>1</v>
      </c>
      <c r="T993" s="18">
        <f>COUNTIFS(Table1[Customer ID], "&gt;1", Table1[Customer ID], 1)</f>
        <v>0</v>
      </c>
    </row>
    <row r="994" spans="1:20" hidden="1" x14ac:dyDescent="0.3">
      <c r="A994" s="2" t="s">
        <v>1592</v>
      </c>
      <c r="B994" s="5">
        <v>45914</v>
      </c>
      <c r="C994" s="5" t="str">
        <f>TEXT(B994,"mmm")</f>
        <v>Sep</v>
      </c>
      <c r="D994" s="2" t="s">
        <v>473</v>
      </c>
      <c r="E994" s="2" t="s">
        <v>195</v>
      </c>
      <c r="F994" s="2" t="str" cm="1">
        <f t="array" ref="F9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994" s="2" t="str" cm="1">
        <f t="array" ref="G9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94" s="2" t="s">
        <v>33</v>
      </c>
      <c r="I994" s="2" t="s">
        <v>16</v>
      </c>
      <c r="J994" s="2">
        <v>3</v>
      </c>
      <c r="K994" s="8">
        <v>899</v>
      </c>
      <c r="L994" s="3">
        <v>0</v>
      </c>
      <c r="M994" s="12">
        <f>K994*L994</f>
        <v>0</v>
      </c>
      <c r="N994" s="12">
        <f>K994*J994</f>
        <v>2697</v>
      </c>
      <c r="O994" s="12">
        <f>N994-M994</f>
        <v>2697</v>
      </c>
      <c r="P994" s="2" t="s">
        <v>45</v>
      </c>
      <c r="Q994" s="2" t="s">
        <v>18</v>
      </c>
      <c r="R994" s="2">
        <v>0</v>
      </c>
      <c r="S994" s="20">
        <f>Table1[[#This Row],[Net_revenue]]/Table1[[#This Row],[Gross_revenue]]*100%</f>
        <v>1</v>
      </c>
      <c r="T994" s="18">
        <f>COUNTIFS(Table1[Customer ID], "&gt;1", Table1[Customer ID], 1)</f>
        <v>0</v>
      </c>
    </row>
    <row r="995" spans="1:20" hidden="1" x14ac:dyDescent="0.3">
      <c r="A995" s="2" t="s">
        <v>1593</v>
      </c>
      <c r="B995" s="5">
        <v>45829</v>
      </c>
      <c r="C995" s="5" t="str">
        <f>TEXT(B995,"mmm")</f>
        <v>Jun</v>
      </c>
      <c r="D995" s="2" t="s">
        <v>1594</v>
      </c>
      <c r="E995" s="2" t="s">
        <v>21</v>
      </c>
      <c r="F995" s="2" t="str" cm="1">
        <f t="array" ref="F9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95" s="2" t="str" cm="1">
        <f t="array" ref="G9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95" s="2" t="s">
        <v>68</v>
      </c>
      <c r="I995" s="2" t="s">
        <v>16</v>
      </c>
      <c r="J995" s="2">
        <v>2</v>
      </c>
      <c r="K995" s="8">
        <v>599</v>
      </c>
      <c r="L995" s="3">
        <v>0.05</v>
      </c>
      <c r="M995" s="12">
        <f>K995*L995</f>
        <v>29.950000000000003</v>
      </c>
      <c r="N995" s="12">
        <f>K995*J995</f>
        <v>1198</v>
      </c>
      <c r="O995" s="12">
        <f>N995-M995</f>
        <v>1168.05</v>
      </c>
      <c r="P995" s="2" t="s">
        <v>45</v>
      </c>
      <c r="Q995" s="2" t="s">
        <v>50</v>
      </c>
      <c r="R995" s="2">
        <v>0</v>
      </c>
      <c r="S995" s="20">
        <f>Table1[[#This Row],[Net_revenue]]/Table1[[#This Row],[Gross_revenue]]*100%</f>
        <v>0.97499999999999998</v>
      </c>
      <c r="T995" s="18">
        <f>COUNTIFS(Table1[Customer ID], "&gt;1", Table1[Customer ID], 1)</f>
        <v>0</v>
      </c>
    </row>
    <row r="996" spans="1:20" hidden="1" x14ac:dyDescent="0.3">
      <c r="A996" s="2" t="s">
        <v>1595</v>
      </c>
      <c r="B996" s="5">
        <v>45951</v>
      </c>
      <c r="C996" s="5" t="str">
        <f>TEXT(B996,"mmm")</f>
        <v>Oct</v>
      </c>
      <c r="D996" s="2" t="s">
        <v>562</v>
      </c>
      <c r="E996" s="2" t="s">
        <v>75</v>
      </c>
      <c r="F996" s="2" t="str" cm="1">
        <f t="array" ref="F9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996" s="2" t="str" cm="1">
        <f t="array" ref="G9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96" s="2" t="s">
        <v>41</v>
      </c>
      <c r="I996" s="2" t="s">
        <v>16</v>
      </c>
      <c r="J996" s="2">
        <v>2</v>
      </c>
      <c r="K996" s="8">
        <v>2299</v>
      </c>
      <c r="L996" s="3">
        <v>0.05</v>
      </c>
      <c r="M996" s="12">
        <f>K996*L996</f>
        <v>114.95</v>
      </c>
      <c r="N996" s="12">
        <f>K996*J996</f>
        <v>4598</v>
      </c>
      <c r="O996" s="12">
        <f>N996-M996</f>
        <v>4483.05</v>
      </c>
      <c r="P996" s="2" t="s">
        <v>17</v>
      </c>
      <c r="Q996" s="2" t="s">
        <v>18</v>
      </c>
      <c r="R996" s="2">
        <v>60</v>
      </c>
      <c r="S996" s="20">
        <f>Table1[[#This Row],[Net_revenue]]/Table1[[#This Row],[Gross_revenue]]*100%</f>
        <v>0.97500000000000009</v>
      </c>
      <c r="T996" s="18">
        <f>COUNTIFS(Table1[Customer ID], "&gt;1", Table1[Customer ID], 1)</f>
        <v>0</v>
      </c>
    </row>
    <row r="997" spans="1:20" hidden="1" x14ac:dyDescent="0.3">
      <c r="A997" s="2" t="s">
        <v>1596</v>
      </c>
      <c r="B997" s="5">
        <v>45839</v>
      </c>
      <c r="C997" s="5" t="str">
        <f>TEXT(B997,"mmm")</f>
        <v>Jul</v>
      </c>
      <c r="D997" s="2" t="s">
        <v>131</v>
      </c>
      <c r="E997" s="2" t="s">
        <v>27</v>
      </c>
      <c r="F997" s="2" t="str" cm="1">
        <f t="array" ref="F9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997" s="2" t="str" cm="1">
        <f t="array" ref="G9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997" s="2" t="s">
        <v>41</v>
      </c>
      <c r="I997" s="2" t="s">
        <v>16</v>
      </c>
      <c r="J997" s="2">
        <v>1</v>
      </c>
      <c r="K997" s="8">
        <v>2299</v>
      </c>
      <c r="L997" s="3">
        <v>0.15</v>
      </c>
      <c r="M997" s="12">
        <f>K997*L997</f>
        <v>344.84999999999997</v>
      </c>
      <c r="N997" s="12">
        <f>K997*J997</f>
        <v>2299</v>
      </c>
      <c r="O997" s="12">
        <f>N997-M997</f>
        <v>1954.15</v>
      </c>
      <c r="P997" s="2" t="s">
        <v>45</v>
      </c>
      <c r="Q997" s="2" t="s">
        <v>18</v>
      </c>
      <c r="R997" s="2">
        <v>40</v>
      </c>
      <c r="S997" s="20">
        <f>Table1[[#This Row],[Net_revenue]]/Table1[[#This Row],[Gross_revenue]]*100%</f>
        <v>0.85000000000000009</v>
      </c>
      <c r="T997" s="18">
        <f>COUNTIFS(Table1[Customer ID], "&gt;1", Table1[Customer ID], 1)</f>
        <v>0</v>
      </c>
    </row>
    <row r="998" spans="1:20" hidden="1" x14ac:dyDescent="0.3">
      <c r="A998" s="2" t="s">
        <v>1597</v>
      </c>
      <c r="B998" s="5">
        <v>45835</v>
      </c>
      <c r="C998" s="5" t="str">
        <f>TEXT(B998,"mmm")</f>
        <v>Jun</v>
      </c>
      <c r="D998" s="2" t="s">
        <v>1598</v>
      </c>
      <c r="E998" s="2" t="s">
        <v>21</v>
      </c>
      <c r="F998" s="2" t="str" cm="1">
        <f t="array" ref="F9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998" s="2" t="str" cm="1">
        <f t="array" ref="G9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998" s="2" t="s">
        <v>134</v>
      </c>
      <c r="I998" s="2" t="s">
        <v>29</v>
      </c>
      <c r="J998" s="2">
        <v>1</v>
      </c>
      <c r="K998" s="8">
        <v>1499</v>
      </c>
      <c r="L998" s="3">
        <v>0.1</v>
      </c>
      <c r="M998" s="12">
        <f>K998*L998</f>
        <v>149.9</v>
      </c>
      <c r="N998" s="12">
        <f>K998*J998</f>
        <v>1499</v>
      </c>
      <c r="O998" s="12">
        <f>N998-M998</f>
        <v>1349.1</v>
      </c>
      <c r="P998" s="2" t="s">
        <v>17</v>
      </c>
      <c r="Q998" s="2" t="s">
        <v>18</v>
      </c>
      <c r="R998" s="2">
        <v>40</v>
      </c>
      <c r="S998" s="20">
        <f>Table1[[#This Row],[Net_revenue]]/Table1[[#This Row],[Gross_revenue]]*100%</f>
        <v>0.89999999999999991</v>
      </c>
      <c r="T998" s="18">
        <f>COUNTIFS(Table1[Customer ID], "&gt;1", Table1[Customer ID], 1)</f>
        <v>0</v>
      </c>
    </row>
    <row r="999" spans="1:20" hidden="1" x14ac:dyDescent="0.3">
      <c r="A999" s="2" t="s">
        <v>1599</v>
      </c>
      <c r="B999" s="5">
        <v>45662</v>
      </c>
      <c r="C999" s="5" t="str">
        <f>TEXT(B999,"mmm")</f>
        <v>Jan</v>
      </c>
      <c r="D999" s="2" t="s">
        <v>296</v>
      </c>
      <c r="E999" s="2" t="s">
        <v>53</v>
      </c>
      <c r="F999" s="2" t="str" cm="1">
        <f t="array" ref="F9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999" s="2" t="str" cm="1">
        <f t="array" ref="G9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999" s="2" t="s">
        <v>28</v>
      </c>
      <c r="I999" s="2" t="s">
        <v>29</v>
      </c>
      <c r="J999" s="2">
        <v>3</v>
      </c>
      <c r="K999" s="8">
        <v>2799</v>
      </c>
      <c r="L999" s="3">
        <v>0.2</v>
      </c>
      <c r="M999" s="12">
        <f>K999*L999</f>
        <v>559.80000000000007</v>
      </c>
      <c r="N999" s="12">
        <f>K999*J999</f>
        <v>8397</v>
      </c>
      <c r="O999" s="12">
        <f>N999-M999</f>
        <v>7837.2</v>
      </c>
      <c r="P999" s="2" t="s">
        <v>45</v>
      </c>
      <c r="Q999" s="2" t="s">
        <v>18</v>
      </c>
      <c r="R999" s="2">
        <v>40</v>
      </c>
      <c r="S999" s="20">
        <f>Table1[[#This Row],[Net_revenue]]/Table1[[#This Row],[Gross_revenue]]*100%</f>
        <v>0.93333333333333335</v>
      </c>
      <c r="T999" s="18">
        <f>COUNTIFS(Table1[Customer ID], "&gt;1", Table1[Customer ID], 1)</f>
        <v>0</v>
      </c>
    </row>
    <row r="1000" spans="1:20" hidden="1" x14ac:dyDescent="0.3">
      <c r="A1000" s="2" t="s">
        <v>1600</v>
      </c>
      <c r="B1000" s="5">
        <v>45893</v>
      </c>
      <c r="C1000" s="5" t="str">
        <f>TEXT(B1000,"mmm")</f>
        <v>Aug</v>
      </c>
      <c r="D1000" s="2" t="s">
        <v>1002</v>
      </c>
      <c r="E1000" s="2" t="s">
        <v>40</v>
      </c>
      <c r="F1000" s="2" t="str" cm="1">
        <f t="array" ref="F10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00" s="2" t="str" cm="1">
        <f t="array" ref="G10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00" s="2" t="s">
        <v>117</v>
      </c>
      <c r="I1000" s="2" t="s">
        <v>23</v>
      </c>
      <c r="J1000" s="2">
        <v>1</v>
      </c>
      <c r="K1000" s="8">
        <v>2199</v>
      </c>
      <c r="L1000" s="3">
        <v>0.05</v>
      </c>
      <c r="M1000" s="12">
        <f>K1000*L1000</f>
        <v>109.95</v>
      </c>
      <c r="N1000" s="12">
        <f>K1000*J1000</f>
        <v>2199</v>
      </c>
      <c r="O1000" s="12">
        <f>N1000-M1000</f>
        <v>2089.0500000000002</v>
      </c>
      <c r="P1000" s="2" t="s">
        <v>30</v>
      </c>
      <c r="Q1000" s="2" t="s">
        <v>50</v>
      </c>
      <c r="R1000" s="2">
        <v>40</v>
      </c>
      <c r="S1000" s="20">
        <f>Table1[[#This Row],[Net_revenue]]/Table1[[#This Row],[Gross_revenue]]*100%</f>
        <v>0.95000000000000007</v>
      </c>
      <c r="T1000" s="18">
        <f>COUNTIFS(Table1[Customer ID], "&gt;1", Table1[Customer ID], 1)</f>
        <v>0</v>
      </c>
    </row>
    <row r="1001" spans="1:20" hidden="1" x14ac:dyDescent="0.3">
      <c r="A1001" s="2" t="s">
        <v>1601</v>
      </c>
      <c r="B1001" s="5">
        <v>45879</v>
      </c>
      <c r="C1001" s="5" t="str">
        <f>TEXT(B1001,"mmm")</f>
        <v>Aug</v>
      </c>
      <c r="D1001" s="2" t="s">
        <v>1181</v>
      </c>
      <c r="E1001" s="2" t="s">
        <v>21</v>
      </c>
      <c r="F1001" s="2" t="str" cm="1">
        <f t="array" ref="F10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01" s="2" t="str" cm="1">
        <f t="array" ref="G10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01" s="2" t="s">
        <v>117</v>
      </c>
      <c r="I1001" s="2" t="s">
        <v>23</v>
      </c>
      <c r="J1001" s="2">
        <v>2</v>
      </c>
      <c r="K1001" s="8">
        <v>2199</v>
      </c>
      <c r="L1001" s="3">
        <v>0.1</v>
      </c>
      <c r="M1001" s="12">
        <f>K1001*L1001</f>
        <v>219.9</v>
      </c>
      <c r="N1001" s="12">
        <f>K1001*J1001</f>
        <v>4398</v>
      </c>
      <c r="O1001" s="12">
        <f>N1001-M1001</f>
        <v>4178.1000000000004</v>
      </c>
      <c r="P1001" s="2" t="s">
        <v>30</v>
      </c>
      <c r="Q1001" s="2" t="s">
        <v>18</v>
      </c>
      <c r="R1001" s="2">
        <v>0</v>
      </c>
      <c r="S1001" s="20">
        <f>Table1[[#This Row],[Net_revenue]]/Table1[[#This Row],[Gross_revenue]]*100%</f>
        <v>0.95000000000000007</v>
      </c>
      <c r="T1001" s="18">
        <f>COUNTIFS(Table1[Customer ID], "&gt;1", Table1[Customer ID], 1)</f>
        <v>0</v>
      </c>
    </row>
    <row r="1002" spans="1:20" hidden="1" x14ac:dyDescent="0.3">
      <c r="A1002" s="2" t="s">
        <v>1602</v>
      </c>
      <c r="B1002" s="5">
        <v>45880</v>
      </c>
      <c r="C1002" s="5" t="str">
        <f>TEXT(B1002,"mmm")</f>
        <v>Aug</v>
      </c>
      <c r="D1002" s="2" t="s">
        <v>1089</v>
      </c>
      <c r="E1002" s="2" t="s">
        <v>21</v>
      </c>
      <c r="F1002" s="2" t="str" cm="1">
        <f t="array" ref="F10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02" s="2" t="str" cm="1">
        <f t="array" ref="G10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02" s="2" t="s">
        <v>49</v>
      </c>
      <c r="I1002" s="2" t="s">
        <v>23</v>
      </c>
      <c r="J1002" s="2">
        <v>2</v>
      </c>
      <c r="K1002" s="8">
        <v>1299</v>
      </c>
      <c r="L1002" s="3">
        <v>0.1</v>
      </c>
      <c r="M1002" s="12">
        <f>K1002*L1002</f>
        <v>129.9</v>
      </c>
      <c r="N1002" s="12">
        <f>K1002*J1002</f>
        <v>2598</v>
      </c>
      <c r="O1002" s="12">
        <f>N1002-M1002</f>
        <v>2468.1</v>
      </c>
      <c r="P1002" s="2" t="s">
        <v>45</v>
      </c>
      <c r="Q1002" s="2" t="s">
        <v>18</v>
      </c>
      <c r="R1002" s="2">
        <v>40</v>
      </c>
      <c r="S1002" s="20">
        <f>Table1[[#This Row],[Net_revenue]]/Table1[[#This Row],[Gross_revenue]]*100%</f>
        <v>0.95</v>
      </c>
      <c r="T1002" s="18">
        <f>COUNTIFS(Table1[Customer ID], "&gt;1", Table1[Customer ID], 1)</f>
        <v>0</v>
      </c>
    </row>
    <row r="1003" spans="1:20" hidden="1" x14ac:dyDescent="0.3">
      <c r="A1003" s="2" t="s">
        <v>1603</v>
      </c>
      <c r="B1003" s="5">
        <v>45745</v>
      </c>
      <c r="C1003" s="5" t="str">
        <f>TEXT(B1003,"mmm")</f>
        <v>Mar</v>
      </c>
      <c r="D1003" s="2" t="s">
        <v>517</v>
      </c>
      <c r="E1003" s="2" t="s">
        <v>53</v>
      </c>
      <c r="F1003" s="2" t="str" cm="1">
        <f t="array" ref="F10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03" s="2" t="str" cm="1">
        <f t="array" ref="G10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03" s="2" t="s">
        <v>89</v>
      </c>
      <c r="I1003" s="2" t="s">
        <v>29</v>
      </c>
      <c r="J1003" s="2">
        <v>1</v>
      </c>
      <c r="K1003" s="8">
        <v>449</v>
      </c>
      <c r="L1003" s="3">
        <v>0</v>
      </c>
      <c r="M1003" s="12">
        <f>K1003*L1003</f>
        <v>0</v>
      </c>
      <c r="N1003" s="12">
        <f>K1003*J1003</f>
        <v>449</v>
      </c>
      <c r="O1003" s="12">
        <f>N1003-M1003</f>
        <v>449</v>
      </c>
      <c r="P1003" s="2" t="s">
        <v>45</v>
      </c>
      <c r="Q1003" s="2" t="s">
        <v>18</v>
      </c>
      <c r="R1003" s="2">
        <v>0</v>
      </c>
      <c r="S1003" s="20">
        <f>Table1[[#This Row],[Net_revenue]]/Table1[[#This Row],[Gross_revenue]]*100%</f>
        <v>1</v>
      </c>
      <c r="T1003" s="18">
        <f>COUNTIFS(Table1[Customer ID], "&gt;1", Table1[Customer ID], 1)</f>
        <v>0</v>
      </c>
    </row>
    <row r="1004" spans="1:20" hidden="1" x14ac:dyDescent="0.3">
      <c r="A1004" s="2" t="s">
        <v>1604</v>
      </c>
      <c r="B1004" s="5">
        <v>45678</v>
      </c>
      <c r="C1004" s="5" t="str">
        <f>TEXT(B1004,"mmm")</f>
        <v>Jan</v>
      </c>
      <c r="D1004" s="2" t="s">
        <v>1054</v>
      </c>
      <c r="E1004" s="2" t="s">
        <v>75</v>
      </c>
      <c r="F1004" s="2" t="str" cm="1">
        <f t="array" ref="F10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004" s="2" t="str" cm="1">
        <f t="array" ref="G10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04" s="2" t="s">
        <v>33</v>
      </c>
      <c r="I1004" s="2" t="s">
        <v>16</v>
      </c>
      <c r="J1004" s="2">
        <v>1</v>
      </c>
      <c r="K1004" s="8">
        <v>899</v>
      </c>
      <c r="L1004" s="3">
        <v>0.1</v>
      </c>
      <c r="M1004" s="12">
        <f>K1004*L1004</f>
        <v>89.9</v>
      </c>
      <c r="N1004" s="12">
        <f>K1004*J1004</f>
        <v>899</v>
      </c>
      <c r="O1004" s="12">
        <f>N1004-M1004</f>
        <v>809.1</v>
      </c>
      <c r="P1004" s="2" t="s">
        <v>24</v>
      </c>
      <c r="Q1004" s="2" t="s">
        <v>18</v>
      </c>
      <c r="R1004" s="2">
        <v>40</v>
      </c>
      <c r="S1004" s="20">
        <f>Table1[[#This Row],[Net_revenue]]/Table1[[#This Row],[Gross_revenue]]*100%</f>
        <v>0.9</v>
      </c>
      <c r="T1004" s="18">
        <f>COUNTIFS(Table1[Customer ID], "&gt;1", Table1[Customer ID], 1)</f>
        <v>0</v>
      </c>
    </row>
    <row r="1005" spans="1:20" hidden="1" x14ac:dyDescent="0.3">
      <c r="A1005" s="2" t="s">
        <v>1605</v>
      </c>
      <c r="B1005" s="5">
        <v>45703</v>
      </c>
      <c r="C1005" s="5" t="str">
        <f>TEXT(B1005,"mmm")</f>
        <v>Feb</v>
      </c>
      <c r="D1005" s="2" t="s">
        <v>821</v>
      </c>
      <c r="E1005" s="2" t="s">
        <v>14</v>
      </c>
      <c r="F1005" s="2" t="str" cm="1">
        <f t="array" ref="F10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05" s="2" t="str" cm="1">
        <f t="array" ref="G10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05" s="2" t="s">
        <v>65</v>
      </c>
      <c r="I1005" s="2" t="s">
        <v>23</v>
      </c>
      <c r="J1005" s="2">
        <v>1</v>
      </c>
      <c r="K1005" s="8">
        <v>1899</v>
      </c>
      <c r="L1005" s="3">
        <v>0.05</v>
      </c>
      <c r="M1005" s="12">
        <f>K1005*L1005</f>
        <v>94.95</v>
      </c>
      <c r="N1005" s="12">
        <f>K1005*J1005</f>
        <v>1899</v>
      </c>
      <c r="O1005" s="12">
        <f>N1005-M1005</f>
        <v>1804.05</v>
      </c>
      <c r="P1005" s="2" t="s">
        <v>17</v>
      </c>
      <c r="Q1005" s="2" t="s">
        <v>18</v>
      </c>
      <c r="R1005" s="2">
        <v>60</v>
      </c>
      <c r="S1005" s="20">
        <f>Table1[[#This Row],[Net_revenue]]/Table1[[#This Row],[Gross_revenue]]*100%</f>
        <v>0.95</v>
      </c>
      <c r="T1005" s="18">
        <f>COUNTIFS(Table1[Customer ID], "&gt;1", Table1[Customer ID], 1)</f>
        <v>0</v>
      </c>
    </row>
    <row r="1006" spans="1:20" hidden="1" x14ac:dyDescent="0.3">
      <c r="A1006" s="2" t="s">
        <v>1606</v>
      </c>
      <c r="B1006" s="5">
        <v>45869</v>
      </c>
      <c r="C1006" s="5" t="str">
        <f>TEXT(B1006,"mmm")</f>
        <v>Jul</v>
      </c>
      <c r="D1006" s="2" t="s">
        <v>1598</v>
      </c>
      <c r="E1006" s="2" t="s">
        <v>27</v>
      </c>
      <c r="F1006" s="2" t="str" cm="1">
        <f t="array" ref="F10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06" s="2" t="str" cm="1">
        <f t="array" ref="G10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06" s="2" t="s">
        <v>28</v>
      </c>
      <c r="I1006" s="2" t="s">
        <v>29</v>
      </c>
      <c r="J1006" s="2">
        <v>1</v>
      </c>
      <c r="K1006" s="8">
        <v>2799</v>
      </c>
      <c r="L1006" s="3">
        <v>0.1</v>
      </c>
      <c r="M1006" s="12">
        <f>K1006*L1006</f>
        <v>279.90000000000003</v>
      </c>
      <c r="N1006" s="12">
        <f>K1006*J1006</f>
        <v>2799</v>
      </c>
      <c r="O1006" s="12">
        <f>N1006-M1006</f>
        <v>2519.1</v>
      </c>
      <c r="P1006" s="2" t="s">
        <v>45</v>
      </c>
      <c r="Q1006" s="2" t="s">
        <v>18</v>
      </c>
      <c r="R1006" s="2">
        <v>40</v>
      </c>
      <c r="S1006" s="20">
        <f>Table1[[#This Row],[Net_revenue]]/Table1[[#This Row],[Gross_revenue]]*100%</f>
        <v>0.9</v>
      </c>
      <c r="T1006" s="18">
        <f>COUNTIFS(Table1[Customer ID], "&gt;1", Table1[Customer ID], 1)</f>
        <v>0</v>
      </c>
    </row>
    <row r="1007" spans="1:20" hidden="1" x14ac:dyDescent="0.3">
      <c r="A1007" s="2" t="s">
        <v>1607</v>
      </c>
      <c r="B1007" s="5">
        <v>45807</v>
      </c>
      <c r="C1007" s="5" t="str">
        <f>TEXT(B1007,"mmm")</f>
        <v>May</v>
      </c>
      <c r="D1007" s="2" t="s">
        <v>1608</v>
      </c>
      <c r="E1007" s="2" t="s">
        <v>40</v>
      </c>
      <c r="F1007" s="2" t="str" cm="1">
        <f t="array" ref="F10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07" s="2" t="str" cm="1">
        <f t="array" ref="G10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07" s="2" t="s">
        <v>33</v>
      </c>
      <c r="I1007" s="2" t="s">
        <v>16</v>
      </c>
      <c r="J1007" s="2">
        <v>3</v>
      </c>
      <c r="K1007" s="8">
        <v>899</v>
      </c>
      <c r="L1007" s="3">
        <v>0.15</v>
      </c>
      <c r="M1007" s="12">
        <f>K1007*L1007</f>
        <v>134.85</v>
      </c>
      <c r="N1007" s="12">
        <f>K1007*J1007</f>
        <v>2697</v>
      </c>
      <c r="O1007" s="12">
        <f>N1007-M1007</f>
        <v>2562.15</v>
      </c>
      <c r="P1007" s="2" t="s">
        <v>30</v>
      </c>
      <c r="Q1007" s="2" t="s">
        <v>18</v>
      </c>
      <c r="R1007" s="2">
        <v>60</v>
      </c>
      <c r="S1007" s="20">
        <f>Table1[[#This Row],[Net_revenue]]/Table1[[#This Row],[Gross_revenue]]*100%</f>
        <v>0.95000000000000007</v>
      </c>
      <c r="T1007" s="18">
        <f>COUNTIFS(Table1[Customer ID], "&gt;1", Table1[Customer ID], 1)</f>
        <v>0</v>
      </c>
    </row>
    <row r="1008" spans="1:20" hidden="1" x14ac:dyDescent="0.3">
      <c r="A1008" s="2" t="s">
        <v>1609</v>
      </c>
      <c r="B1008" s="5">
        <v>45890</v>
      </c>
      <c r="C1008" s="5" t="str">
        <f>TEXT(B1008,"mmm")</f>
        <v>Aug</v>
      </c>
      <c r="D1008" s="2" t="s">
        <v>1610</v>
      </c>
      <c r="E1008" s="2" t="s">
        <v>21</v>
      </c>
      <c r="F1008" s="2" t="str" cm="1">
        <f t="array" ref="F10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08" s="2" t="str" cm="1">
        <f t="array" ref="G10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08" s="2" t="s">
        <v>63</v>
      </c>
      <c r="I1008" s="2" t="s">
        <v>23</v>
      </c>
      <c r="J1008" s="2">
        <v>1</v>
      </c>
      <c r="K1008" s="8">
        <v>2499</v>
      </c>
      <c r="L1008" s="3">
        <v>0</v>
      </c>
      <c r="M1008" s="12">
        <f>K1008*L1008</f>
        <v>0</v>
      </c>
      <c r="N1008" s="12">
        <f>K1008*J1008</f>
        <v>2499</v>
      </c>
      <c r="O1008" s="12">
        <f>N1008-M1008</f>
        <v>2499</v>
      </c>
      <c r="P1008" s="2" t="s">
        <v>30</v>
      </c>
      <c r="Q1008" s="2" t="s">
        <v>18</v>
      </c>
      <c r="R1008" s="2">
        <v>80</v>
      </c>
      <c r="S1008" s="20">
        <f>Table1[[#This Row],[Net_revenue]]/Table1[[#This Row],[Gross_revenue]]*100%</f>
        <v>1</v>
      </c>
      <c r="T1008" s="18">
        <f>COUNTIFS(Table1[Customer ID], "&gt;1", Table1[Customer ID], 1)</f>
        <v>0</v>
      </c>
    </row>
    <row r="1009" spans="1:20" hidden="1" x14ac:dyDescent="0.3">
      <c r="A1009" s="2" t="s">
        <v>1611</v>
      </c>
      <c r="B1009" s="5">
        <v>45751</v>
      </c>
      <c r="C1009" s="5" t="str">
        <f>TEXT(B1009,"mmm")</f>
        <v>Apr</v>
      </c>
      <c r="D1009" s="2" t="s">
        <v>1612</v>
      </c>
      <c r="E1009" s="2" t="s">
        <v>56</v>
      </c>
      <c r="F1009" s="2" t="str" cm="1">
        <f t="array" ref="F10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09" s="2" t="str" cm="1">
        <f t="array" ref="G10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09" s="2" t="s">
        <v>44</v>
      </c>
      <c r="I1009" s="2" t="s">
        <v>16</v>
      </c>
      <c r="J1009" s="2">
        <v>2</v>
      </c>
      <c r="K1009" s="8">
        <v>1599</v>
      </c>
      <c r="L1009" s="3">
        <v>0.05</v>
      </c>
      <c r="M1009" s="12">
        <f>K1009*L1009</f>
        <v>79.95</v>
      </c>
      <c r="N1009" s="12">
        <f>K1009*J1009</f>
        <v>3198</v>
      </c>
      <c r="O1009" s="12">
        <f>N1009-M1009</f>
        <v>3118.05</v>
      </c>
      <c r="P1009" s="2" t="s">
        <v>17</v>
      </c>
      <c r="Q1009" s="2" t="s">
        <v>18</v>
      </c>
      <c r="R1009" s="2">
        <v>40</v>
      </c>
      <c r="S1009" s="20">
        <f>Table1[[#This Row],[Net_revenue]]/Table1[[#This Row],[Gross_revenue]]*100%</f>
        <v>0.97500000000000009</v>
      </c>
      <c r="T1009" s="18">
        <f>COUNTIFS(Table1[Customer ID], "&gt;1", Table1[Customer ID], 1)</f>
        <v>0</v>
      </c>
    </row>
    <row r="1010" spans="1:20" hidden="1" x14ac:dyDescent="0.3">
      <c r="A1010" s="2" t="s">
        <v>1613</v>
      </c>
      <c r="B1010" s="5">
        <v>45967</v>
      </c>
      <c r="C1010" s="5" t="str">
        <f>TEXT(B1010,"mmm")</f>
        <v>Nov</v>
      </c>
      <c r="D1010" s="2" t="s">
        <v>892</v>
      </c>
      <c r="E1010" s="2" t="s">
        <v>21</v>
      </c>
      <c r="F1010" s="2" t="str" cm="1">
        <f t="array" ref="F10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10" s="2" t="str" cm="1">
        <f t="array" ref="G10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10" s="2" t="s">
        <v>117</v>
      </c>
      <c r="I1010" s="2" t="s">
        <v>23</v>
      </c>
      <c r="J1010" s="2">
        <v>1</v>
      </c>
      <c r="K1010" s="8">
        <v>2199</v>
      </c>
      <c r="L1010" s="3">
        <v>0.05</v>
      </c>
      <c r="M1010" s="12">
        <f>K1010*L1010</f>
        <v>109.95</v>
      </c>
      <c r="N1010" s="12">
        <f>K1010*J1010</f>
        <v>2199</v>
      </c>
      <c r="O1010" s="12">
        <f>N1010-M1010</f>
        <v>2089.0500000000002</v>
      </c>
      <c r="P1010" s="2" t="s">
        <v>45</v>
      </c>
      <c r="Q1010" s="2" t="s">
        <v>18</v>
      </c>
      <c r="R1010" s="2">
        <v>80</v>
      </c>
      <c r="S1010" s="20">
        <f>Table1[[#This Row],[Net_revenue]]/Table1[[#This Row],[Gross_revenue]]*100%</f>
        <v>0.95000000000000007</v>
      </c>
      <c r="T1010" s="18">
        <f>COUNTIFS(Table1[Customer ID], "&gt;1", Table1[Customer ID], 1)</f>
        <v>0</v>
      </c>
    </row>
    <row r="1011" spans="1:20" hidden="1" x14ac:dyDescent="0.3">
      <c r="A1011" s="2" t="s">
        <v>1614</v>
      </c>
      <c r="B1011" s="5">
        <v>45759</v>
      </c>
      <c r="C1011" s="5" t="str">
        <f>TEXT(B1011,"mmm")</f>
        <v>Apr</v>
      </c>
      <c r="D1011" s="2" t="s">
        <v>1615</v>
      </c>
      <c r="E1011" s="2" t="s">
        <v>40</v>
      </c>
      <c r="F1011" s="2" t="str" cm="1">
        <f t="array" ref="F10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11" s="2" t="str" cm="1">
        <f t="array" ref="G10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11" s="2" t="s">
        <v>28</v>
      </c>
      <c r="I1011" s="2" t="s">
        <v>29</v>
      </c>
      <c r="J1011" s="2">
        <v>4</v>
      </c>
      <c r="K1011" s="8">
        <v>2799</v>
      </c>
      <c r="L1011" s="3">
        <v>0.1</v>
      </c>
      <c r="M1011" s="12">
        <f>K1011*L1011</f>
        <v>279.90000000000003</v>
      </c>
      <c r="N1011" s="12">
        <f>K1011*J1011</f>
        <v>11196</v>
      </c>
      <c r="O1011" s="12">
        <f>N1011-M1011</f>
        <v>10916.1</v>
      </c>
      <c r="P1011" s="2" t="s">
        <v>30</v>
      </c>
      <c r="Q1011" s="2" t="s">
        <v>18</v>
      </c>
      <c r="R1011" s="2">
        <v>80</v>
      </c>
      <c r="S1011" s="20">
        <f>Table1[[#This Row],[Net_revenue]]/Table1[[#This Row],[Gross_revenue]]*100%</f>
        <v>0.97499999999999998</v>
      </c>
      <c r="T1011" s="18">
        <f>COUNTIFS(Table1[Customer ID], "&gt;1", Table1[Customer ID], 1)</f>
        <v>0</v>
      </c>
    </row>
    <row r="1012" spans="1:20" hidden="1" x14ac:dyDescent="0.3">
      <c r="A1012" s="2" t="s">
        <v>1616</v>
      </c>
      <c r="B1012" s="5">
        <v>45935</v>
      </c>
      <c r="C1012" s="5" t="str">
        <f>TEXT(B1012,"mmm")</f>
        <v>Oct</v>
      </c>
      <c r="D1012" s="2" t="s">
        <v>359</v>
      </c>
      <c r="E1012" s="2" t="s">
        <v>40</v>
      </c>
      <c r="F1012" s="2" t="str" cm="1">
        <f t="array" ref="F10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12" s="2" t="str" cm="1">
        <f t="array" ref="G10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12" s="2" t="s">
        <v>188</v>
      </c>
      <c r="I1012" s="2" t="s">
        <v>95</v>
      </c>
      <c r="J1012" s="2">
        <v>1</v>
      </c>
      <c r="K1012" s="8">
        <v>699</v>
      </c>
      <c r="L1012" s="3">
        <v>0.25</v>
      </c>
      <c r="M1012" s="12">
        <f>K1012*L1012</f>
        <v>174.75</v>
      </c>
      <c r="N1012" s="12">
        <f>K1012*J1012</f>
        <v>699</v>
      </c>
      <c r="O1012" s="12">
        <f>N1012-M1012</f>
        <v>524.25</v>
      </c>
      <c r="P1012" s="2" t="s">
        <v>45</v>
      </c>
      <c r="Q1012" s="2" t="s">
        <v>18</v>
      </c>
      <c r="R1012" s="2">
        <v>40</v>
      </c>
      <c r="S1012" s="20">
        <f>Table1[[#This Row],[Net_revenue]]/Table1[[#This Row],[Gross_revenue]]*100%</f>
        <v>0.75</v>
      </c>
      <c r="T1012" s="18">
        <f>COUNTIFS(Table1[Customer ID], "&gt;1", Table1[Customer ID], 1)</f>
        <v>0</v>
      </c>
    </row>
    <row r="1013" spans="1:20" hidden="1" x14ac:dyDescent="0.3">
      <c r="A1013" s="2" t="s">
        <v>1617</v>
      </c>
      <c r="B1013" s="5">
        <v>45826</v>
      </c>
      <c r="C1013" s="5" t="str">
        <f>TEXT(B1013,"mmm")</f>
        <v>Jun</v>
      </c>
      <c r="D1013" s="2" t="s">
        <v>345</v>
      </c>
      <c r="E1013" s="2" t="s">
        <v>21</v>
      </c>
      <c r="F1013" s="2" t="str" cm="1">
        <f t="array" ref="F10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13" s="2" t="str" cm="1">
        <f t="array" ref="G10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13" s="2" t="s">
        <v>65</v>
      </c>
      <c r="I1013" s="2" t="s">
        <v>23</v>
      </c>
      <c r="J1013" s="2">
        <v>2</v>
      </c>
      <c r="K1013" s="8">
        <v>1899</v>
      </c>
      <c r="L1013" s="3">
        <v>0</v>
      </c>
      <c r="M1013" s="12">
        <f>K1013*L1013</f>
        <v>0</v>
      </c>
      <c r="N1013" s="12">
        <f>K1013*J1013</f>
        <v>3798</v>
      </c>
      <c r="O1013" s="12">
        <f>N1013-M1013</f>
        <v>3798</v>
      </c>
      <c r="P1013" s="2" t="s">
        <v>17</v>
      </c>
      <c r="Q1013" s="2" t="s">
        <v>18</v>
      </c>
      <c r="R1013" s="2">
        <v>40</v>
      </c>
      <c r="S1013" s="20">
        <f>Table1[[#This Row],[Net_revenue]]/Table1[[#This Row],[Gross_revenue]]*100%</f>
        <v>1</v>
      </c>
      <c r="T1013" s="18">
        <f>COUNTIFS(Table1[Customer ID], "&gt;1", Table1[Customer ID], 1)</f>
        <v>0</v>
      </c>
    </row>
    <row r="1014" spans="1:20" hidden="1" x14ac:dyDescent="0.3">
      <c r="A1014" s="2" t="s">
        <v>1618</v>
      </c>
      <c r="B1014" s="5">
        <v>45706</v>
      </c>
      <c r="C1014" s="5" t="str">
        <f>TEXT(B1014,"mmm")</f>
        <v>Feb</v>
      </c>
      <c r="D1014" s="2" t="s">
        <v>1459</v>
      </c>
      <c r="E1014" s="2" t="s">
        <v>21</v>
      </c>
      <c r="F1014" s="2" t="str" cm="1">
        <f t="array" ref="F10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14" s="2" t="str" cm="1">
        <f t="array" ref="G10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14" s="2" t="s">
        <v>117</v>
      </c>
      <c r="I1014" s="2" t="s">
        <v>23</v>
      </c>
      <c r="J1014" s="2">
        <v>4</v>
      </c>
      <c r="K1014" s="8">
        <v>2199</v>
      </c>
      <c r="L1014" s="3">
        <v>0.2</v>
      </c>
      <c r="M1014" s="12">
        <f>K1014*L1014</f>
        <v>439.8</v>
      </c>
      <c r="N1014" s="12">
        <f>K1014*J1014</f>
        <v>8796</v>
      </c>
      <c r="O1014" s="12">
        <f>N1014-M1014</f>
        <v>8356.2000000000007</v>
      </c>
      <c r="P1014" s="2" t="s">
        <v>17</v>
      </c>
      <c r="Q1014" s="2" t="s">
        <v>18</v>
      </c>
      <c r="R1014" s="2">
        <v>60</v>
      </c>
      <c r="S1014" s="20">
        <f>Table1[[#This Row],[Net_revenue]]/Table1[[#This Row],[Gross_revenue]]*100%</f>
        <v>0.95000000000000007</v>
      </c>
      <c r="T1014" s="18">
        <f>COUNTIFS(Table1[Customer ID], "&gt;1", Table1[Customer ID], 1)</f>
        <v>0</v>
      </c>
    </row>
    <row r="1015" spans="1:20" hidden="1" x14ac:dyDescent="0.3">
      <c r="A1015" s="2" t="s">
        <v>1619</v>
      </c>
      <c r="B1015" s="5">
        <v>45859</v>
      </c>
      <c r="C1015" s="5" t="str">
        <f>TEXT(B1015,"mmm")</f>
        <v>Jul</v>
      </c>
      <c r="D1015" s="2" t="s">
        <v>1620</v>
      </c>
      <c r="E1015" s="2" t="s">
        <v>195</v>
      </c>
      <c r="F1015" s="2" t="str" cm="1">
        <f t="array" ref="F10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015" s="2" t="str" cm="1">
        <f t="array" ref="G10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15" s="2" t="s">
        <v>15</v>
      </c>
      <c r="I1015" s="2" t="s">
        <v>16</v>
      </c>
      <c r="J1015" s="2">
        <v>2</v>
      </c>
      <c r="K1015" s="8">
        <v>1799</v>
      </c>
      <c r="L1015" s="3">
        <v>0.15</v>
      </c>
      <c r="M1015" s="12">
        <f>K1015*L1015</f>
        <v>269.84999999999997</v>
      </c>
      <c r="N1015" s="12">
        <f>K1015*J1015</f>
        <v>3598</v>
      </c>
      <c r="O1015" s="12">
        <f>N1015-M1015</f>
        <v>3328.15</v>
      </c>
      <c r="P1015" s="2" t="s">
        <v>17</v>
      </c>
      <c r="Q1015" s="2" t="s">
        <v>18</v>
      </c>
      <c r="R1015" s="2">
        <v>0</v>
      </c>
      <c r="S1015" s="20">
        <f>Table1[[#This Row],[Net_revenue]]/Table1[[#This Row],[Gross_revenue]]*100%</f>
        <v>0.92500000000000004</v>
      </c>
      <c r="T1015" s="18">
        <f>COUNTIFS(Table1[Customer ID], "&gt;1", Table1[Customer ID], 1)</f>
        <v>0</v>
      </c>
    </row>
    <row r="1016" spans="1:20" hidden="1" x14ac:dyDescent="0.3">
      <c r="A1016" s="2" t="s">
        <v>1621</v>
      </c>
      <c r="B1016" s="5">
        <v>45876</v>
      </c>
      <c r="C1016" s="5" t="str">
        <f>TEXT(B1016,"mmm")</f>
        <v>Aug</v>
      </c>
      <c r="D1016" s="2" t="s">
        <v>1622</v>
      </c>
      <c r="E1016" s="2" t="s">
        <v>27</v>
      </c>
      <c r="F1016" s="2" t="str" cm="1">
        <f t="array" ref="F10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16" s="2" t="str" cm="1">
        <f t="array" ref="G10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16" s="2" t="s">
        <v>188</v>
      </c>
      <c r="I1016" s="2" t="s">
        <v>95</v>
      </c>
      <c r="J1016" s="2">
        <v>1</v>
      </c>
      <c r="K1016" s="8">
        <v>699</v>
      </c>
      <c r="L1016" s="3">
        <v>0.15</v>
      </c>
      <c r="M1016" s="12">
        <f>K1016*L1016</f>
        <v>104.85</v>
      </c>
      <c r="N1016" s="12">
        <f>K1016*J1016</f>
        <v>699</v>
      </c>
      <c r="O1016" s="12">
        <f>N1016-M1016</f>
        <v>594.15</v>
      </c>
      <c r="P1016" s="2" t="s">
        <v>30</v>
      </c>
      <c r="Q1016" s="2" t="s">
        <v>50</v>
      </c>
      <c r="R1016" s="2">
        <v>60</v>
      </c>
      <c r="S1016" s="20">
        <f>Table1[[#This Row],[Net_revenue]]/Table1[[#This Row],[Gross_revenue]]*100%</f>
        <v>0.85</v>
      </c>
      <c r="T1016" s="18">
        <f>COUNTIFS(Table1[Customer ID], "&gt;1", Table1[Customer ID], 1)</f>
        <v>0</v>
      </c>
    </row>
    <row r="1017" spans="1:20" hidden="1" x14ac:dyDescent="0.3">
      <c r="A1017" s="2" t="s">
        <v>1623</v>
      </c>
      <c r="B1017" s="5">
        <v>45783</v>
      </c>
      <c r="C1017" s="5" t="str">
        <f>TEXT(B1017,"mmm")</f>
        <v>May</v>
      </c>
      <c r="D1017" s="2" t="s">
        <v>505</v>
      </c>
      <c r="E1017" s="2" t="s">
        <v>40</v>
      </c>
      <c r="F1017" s="2" t="str" cm="1">
        <f t="array" ref="F10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17" s="2" t="str" cm="1">
        <f t="array" ref="G10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17" s="2" t="s">
        <v>98</v>
      </c>
      <c r="I1017" s="2" t="s">
        <v>37</v>
      </c>
      <c r="J1017" s="2">
        <v>1</v>
      </c>
      <c r="K1017" s="8">
        <v>299</v>
      </c>
      <c r="L1017" s="3">
        <v>0</v>
      </c>
      <c r="M1017" s="12">
        <f>K1017*L1017</f>
        <v>0</v>
      </c>
      <c r="N1017" s="12">
        <f>K1017*J1017</f>
        <v>299</v>
      </c>
      <c r="O1017" s="12">
        <f>N1017-M1017</f>
        <v>299</v>
      </c>
      <c r="P1017" s="2" t="s">
        <v>30</v>
      </c>
      <c r="Q1017" s="2" t="s">
        <v>18</v>
      </c>
      <c r="R1017" s="2">
        <v>0</v>
      </c>
      <c r="S1017" s="20">
        <f>Table1[[#This Row],[Net_revenue]]/Table1[[#This Row],[Gross_revenue]]*100%</f>
        <v>1</v>
      </c>
      <c r="T1017" s="18">
        <f>COUNTIFS(Table1[Customer ID], "&gt;1", Table1[Customer ID], 1)</f>
        <v>0</v>
      </c>
    </row>
    <row r="1018" spans="1:20" hidden="1" x14ac:dyDescent="0.3">
      <c r="A1018" s="2" t="s">
        <v>1624</v>
      </c>
      <c r="B1018" s="5">
        <v>45880</v>
      </c>
      <c r="C1018" s="5" t="str">
        <f>TEXT(B1018,"mmm")</f>
        <v>Aug</v>
      </c>
      <c r="D1018" s="2" t="s">
        <v>405</v>
      </c>
      <c r="E1018" s="2" t="s">
        <v>120</v>
      </c>
      <c r="F1018" s="2" t="str" cm="1">
        <f t="array" ref="F10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18" s="2" t="str" cm="1">
        <f t="array" ref="G10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18" s="2" t="s">
        <v>33</v>
      </c>
      <c r="I1018" s="2" t="s">
        <v>16</v>
      </c>
      <c r="J1018" s="2">
        <v>1</v>
      </c>
      <c r="K1018" s="8">
        <v>899</v>
      </c>
      <c r="L1018" s="3">
        <v>0.15</v>
      </c>
      <c r="M1018" s="12">
        <f>K1018*L1018</f>
        <v>134.85</v>
      </c>
      <c r="N1018" s="12">
        <f>K1018*J1018</f>
        <v>899</v>
      </c>
      <c r="O1018" s="12">
        <f>N1018-M1018</f>
        <v>764.15</v>
      </c>
      <c r="P1018" s="2" t="s">
        <v>45</v>
      </c>
      <c r="Q1018" s="2" t="s">
        <v>18</v>
      </c>
      <c r="R1018" s="2">
        <v>40</v>
      </c>
      <c r="S1018" s="20">
        <f>Table1[[#This Row],[Net_revenue]]/Table1[[#This Row],[Gross_revenue]]*100%</f>
        <v>0.85</v>
      </c>
      <c r="T1018" s="18">
        <f>COUNTIFS(Table1[Customer ID], "&gt;1", Table1[Customer ID], 1)</f>
        <v>0</v>
      </c>
    </row>
    <row r="1019" spans="1:20" hidden="1" x14ac:dyDescent="0.3">
      <c r="A1019" s="2" t="s">
        <v>1625</v>
      </c>
      <c r="B1019" s="5">
        <v>45875</v>
      </c>
      <c r="C1019" s="5" t="str">
        <f>TEXT(B1019,"mmm")</f>
        <v>Aug</v>
      </c>
      <c r="D1019" s="2" t="s">
        <v>182</v>
      </c>
      <c r="E1019" s="2" t="s">
        <v>53</v>
      </c>
      <c r="F1019" s="2" t="str" cm="1">
        <f t="array" ref="F10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19" s="2" t="str" cm="1">
        <f t="array" ref="G10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19" s="2" t="s">
        <v>98</v>
      </c>
      <c r="I1019" s="2" t="s">
        <v>37</v>
      </c>
      <c r="J1019" s="2">
        <v>5</v>
      </c>
      <c r="K1019" s="8">
        <v>299</v>
      </c>
      <c r="L1019" s="3">
        <v>0</v>
      </c>
      <c r="M1019" s="12">
        <f>K1019*L1019</f>
        <v>0</v>
      </c>
      <c r="N1019" s="12">
        <f>K1019*J1019</f>
        <v>1495</v>
      </c>
      <c r="O1019" s="12">
        <f>N1019-M1019</f>
        <v>1495</v>
      </c>
      <c r="P1019" s="2" t="s">
        <v>30</v>
      </c>
      <c r="Q1019" s="2" t="s">
        <v>18</v>
      </c>
      <c r="R1019" s="2">
        <v>60</v>
      </c>
      <c r="S1019" s="20">
        <f>Table1[[#This Row],[Net_revenue]]/Table1[[#This Row],[Gross_revenue]]*100%</f>
        <v>1</v>
      </c>
      <c r="T1019" s="18">
        <f>COUNTIFS(Table1[Customer ID], "&gt;1", Table1[Customer ID], 1)</f>
        <v>0</v>
      </c>
    </row>
    <row r="1020" spans="1:20" hidden="1" x14ac:dyDescent="0.3">
      <c r="A1020" s="2" t="s">
        <v>1626</v>
      </c>
      <c r="B1020" s="5">
        <v>45723</v>
      </c>
      <c r="C1020" s="5" t="str">
        <f>TEXT(B1020,"mmm")</f>
        <v>Mar</v>
      </c>
      <c r="D1020" s="2" t="s">
        <v>1627</v>
      </c>
      <c r="E1020" s="2" t="s">
        <v>21</v>
      </c>
      <c r="F1020" s="2" t="str" cm="1">
        <f t="array" ref="F10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20" s="2" t="str" cm="1">
        <f t="array" ref="G10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20" s="2" t="s">
        <v>49</v>
      </c>
      <c r="I1020" s="2" t="s">
        <v>23</v>
      </c>
      <c r="J1020" s="2">
        <v>1</v>
      </c>
      <c r="K1020" s="8">
        <v>1299</v>
      </c>
      <c r="L1020" s="3">
        <v>0.05</v>
      </c>
      <c r="M1020" s="12">
        <f>K1020*L1020</f>
        <v>64.95</v>
      </c>
      <c r="N1020" s="12">
        <f>K1020*J1020</f>
        <v>1299</v>
      </c>
      <c r="O1020" s="12">
        <f>N1020-M1020</f>
        <v>1234.05</v>
      </c>
      <c r="P1020" s="2" t="s">
        <v>45</v>
      </c>
      <c r="Q1020" s="2" t="s">
        <v>18</v>
      </c>
      <c r="R1020" s="2">
        <v>60</v>
      </c>
      <c r="S1020" s="20">
        <f>Table1[[#This Row],[Net_revenue]]/Table1[[#This Row],[Gross_revenue]]*100%</f>
        <v>0.95</v>
      </c>
      <c r="T1020" s="18">
        <f>COUNTIFS(Table1[Customer ID], "&gt;1", Table1[Customer ID], 1)</f>
        <v>0</v>
      </c>
    </row>
    <row r="1021" spans="1:20" hidden="1" x14ac:dyDescent="0.3">
      <c r="A1021" s="2" t="s">
        <v>1628</v>
      </c>
      <c r="B1021" s="5">
        <v>45753</v>
      </c>
      <c r="C1021" s="5" t="str">
        <f>TEXT(B1021,"mmm")</f>
        <v>Apr</v>
      </c>
      <c r="D1021" s="2" t="s">
        <v>1629</v>
      </c>
      <c r="E1021" s="2" t="s">
        <v>48</v>
      </c>
      <c r="F1021" s="2" t="str" cm="1">
        <f t="array" ref="F10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21" s="2" t="str" cm="1">
        <f t="array" ref="G10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21" s="2" t="s">
        <v>134</v>
      </c>
      <c r="I1021" s="2" t="s">
        <v>29</v>
      </c>
      <c r="J1021" s="2">
        <v>1</v>
      </c>
      <c r="K1021" s="8">
        <v>1499</v>
      </c>
      <c r="L1021" s="3">
        <v>0.25</v>
      </c>
      <c r="M1021" s="12">
        <f>K1021*L1021</f>
        <v>374.75</v>
      </c>
      <c r="N1021" s="12">
        <f>K1021*J1021</f>
        <v>1499</v>
      </c>
      <c r="O1021" s="12">
        <f>N1021-M1021</f>
        <v>1124.25</v>
      </c>
      <c r="P1021" s="2" t="s">
        <v>24</v>
      </c>
      <c r="Q1021" s="2" t="s">
        <v>50</v>
      </c>
      <c r="R1021" s="2">
        <v>0</v>
      </c>
      <c r="S1021" s="20">
        <f>Table1[[#This Row],[Net_revenue]]/Table1[[#This Row],[Gross_revenue]]*100%</f>
        <v>0.75</v>
      </c>
      <c r="T1021" s="18">
        <f>COUNTIFS(Table1[Customer ID], "&gt;1", Table1[Customer ID], 1)</f>
        <v>0</v>
      </c>
    </row>
    <row r="1022" spans="1:20" hidden="1" x14ac:dyDescent="0.3">
      <c r="A1022" s="2" t="s">
        <v>1630</v>
      </c>
      <c r="B1022" s="5">
        <v>45757</v>
      </c>
      <c r="C1022" s="5" t="str">
        <f>TEXT(B1022,"mmm")</f>
        <v>Apr</v>
      </c>
      <c r="D1022" s="2" t="s">
        <v>1296</v>
      </c>
      <c r="E1022" s="2" t="s">
        <v>53</v>
      </c>
      <c r="F1022" s="2" t="str" cm="1">
        <f t="array" ref="F10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22" s="2" t="str" cm="1">
        <f t="array" ref="G10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22" s="2" t="s">
        <v>15</v>
      </c>
      <c r="I1022" s="2" t="s">
        <v>16</v>
      </c>
      <c r="J1022" s="2">
        <v>1</v>
      </c>
      <c r="K1022" s="8">
        <v>1799</v>
      </c>
      <c r="L1022" s="3">
        <v>0.1</v>
      </c>
      <c r="M1022" s="12">
        <f>K1022*L1022</f>
        <v>179.9</v>
      </c>
      <c r="N1022" s="12">
        <f>K1022*J1022</f>
        <v>1799</v>
      </c>
      <c r="O1022" s="12">
        <f>N1022-M1022</f>
        <v>1619.1</v>
      </c>
      <c r="P1022" s="2" t="s">
        <v>45</v>
      </c>
      <c r="Q1022" s="2" t="s">
        <v>18</v>
      </c>
      <c r="R1022" s="2">
        <v>0</v>
      </c>
      <c r="S1022" s="20">
        <f>Table1[[#This Row],[Net_revenue]]/Table1[[#This Row],[Gross_revenue]]*100%</f>
        <v>0.89999999999999991</v>
      </c>
      <c r="T1022" s="18">
        <f>COUNTIFS(Table1[Customer ID], "&gt;1", Table1[Customer ID], 1)</f>
        <v>0</v>
      </c>
    </row>
    <row r="1023" spans="1:20" hidden="1" x14ac:dyDescent="0.3">
      <c r="A1023" s="2" t="s">
        <v>1631</v>
      </c>
      <c r="B1023" s="5">
        <v>45849</v>
      </c>
      <c r="C1023" s="5" t="str">
        <f>TEXT(B1023,"mmm")</f>
        <v>Jul</v>
      </c>
      <c r="D1023" s="2" t="s">
        <v>1632</v>
      </c>
      <c r="E1023" s="2" t="s">
        <v>53</v>
      </c>
      <c r="F1023" s="2" t="str" cm="1">
        <f t="array" ref="F10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23" s="2" t="str" cm="1">
        <f t="array" ref="G10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23" s="2" t="s">
        <v>80</v>
      </c>
      <c r="I1023" s="2" t="s">
        <v>23</v>
      </c>
      <c r="J1023" s="2">
        <v>2</v>
      </c>
      <c r="K1023" s="8">
        <v>799</v>
      </c>
      <c r="L1023" s="3">
        <v>0</v>
      </c>
      <c r="M1023" s="12">
        <f>K1023*L1023</f>
        <v>0</v>
      </c>
      <c r="N1023" s="12">
        <f>K1023*J1023</f>
        <v>1598</v>
      </c>
      <c r="O1023" s="12">
        <f>N1023-M1023</f>
        <v>1598</v>
      </c>
      <c r="P1023" s="2" t="s">
        <v>45</v>
      </c>
      <c r="Q1023" s="2" t="s">
        <v>18</v>
      </c>
      <c r="R1023" s="2">
        <v>80</v>
      </c>
      <c r="S1023" s="20">
        <f>Table1[[#This Row],[Net_revenue]]/Table1[[#This Row],[Gross_revenue]]*100%</f>
        <v>1</v>
      </c>
      <c r="T1023" s="18">
        <f>COUNTIFS(Table1[Customer ID], "&gt;1", Table1[Customer ID], 1)</f>
        <v>0</v>
      </c>
    </row>
    <row r="1024" spans="1:20" hidden="1" x14ac:dyDescent="0.3">
      <c r="A1024" s="2" t="s">
        <v>1633</v>
      </c>
      <c r="B1024" s="5">
        <v>45794</v>
      </c>
      <c r="C1024" s="5" t="str">
        <f>TEXT(B1024,"mmm")</f>
        <v>May</v>
      </c>
      <c r="D1024" s="2" t="s">
        <v>1273</v>
      </c>
      <c r="E1024" s="2" t="s">
        <v>56</v>
      </c>
      <c r="F1024" s="2" t="str" cm="1">
        <f t="array" ref="F10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24" s="2" t="str" cm="1">
        <f t="array" ref="G10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24" s="2" t="s">
        <v>117</v>
      </c>
      <c r="I1024" s="2" t="s">
        <v>23</v>
      </c>
      <c r="J1024" s="2">
        <v>1</v>
      </c>
      <c r="K1024" s="8">
        <v>2199</v>
      </c>
      <c r="L1024" s="3">
        <v>0</v>
      </c>
      <c r="M1024" s="12">
        <f>K1024*L1024</f>
        <v>0</v>
      </c>
      <c r="N1024" s="12">
        <f>K1024*J1024</f>
        <v>2199</v>
      </c>
      <c r="O1024" s="12">
        <f>N1024-M1024</f>
        <v>2199</v>
      </c>
      <c r="P1024" s="2" t="s">
        <v>30</v>
      </c>
      <c r="Q1024" s="2" t="s">
        <v>18</v>
      </c>
      <c r="R1024" s="2">
        <v>40</v>
      </c>
      <c r="S1024" s="20">
        <f>Table1[[#This Row],[Net_revenue]]/Table1[[#This Row],[Gross_revenue]]*100%</f>
        <v>1</v>
      </c>
      <c r="T1024" s="18">
        <f>COUNTIFS(Table1[Customer ID], "&gt;1", Table1[Customer ID], 1)</f>
        <v>0</v>
      </c>
    </row>
    <row r="1025" spans="1:20" hidden="1" x14ac:dyDescent="0.3">
      <c r="A1025" s="2" t="s">
        <v>1634</v>
      </c>
      <c r="B1025" s="5">
        <v>45875</v>
      </c>
      <c r="C1025" s="5" t="str">
        <f>TEXT(B1025,"mmm")</f>
        <v>Aug</v>
      </c>
      <c r="D1025" s="2" t="s">
        <v>1635</v>
      </c>
      <c r="E1025" s="2" t="s">
        <v>40</v>
      </c>
      <c r="F1025" s="2" t="str" cm="1">
        <f t="array" ref="F10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25" s="2" t="str" cm="1">
        <f t="array" ref="G10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25" s="2" t="s">
        <v>68</v>
      </c>
      <c r="I1025" s="2" t="s">
        <v>16</v>
      </c>
      <c r="J1025" s="2">
        <v>3</v>
      </c>
      <c r="K1025" s="8">
        <v>599</v>
      </c>
      <c r="L1025" s="3">
        <v>0.25</v>
      </c>
      <c r="M1025" s="12">
        <f>K1025*L1025</f>
        <v>149.75</v>
      </c>
      <c r="N1025" s="12">
        <f>K1025*J1025</f>
        <v>1797</v>
      </c>
      <c r="O1025" s="12">
        <f>N1025-M1025</f>
        <v>1647.25</v>
      </c>
      <c r="P1025" s="2" t="s">
        <v>45</v>
      </c>
      <c r="Q1025" s="2" t="s">
        <v>50</v>
      </c>
      <c r="R1025" s="2">
        <v>60</v>
      </c>
      <c r="S1025" s="20">
        <f>Table1[[#This Row],[Net_revenue]]/Table1[[#This Row],[Gross_revenue]]*100%</f>
        <v>0.91666666666666663</v>
      </c>
      <c r="T1025" s="18">
        <f>COUNTIFS(Table1[Customer ID], "&gt;1", Table1[Customer ID], 1)</f>
        <v>0</v>
      </c>
    </row>
    <row r="1026" spans="1:20" hidden="1" x14ac:dyDescent="0.3">
      <c r="A1026" s="2" t="s">
        <v>1636</v>
      </c>
      <c r="B1026" s="5">
        <v>45701</v>
      </c>
      <c r="C1026" s="5" t="str">
        <f>TEXT(B1026,"mmm")</f>
        <v>Feb</v>
      </c>
      <c r="D1026" s="2" t="s">
        <v>934</v>
      </c>
      <c r="E1026" s="2" t="s">
        <v>48</v>
      </c>
      <c r="F1026" s="2" t="str" cm="1">
        <f t="array" ref="F10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26" s="2" t="str" cm="1">
        <f t="array" ref="G10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26" s="2" t="s">
        <v>188</v>
      </c>
      <c r="I1026" s="2" t="s">
        <v>95</v>
      </c>
      <c r="J1026" s="2">
        <v>1</v>
      </c>
      <c r="K1026" s="8">
        <v>699</v>
      </c>
      <c r="L1026" s="3">
        <v>0</v>
      </c>
      <c r="M1026" s="12">
        <f>K1026*L1026</f>
        <v>0</v>
      </c>
      <c r="N1026" s="12">
        <f>K1026*J1026</f>
        <v>699</v>
      </c>
      <c r="O1026" s="12">
        <f>N1026-M1026</f>
        <v>699</v>
      </c>
      <c r="P1026" s="2" t="s">
        <v>45</v>
      </c>
      <c r="Q1026" s="2" t="s">
        <v>18</v>
      </c>
      <c r="R1026" s="2">
        <v>80</v>
      </c>
      <c r="S1026" s="20">
        <f>Table1[[#This Row],[Net_revenue]]/Table1[[#This Row],[Gross_revenue]]*100%</f>
        <v>1</v>
      </c>
      <c r="T1026" s="18">
        <f>COUNTIFS(Table1[Customer ID], "&gt;1", Table1[Customer ID], 1)</f>
        <v>0</v>
      </c>
    </row>
    <row r="1027" spans="1:20" hidden="1" x14ac:dyDescent="0.3">
      <c r="A1027" s="2" t="s">
        <v>1637</v>
      </c>
      <c r="B1027" s="5">
        <v>45933</v>
      </c>
      <c r="C1027" s="5" t="str">
        <f>TEXT(B1027,"mmm")</f>
        <v>Oct</v>
      </c>
      <c r="D1027" s="2" t="s">
        <v>1638</v>
      </c>
      <c r="E1027" s="2" t="s">
        <v>40</v>
      </c>
      <c r="F1027" s="2" t="str" cm="1">
        <f t="array" ref="F10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27" s="2" t="str" cm="1">
        <f t="array" ref="G10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27" s="2" t="s">
        <v>68</v>
      </c>
      <c r="I1027" s="2" t="s">
        <v>16</v>
      </c>
      <c r="J1027" s="2">
        <v>1</v>
      </c>
      <c r="K1027" s="8">
        <v>599</v>
      </c>
      <c r="L1027" s="3">
        <v>0.25</v>
      </c>
      <c r="M1027" s="12">
        <f>K1027*L1027</f>
        <v>149.75</v>
      </c>
      <c r="N1027" s="12">
        <f>K1027*J1027</f>
        <v>599</v>
      </c>
      <c r="O1027" s="12">
        <f>N1027-M1027</f>
        <v>449.25</v>
      </c>
      <c r="P1027" s="2" t="s">
        <v>45</v>
      </c>
      <c r="Q1027" s="2" t="s">
        <v>50</v>
      </c>
      <c r="R1027" s="2">
        <v>0</v>
      </c>
      <c r="S1027" s="20">
        <f>Table1[[#This Row],[Net_revenue]]/Table1[[#This Row],[Gross_revenue]]*100%</f>
        <v>0.75</v>
      </c>
      <c r="T1027" s="18">
        <f>COUNTIFS(Table1[Customer ID], "&gt;1", Table1[Customer ID], 1)</f>
        <v>0</v>
      </c>
    </row>
    <row r="1028" spans="1:20" hidden="1" x14ac:dyDescent="0.3">
      <c r="A1028" s="2" t="s">
        <v>1639</v>
      </c>
      <c r="B1028" s="5">
        <v>46004</v>
      </c>
      <c r="C1028" s="5" t="str">
        <f>TEXT(B1028,"mmm")</f>
        <v>Dec</v>
      </c>
      <c r="D1028" s="2" t="s">
        <v>447</v>
      </c>
      <c r="E1028" s="2" t="s">
        <v>120</v>
      </c>
      <c r="F1028" s="2" t="str" cm="1">
        <f t="array" ref="F10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28" s="2" t="str" cm="1">
        <f t="array" ref="G10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28" s="2" t="s">
        <v>41</v>
      </c>
      <c r="I1028" s="2" t="s">
        <v>16</v>
      </c>
      <c r="J1028" s="2">
        <v>1</v>
      </c>
      <c r="K1028" s="8">
        <v>2299</v>
      </c>
      <c r="L1028" s="3">
        <v>0.1</v>
      </c>
      <c r="M1028" s="12">
        <f>K1028*L1028</f>
        <v>229.9</v>
      </c>
      <c r="N1028" s="12">
        <f>K1028*J1028</f>
        <v>2299</v>
      </c>
      <c r="O1028" s="12">
        <f>N1028-M1028</f>
        <v>2069.1</v>
      </c>
      <c r="P1028" s="2" t="s">
        <v>45</v>
      </c>
      <c r="Q1028" s="2" t="s">
        <v>50</v>
      </c>
      <c r="R1028" s="2">
        <v>40</v>
      </c>
      <c r="S1028" s="20">
        <f>Table1[[#This Row],[Net_revenue]]/Table1[[#This Row],[Gross_revenue]]*100%</f>
        <v>0.89999999999999991</v>
      </c>
      <c r="T1028" s="18">
        <f>COUNTIFS(Table1[Customer ID], "&gt;1", Table1[Customer ID], 1)</f>
        <v>0</v>
      </c>
    </row>
    <row r="1029" spans="1:20" hidden="1" x14ac:dyDescent="0.3">
      <c r="A1029" s="2" t="s">
        <v>1640</v>
      </c>
      <c r="B1029" s="5">
        <v>45660</v>
      </c>
      <c r="C1029" s="5" t="str">
        <f>TEXT(B1029,"mmm")</f>
        <v>Jan</v>
      </c>
      <c r="D1029" s="2" t="s">
        <v>1641</v>
      </c>
      <c r="E1029" s="2" t="s">
        <v>120</v>
      </c>
      <c r="F1029" s="2" t="str" cm="1">
        <f t="array" ref="F10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29" s="2" t="str" cm="1">
        <f t="array" ref="G10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29" s="2" t="s">
        <v>80</v>
      </c>
      <c r="I1029" s="2" t="s">
        <v>23</v>
      </c>
      <c r="J1029" s="2">
        <v>3</v>
      </c>
      <c r="K1029" s="8">
        <v>799</v>
      </c>
      <c r="L1029" s="3">
        <v>0.05</v>
      </c>
      <c r="M1029" s="12">
        <f>K1029*L1029</f>
        <v>39.950000000000003</v>
      </c>
      <c r="N1029" s="12">
        <f>K1029*J1029</f>
        <v>2397</v>
      </c>
      <c r="O1029" s="12">
        <f>N1029-M1029</f>
        <v>2357.0500000000002</v>
      </c>
      <c r="P1029" s="2" t="s">
        <v>30</v>
      </c>
      <c r="Q1029" s="2" t="s">
        <v>18</v>
      </c>
      <c r="R1029" s="2">
        <v>40</v>
      </c>
      <c r="S1029" s="20">
        <f>Table1[[#This Row],[Net_revenue]]/Table1[[#This Row],[Gross_revenue]]*100%</f>
        <v>0.98333333333333339</v>
      </c>
      <c r="T1029" s="18">
        <f>COUNTIFS(Table1[Customer ID], "&gt;1", Table1[Customer ID], 1)</f>
        <v>0</v>
      </c>
    </row>
    <row r="1030" spans="1:20" hidden="1" x14ac:dyDescent="0.3">
      <c r="A1030" s="2" t="s">
        <v>1642</v>
      </c>
      <c r="B1030" s="5">
        <v>45881</v>
      </c>
      <c r="C1030" s="5" t="str">
        <f>TEXT(B1030,"mmm")</f>
        <v>Aug</v>
      </c>
      <c r="D1030" s="2" t="s">
        <v>1643</v>
      </c>
      <c r="E1030" s="2" t="s">
        <v>21</v>
      </c>
      <c r="F1030" s="2" t="str" cm="1">
        <f t="array" ref="F10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30" s="2" t="str" cm="1">
        <f t="array" ref="G10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30" s="2" t="s">
        <v>22</v>
      </c>
      <c r="I1030" s="2" t="s">
        <v>23</v>
      </c>
      <c r="J1030" s="2">
        <v>3</v>
      </c>
      <c r="K1030" s="8">
        <v>3999</v>
      </c>
      <c r="L1030" s="3">
        <v>0.05</v>
      </c>
      <c r="M1030" s="12">
        <f>K1030*L1030</f>
        <v>199.95000000000002</v>
      </c>
      <c r="N1030" s="12">
        <f>K1030*J1030</f>
        <v>11997</v>
      </c>
      <c r="O1030" s="12">
        <f>N1030-M1030</f>
        <v>11797.05</v>
      </c>
      <c r="P1030" s="2" t="s">
        <v>45</v>
      </c>
      <c r="Q1030" s="2" t="s">
        <v>18</v>
      </c>
      <c r="R1030" s="2">
        <v>80</v>
      </c>
      <c r="S1030" s="20">
        <f>Table1[[#This Row],[Net_revenue]]/Table1[[#This Row],[Gross_revenue]]*100%</f>
        <v>0.98333333333333328</v>
      </c>
      <c r="T1030" s="18">
        <f>COUNTIFS(Table1[Customer ID], "&gt;1", Table1[Customer ID], 1)</f>
        <v>0</v>
      </c>
    </row>
    <row r="1031" spans="1:20" hidden="1" x14ac:dyDescent="0.3">
      <c r="A1031" s="2" t="s">
        <v>1644</v>
      </c>
      <c r="B1031" s="5">
        <v>45975</v>
      </c>
      <c r="C1031" s="5" t="str">
        <f>TEXT(B1031,"mmm")</f>
        <v>Nov</v>
      </c>
      <c r="D1031" s="2" t="s">
        <v>264</v>
      </c>
      <c r="E1031" s="2" t="s">
        <v>56</v>
      </c>
      <c r="F1031" s="2" t="str" cm="1">
        <f t="array" ref="F10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31" s="2" t="str" cm="1">
        <f t="array" ref="G10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31" s="2" t="s">
        <v>217</v>
      </c>
      <c r="I1031" s="2" t="s">
        <v>29</v>
      </c>
      <c r="J1031" s="2">
        <v>1</v>
      </c>
      <c r="K1031" s="8">
        <v>3299</v>
      </c>
      <c r="L1031" s="3">
        <v>0.1</v>
      </c>
      <c r="M1031" s="12">
        <f>K1031*L1031</f>
        <v>329.90000000000003</v>
      </c>
      <c r="N1031" s="12">
        <f>K1031*J1031</f>
        <v>3299</v>
      </c>
      <c r="O1031" s="12">
        <f>N1031-M1031</f>
        <v>2969.1</v>
      </c>
      <c r="P1031" s="2" t="s">
        <v>45</v>
      </c>
      <c r="Q1031" s="2" t="s">
        <v>18</v>
      </c>
      <c r="R1031" s="2">
        <v>0</v>
      </c>
      <c r="S1031" s="20">
        <f>Table1[[#This Row],[Net_revenue]]/Table1[[#This Row],[Gross_revenue]]*100%</f>
        <v>0.9</v>
      </c>
      <c r="T1031" s="18">
        <f>COUNTIFS(Table1[Customer ID], "&gt;1", Table1[Customer ID], 1)</f>
        <v>0</v>
      </c>
    </row>
    <row r="1032" spans="1:20" hidden="1" x14ac:dyDescent="0.3">
      <c r="A1032" s="2" t="s">
        <v>1645</v>
      </c>
      <c r="B1032" s="5">
        <v>45844</v>
      </c>
      <c r="C1032" s="5" t="str">
        <f>TEXT(B1032,"mmm")</f>
        <v>Jul</v>
      </c>
      <c r="D1032" s="2" t="s">
        <v>341</v>
      </c>
      <c r="E1032" s="2" t="s">
        <v>48</v>
      </c>
      <c r="F1032" s="2" t="str" cm="1">
        <f t="array" ref="F10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32" s="2" t="str" cm="1">
        <f t="array" ref="G10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32" s="2" t="s">
        <v>33</v>
      </c>
      <c r="I1032" s="2" t="s">
        <v>16</v>
      </c>
      <c r="J1032" s="2">
        <v>2</v>
      </c>
      <c r="K1032" s="8">
        <v>899</v>
      </c>
      <c r="L1032" s="3">
        <v>0.2</v>
      </c>
      <c r="M1032" s="12">
        <f>K1032*L1032</f>
        <v>179.8</v>
      </c>
      <c r="N1032" s="12">
        <f>K1032*J1032</f>
        <v>1798</v>
      </c>
      <c r="O1032" s="12">
        <f>N1032-M1032</f>
        <v>1618.2</v>
      </c>
      <c r="P1032" s="2" t="s">
        <v>30</v>
      </c>
      <c r="Q1032" s="2" t="s">
        <v>50</v>
      </c>
      <c r="R1032" s="2">
        <v>80</v>
      </c>
      <c r="S1032" s="20">
        <f>Table1[[#This Row],[Net_revenue]]/Table1[[#This Row],[Gross_revenue]]*100%</f>
        <v>0.9</v>
      </c>
      <c r="T1032" s="18">
        <f>COUNTIFS(Table1[Customer ID], "&gt;1", Table1[Customer ID], 1)</f>
        <v>0</v>
      </c>
    </row>
    <row r="1033" spans="1:20" hidden="1" x14ac:dyDescent="0.3">
      <c r="A1033" s="2" t="s">
        <v>1646</v>
      </c>
      <c r="B1033" s="5">
        <v>45715</v>
      </c>
      <c r="C1033" s="5" t="str">
        <f>TEXT(B1033,"mmm")</f>
        <v>Feb</v>
      </c>
      <c r="D1033" s="2" t="s">
        <v>1647</v>
      </c>
      <c r="E1033" s="2" t="s">
        <v>120</v>
      </c>
      <c r="F1033" s="2" t="str" cm="1">
        <f t="array" ref="F10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33" s="2" t="str" cm="1">
        <f t="array" ref="G10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33" s="2" t="s">
        <v>22</v>
      </c>
      <c r="I1033" s="2" t="s">
        <v>23</v>
      </c>
      <c r="J1033" s="2">
        <v>1</v>
      </c>
      <c r="K1033" s="8">
        <v>3999</v>
      </c>
      <c r="L1033" s="3">
        <v>0.1</v>
      </c>
      <c r="M1033" s="12">
        <f>K1033*L1033</f>
        <v>399.90000000000003</v>
      </c>
      <c r="N1033" s="12">
        <f>K1033*J1033</f>
        <v>3999</v>
      </c>
      <c r="O1033" s="12">
        <f>N1033-M1033</f>
        <v>3599.1</v>
      </c>
      <c r="P1033" s="2" t="s">
        <v>45</v>
      </c>
      <c r="Q1033" s="2" t="s">
        <v>18</v>
      </c>
      <c r="R1033" s="2">
        <v>80</v>
      </c>
      <c r="S1033" s="20">
        <f>Table1[[#This Row],[Net_revenue]]/Table1[[#This Row],[Gross_revenue]]*100%</f>
        <v>0.9</v>
      </c>
      <c r="T1033" s="18">
        <f>COUNTIFS(Table1[Customer ID], "&gt;1", Table1[Customer ID], 1)</f>
        <v>0</v>
      </c>
    </row>
    <row r="1034" spans="1:20" hidden="1" x14ac:dyDescent="0.3">
      <c r="A1034" s="2" t="s">
        <v>1648</v>
      </c>
      <c r="B1034" s="5">
        <v>46015</v>
      </c>
      <c r="C1034" s="5" t="str">
        <f>TEXT(B1034,"mmm")</f>
        <v>Dec</v>
      </c>
      <c r="D1034" s="2" t="s">
        <v>902</v>
      </c>
      <c r="E1034" s="2" t="s">
        <v>40</v>
      </c>
      <c r="F1034" s="2" t="str" cm="1">
        <f t="array" ref="F10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34" s="2" t="str" cm="1">
        <f t="array" ref="G10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34" s="2" t="s">
        <v>98</v>
      </c>
      <c r="I1034" s="2" t="s">
        <v>37</v>
      </c>
      <c r="J1034" s="2">
        <v>2</v>
      </c>
      <c r="K1034" s="8">
        <v>299</v>
      </c>
      <c r="L1034" s="3">
        <v>0.1</v>
      </c>
      <c r="M1034" s="12">
        <f>K1034*L1034</f>
        <v>29.900000000000002</v>
      </c>
      <c r="N1034" s="12">
        <f>K1034*J1034</f>
        <v>598</v>
      </c>
      <c r="O1034" s="12">
        <f>N1034-M1034</f>
        <v>568.1</v>
      </c>
      <c r="P1034" s="2" t="s">
        <v>30</v>
      </c>
      <c r="Q1034" s="2" t="s">
        <v>18</v>
      </c>
      <c r="R1034" s="2">
        <v>60</v>
      </c>
      <c r="S1034" s="20">
        <f>Table1[[#This Row],[Net_revenue]]/Table1[[#This Row],[Gross_revenue]]*100%</f>
        <v>0.95000000000000007</v>
      </c>
      <c r="T1034" s="18">
        <f>COUNTIFS(Table1[Customer ID], "&gt;1", Table1[Customer ID], 1)</f>
        <v>0</v>
      </c>
    </row>
    <row r="1035" spans="1:20" hidden="1" x14ac:dyDescent="0.3">
      <c r="A1035" s="2" t="s">
        <v>1649</v>
      </c>
      <c r="B1035" s="5">
        <v>45927</v>
      </c>
      <c r="C1035" s="5" t="str">
        <f>TEXT(B1035,"mmm")</f>
        <v>Sep</v>
      </c>
      <c r="D1035" s="2" t="s">
        <v>1510</v>
      </c>
      <c r="E1035" s="2" t="s">
        <v>14</v>
      </c>
      <c r="F1035" s="2" t="str" cm="1">
        <f t="array" ref="F10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35" s="2" t="str" cm="1">
        <f t="array" ref="G10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35" s="2" t="s">
        <v>217</v>
      </c>
      <c r="I1035" s="2" t="s">
        <v>29</v>
      </c>
      <c r="J1035" s="2">
        <v>1</v>
      </c>
      <c r="K1035" s="8">
        <v>3299</v>
      </c>
      <c r="L1035" s="3">
        <v>0.15</v>
      </c>
      <c r="M1035" s="12">
        <f>K1035*L1035</f>
        <v>494.84999999999997</v>
      </c>
      <c r="N1035" s="12">
        <f>K1035*J1035</f>
        <v>3299</v>
      </c>
      <c r="O1035" s="12">
        <f>N1035-M1035</f>
        <v>2804.15</v>
      </c>
      <c r="P1035" s="2" t="s">
        <v>45</v>
      </c>
      <c r="Q1035" s="2" t="s">
        <v>18</v>
      </c>
      <c r="R1035" s="2">
        <v>40</v>
      </c>
      <c r="S1035" s="20">
        <f>Table1[[#This Row],[Net_revenue]]/Table1[[#This Row],[Gross_revenue]]*100%</f>
        <v>0.85</v>
      </c>
      <c r="T1035" s="18">
        <f>COUNTIFS(Table1[Customer ID], "&gt;1", Table1[Customer ID], 1)</f>
        <v>0</v>
      </c>
    </row>
    <row r="1036" spans="1:20" hidden="1" x14ac:dyDescent="0.3">
      <c r="A1036" s="2" t="s">
        <v>1650</v>
      </c>
      <c r="B1036" s="5">
        <v>45889</v>
      </c>
      <c r="C1036" s="5" t="str">
        <f>TEXT(B1036,"mmm")</f>
        <v>Aug</v>
      </c>
      <c r="D1036" s="2" t="s">
        <v>86</v>
      </c>
      <c r="E1036" s="2" t="s">
        <v>48</v>
      </c>
      <c r="F1036" s="2" t="str" cm="1">
        <f t="array" ref="F10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36" s="2" t="str" cm="1">
        <f t="array" ref="G10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36" s="2" t="s">
        <v>68</v>
      </c>
      <c r="I1036" s="2" t="s">
        <v>16</v>
      </c>
      <c r="J1036" s="2">
        <v>2</v>
      </c>
      <c r="K1036" s="8">
        <v>599</v>
      </c>
      <c r="L1036" s="3">
        <v>0.05</v>
      </c>
      <c r="M1036" s="12">
        <f>K1036*L1036</f>
        <v>29.950000000000003</v>
      </c>
      <c r="N1036" s="12">
        <f>K1036*J1036</f>
        <v>1198</v>
      </c>
      <c r="O1036" s="12">
        <f>N1036-M1036</f>
        <v>1168.05</v>
      </c>
      <c r="P1036" s="2" t="s">
        <v>17</v>
      </c>
      <c r="Q1036" s="2" t="s">
        <v>18</v>
      </c>
      <c r="R1036" s="2">
        <v>0</v>
      </c>
      <c r="S1036" s="20">
        <f>Table1[[#This Row],[Net_revenue]]/Table1[[#This Row],[Gross_revenue]]*100%</f>
        <v>0.97499999999999998</v>
      </c>
      <c r="T1036" s="18">
        <f>COUNTIFS(Table1[Customer ID], "&gt;1", Table1[Customer ID], 1)</f>
        <v>0</v>
      </c>
    </row>
    <row r="1037" spans="1:20" hidden="1" x14ac:dyDescent="0.3">
      <c r="A1037" s="2" t="s">
        <v>1651</v>
      </c>
      <c r="B1037" s="5">
        <v>45938</v>
      </c>
      <c r="C1037" s="5" t="str">
        <f>TEXT(B1037,"mmm")</f>
        <v>Oct</v>
      </c>
      <c r="D1037" s="2" t="s">
        <v>547</v>
      </c>
      <c r="E1037" s="2" t="s">
        <v>40</v>
      </c>
      <c r="F1037" s="2" t="str" cm="1">
        <f t="array" ref="F10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37" s="2" t="str" cm="1">
        <f t="array" ref="G10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37" s="2" t="s">
        <v>80</v>
      </c>
      <c r="I1037" s="2" t="s">
        <v>23</v>
      </c>
      <c r="J1037" s="2">
        <v>1</v>
      </c>
      <c r="K1037" s="8">
        <v>799</v>
      </c>
      <c r="L1037" s="3">
        <v>0.1</v>
      </c>
      <c r="M1037" s="12">
        <f>K1037*L1037</f>
        <v>79.900000000000006</v>
      </c>
      <c r="N1037" s="12">
        <f>K1037*J1037</f>
        <v>799</v>
      </c>
      <c r="O1037" s="12">
        <f>N1037-M1037</f>
        <v>719.1</v>
      </c>
      <c r="P1037" s="2" t="s">
        <v>45</v>
      </c>
      <c r="Q1037" s="2" t="s">
        <v>18</v>
      </c>
      <c r="R1037" s="2">
        <v>80</v>
      </c>
      <c r="S1037" s="20">
        <f>Table1[[#This Row],[Net_revenue]]/Table1[[#This Row],[Gross_revenue]]*100%</f>
        <v>0.9</v>
      </c>
      <c r="T1037" s="18">
        <f>COUNTIFS(Table1[Customer ID], "&gt;1", Table1[Customer ID], 1)</f>
        <v>0</v>
      </c>
    </row>
    <row r="1038" spans="1:20" hidden="1" x14ac:dyDescent="0.3">
      <c r="A1038" s="2" t="s">
        <v>1652</v>
      </c>
      <c r="B1038" s="5">
        <v>45766</v>
      </c>
      <c r="C1038" s="5" t="str">
        <f>TEXT(B1038,"mmm")</f>
        <v>Apr</v>
      </c>
      <c r="D1038" s="2" t="s">
        <v>547</v>
      </c>
      <c r="E1038" s="2" t="s">
        <v>48</v>
      </c>
      <c r="F1038" s="2" t="str" cm="1">
        <f t="array" ref="F10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38" s="2" t="str" cm="1">
        <f t="array" ref="G10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38" s="2" t="s">
        <v>71</v>
      </c>
      <c r="I1038" s="2" t="s">
        <v>29</v>
      </c>
      <c r="J1038" s="2">
        <v>1</v>
      </c>
      <c r="K1038" s="8">
        <v>5499</v>
      </c>
      <c r="L1038" s="3">
        <v>0.25</v>
      </c>
      <c r="M1038" s="12">
        <f>K1038*L1038</f>
        <v>1374.75</v>
      </c>
      <c r="N1038" s="12">
        <f>K1038*J1038</f>
        <v>5499</v>
      </c>
      <c r="O1038" s="12">
        <f>N1038-M1038</f>
        <v>4124.25</v>
      </c>
      <c r="P1038" s="2" t="s">
        <v>45</v>
      </c>
      <c r="Q1038" s="2" t="s">
        <v>18</v>
      </c>
      <c r="R1038" s="2">
        <v>0</v>
      </c>
      <c r="S1038" s="20">
        <f>Table1[[#This Row],[Net_revenue]]/Table1[[#This Row],[Gross_revenue]]*100%</f>
        <v>0.75</v>
      </c>
      <c r="T1038" s="18">
        <f>COUNTIFS(Table1[Customer ID], "&gt;1", Table1[Customer ID], 1)</f>
        <v>0</v>
      </c>
    </row>
    <row r="1039" spans="1:20" hidden="1" x14ac:dyDescent="0.3">
      <c r="A1039" s="2" t="s">
        <v>1653</v>
      </c>
      <c r="B1039" s="5">
        <v>45971</v>
      </c>
      <c r="C1039" s="5" t="str">
        <f>TEXT(B1039,"mmm")</f>
        <v>Nov</v>
      </c>
      <c r="D1039" s="2" t="s">
        <v>421</v>
      </c>
      <c r="E1039" s="2" t="s">
        <v>14</v>
      </c>
      <c r="F1039" s="2" t="str" cm="1">
        <f t="array" ref="F10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39" s="2" t="str" cm="1">
        <f t="array" ref="G10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39" s="2" t="s">
        <v>28</v>
      </c>
      <c r="I1039" s="2" t="s">
        <v>29</v>
      </c>
      <c r="J1039" s="2">
        <v>1</v>
      </c>
      <c r="K1039" s="8">
        <v>2799</v>
      </c>
      <c r="L1039" s="3">
        <v>0</v>
      </c>
      <c r="M1039" s="12">
        <f>K1039*L1039</f>
        <v>0</v>
      </c>
      <c r="N1039" s="12">
        <f>K1039*J1039</f>
        <v>2799</v>
      </c>
      <c r="O1039" s="12">
        <f>N1039-M1039</f>
        <v>2799</v>
      </c>
      <c r="P1039" s="2" t="s">
        <v>45</v>
      </c>
      <c r="Q1039" s="2" t="s">
        <v>18</v>
      </c>
      <c r="R1039" s="2">
        <v>0</v>
      </c>
      <c r="S1039" s="20">
        <f>Table1[[#This Row],[Net_revenue]]/Table1[[#This Row],[Gross_revenue]]*100%</f>
        <v>1</v>
      </c>
      <c r="T1039" s="18">
        <f>COUNTIFS(Table1[Customer ID], "&gt;1", Table1[Customer ID], 1)</f>
        <v>0</v>
      </c>
    </row>
    <row r="1040" spans="1:20" hidden="1" x14ac:dyDescent="0.3">
      <c r="A1040" s="2" t="s">
        <v>1654</v>
      </c>
      <c r="B1040" s="5">
        <v>45814</v>
      </c>
      <c r="C1040" s="5" t="str">
        <f>TEXT(B1040,"mmm")</f>
        <v>Jun</v>
      </c>
      <c r="D1040" s="2" t="s">
        <v>1341</v>
      </c>
      <c r="E1040" s="2" t="s">
        <v>56</v>
      </c>
      <c r="F1040" s="2" t="str" cm="1">
        <f t="array" ref="F10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40" s="2" t="str" cm="1">
        <f t="array" ref="G10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40" s="2" t="s">
        <v>15</v>
      </c>
      <c r="I1040" s="2" t="s">
        <v>16</v>
      </c>
      <c r="J1040" s="2">
        <v>1</v>
      </c>
      <c r="K1040" s="8">
        <v>1799</v>
      </c>
      <c r="L1040" s="3">
        <v>0.25</v>
      </c>
      <c r="M1040" s="12">
        <f>K1040*L1040</f>
        <v>449.75</v>
      </c>
      <c r="N1040" s="12">
        <f>K1040*J1040</f>
        <v>1799</v>
      </c>
      <c r="O1040" s="12">
        <f>N1040-M1040</f>
        <v>1349.25</v>
      </c>
      <c r="P1040" s="2" t="s">
        <v>45</v>
      </c>
      <c r="Q1040" s="2" t="s">
        <v>18</v>
      </c>
      <c r="R1040" s="2">
        <v>80</v>
      </c>
      <c r="S1040" s="20">
        <f>Table1[[#This Row],[Net_revenue]]/Table1[[#This Row],[Gross_revenue]]*100%</f>
        <v>0.75</v>
      </c>
      <c r="T1040" s="18">
        <f>COUNTIFS(Table1[Customer ID], "&gt;1", Table1[Customer ID], 1)</f>
        <v>0</v>
      </c>
    </row>
    <row r="1041" spans="1:20" hidden="1" x14ac:dyDescent="0.3">
      <c r="A1041" s="2" t="s">
        <v>1655</v>
      </c>
      <c r="B1041" s="5">
        <v>45798</v>
      </c>
      <c r="C1041" s="5" t="str">
        <f>TEXT(B1041,"mmm")</f>
        <v>May</v>
      </c>
      <c r="D1041" s="2" t="s">
        <v>1656</v>
      </c>
      <c r="E1041" s="2" t="s">
        <v>21</v>
      </c>
      <c r="F1041" s="2" t="str" cm="1">
        <f t="array" ref="F10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41" s="2" t="str" cm="1">
        <f t="array" ref="G10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41" s="2" t="s">
        <v>121</v>
      </c>
      <c r="I1041" s="2" t="s">
        <v>95</v>
      </c>
      <c r="J1041" s="2">
        <v>1</v>
      </c>
      <c r="K1041" s="8">
        <v>1299</v>
      </c>
      <c r="L1041" s="3">
        <v>0.1</v>
      </c>
      <c r="M1041" s="12">
        <f>K1041*L1041</f>
        <v>129.9</v>
      </c>
      <c r="N1041" s="12">
        <f>K1041*J1041</f>
        <v>1299</v>
      </c>
      <c r="O1041" s="12">
        <f>N1041-M1041</f>
        <v>1169.0999999999999</v>
      </c>
      <c r="P1041" s="2" t="s">
        <v>30</v>
      </c>
      <c r="Q1041" s="2" t="s">
        <v>18</v>
      </c>
      <c r="R1041" s="2">
        <v>0</v>
      </c>
      <c r="S1041" s="20">
        <f>Table1[[#This Row],[Net_revenue]]/Table1[[#This Row],[Gross_revenue]]*100%</f>
        <v>0.89999999999999991</v>
      </c>
      <c r="T1041" s="18">
        <f>COUNTIFS(Table1[Customer ID], "&gt;1", Table1[Customer ID], 1)</f>
        <v>0</v>
      </c>
    </row>
    <row r="1042" spans="1:20" hidden="1" x14ac:dyDescent="0.3">
      <c r="A1042" s="2" t="s">
        <v>1657</v>
      </c>
      <c r="B1042" s="5">
        <v>45920</v>
      </c>
      <c r="C1042" s="5" t="str">
        <f>TEXT(B1042,"mmm")</f>
        <v>Sep</v>
      </c>
      <c r="D1042" s="2" t="s">
        <v>1389</v>
      </c>
      <c r="E1042" s="2" t="s">
        <v>75</v>
      </c>
      <c r="F1042" s="2" t="str" cm="1">
        <f t="array" ref="F10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042" s="2" t="str" cm="1">
        <f t="array" ref="G10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42" s="2" t="s">
        <v>98</v>
      </c>
      <c r="I1042" s="2" t="s">
        <v>37</v>
      </c>
      <c r="J1042" s="2">
        <v>5</v>
      </c>
      <c r="K1042" s="8">
        <v>299</v>
      </c>
      <c r="L1042" s="3">
        <v>0.25</v>
      </c>
      <c r="M1042" s="12">
        <f>K1042*L1042</f>
        <v>74.75</v>
      </c>
      <c r="N1042" s="12">
        <f>K1042*J1042</f>
        <v>1495</v>
      </c>
      <c r="O1042" s="12">
        <f>N1042-M1042</f>
        <v>1420.25</v>
      </c>
      <c r="P1042" s="2" t="s">
        <v>45</v>
      </c>
      <c r="Q1042" s="2" t="s">
        <v>18</v>
      </c>
      <c r="R1042" s="2">
        <v>60</v>
      </c>
      <c r="S1042" s="20">
        <f>Table1[[#This Row],[Net_revenue]]/Table1[[#This Row],[Gross_revenue]]*100%</f>
        <v>0.95</v>
      </c>
      <c r="T1042" s="18">
        <f>COUNTIFS(Table1[Customer ID], "&gt;1", Table1[Customer ID], 1)</f>
        <v>0</v>
      </c>
    </row>
    <row r="1043" spans="1:20" hidden="1" x14ac:dyDescent="0.3">
      <c r="A1043" s="2" t="s">
        <v>1658</v>
      </c>
      <c r="B1043" s="5">
        <v>46003</v>
      </c>
      <c r="C1043" s="5" t="str">
        <f>TEXT(B1043,"mmm")</f>
        <v>Dec</v>
      </c>
      <c r="D1043" s="2" t="s">
        <v>292</v>
      </c>
      <c r="E1043" s="2" t="s">
        <v>14</v>
      </c>
      <c r="F1043" s="2" t="str" cm="1">
        <f t="array" ref="F10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43" s="2" t="str" cm="1">
        <f t="array" ref="G10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43" s="2" t="s">
        <v>80</v>
      </c>
      <c r="I1043" s="2" t="s">
        <v>23</v>
      </c>
      <c r="J1043" s="2">
        <v>2</v>
      </c>
      <c r="K1043" s="8">
        <v>799</v>
      </c>
      <c r="L1043" s="3">
        <v>0.2</v>
      </c>
      <c r="M1043" s="12">
        <f>K1043*L1043</f>
        <v>159.80000000000001</v>
      </c>
      <c r="N1043" s="12">
        <f>K1043*J1043</f>
        <v>1598</v>
      </c>
      <c r="O1043" s="12">
        <f>N1043-M1043</f>
        <v>1438.2</v>
      </c>
      <c r="P1043" s="2" t="s">
        <v>45</v>
      </c>
      <c r="Q1043" s="2" t="s">
        <v>18</v>
      </c>
      <c r="R1043" s="2">
        <v>80</v>
      </c>
      <c r="S1043" s="20">
        <f>Table1[[#This Row],[Net_revenue]]/Table1[[#This Row],[Gross_revenue]]*100%</f>
        <v>0.9</v>
      </c>
      <c r="T1043" s="18">
        <f>COUNTIFS(Table1[Customer ID], "&gt;1", Table1[Customer ID], 1)</f>
        <v>0</v>
      </c>
    </row>
    <row r="1044" spans="1:20" hidden="1" x14ac:dyDescent="0.3">
      <c r="A1044" s="2" t="s">
        <v>1659</v>
      </c>
      <c r="B1044" s="5">
        <v>45710</v>
      </c>
      <c r="C1044" s="5" t="str">
        <f>TEXT(B1044,"mmm")</f>
        <v>Feb</v>
      </c>
      <c r="D1044" s="2" t="s">
        <v>1125</v>
      </c>
      <c r="E1044" s="2" t="s">
        <v>21</v>
      </c>
      <c r="F1044" s="2" t="str" cm="1">
        <f t="array" ref="F10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44" s="2" t="str" cm="1">
        <f t="array" ref="G10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44" s="2" t="s">
        <v>49</v>
      </c>
      <c r="I1044" s="2" t="s">
        <v>23</v>
      </c>
      <c r="J1044" s="2">
        <v>1</v>
      </c>
      <c r="K1044" s="8">
        <v>1299</v>
      </c>
      <c r="L1044" s="3">
        <v>0.1</v>
      </c>
      <c r="M1044" s="12">
        <f>K1044*L1044</f>
        <v>129.9</v>
      </c>
      <c r="N1044" s="12">
        <f>K1044*J1044</f>
        <v>1299</v>
      </c>
      <c r="O1044" s="12">
        <f>N1044-M1044</f>
        <v>1169.0999999999999</v>
      </c>
      <c r="P1044" s="2" t="s">
        <v>45</v>
      </c>
      <c r="Q1044" s="2" t="s">
        <v>50</v>
      </c>
      <c r="R1044" s="2">
        <v>40</v>
      </c>
      <c r="S1044" s="20">
        <f>Table1[[#This Row],[Net_revenue]]/Table1[[#This Row],[Gross_revenue]]*100%</f>
        <v>0.89999999999999991</v>
      </c>
      <c r="T1044" s="18">
        <f>COUNTIFS(Table1[Customer ID], "&gt;1", Table1[Customer ID], 1)</f>
        <v>0</v>
      </c>
    </row>
    <row r="1045" spans="1:20" hidden="1" x14ac:dyDescent="0.3">
      <c r="A1045" s="2" t="s">
        <v>1660</v>
      </c>
      <c r="B1045" s="5">
        <v>45698</v>
      </c>
      <c r="C1045" s="5" t="str">
        <f>TEXT(B1045,"mmm")</f>
        <v>Feb</v>
      </c>
      <c r="D1045" s="2" t="s">
        <v>1661</v>
      </c>
      <c r="E1045" s="2" t="s">
        <v>40</v>
      </c>
      <c r="F1045" s="2" t="str" cm="1">
        <f t="array" ref="F10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45" s="2" t="str" cm="1">
        <f t="array" ref="G10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45" s="2" t="s">
        <v>107</v>
      </c>
      <c r="I1045" s="2" t="s">
        <v>95</v>
      </c>
      <c r="J1045" s="2">
        <v>3</v>
      </c>
      <c r="K1045" s="8">
        <v>1599</v>
      </c>
      <c r="L1045" s="3">
        <v>0.1</v>
      </c>
      <c r="M1045" s="12">
        <f>K1045*L1045</f>
        <v>159.9</v>
      </c>
      <c r="N1045" s="12">
        <f>K1045*J1045</f>
        <v>4797</v>
      </c>
      <c r="O1045" s="12">
        <f>N1045-M1045</f>
        <v>4637.1000000000004</v>
      </c>
      <c r="P1045" s="2" t="s">
        <v>45</v>
      </c>
      <c r="Q1045" s="2" t="s">
        <v>18</v>
      </c>
      <c r="R1045" s="2">
        <v>40</v>
      </c>
      <c r="S1045" s="20">
        <f>Table1[[#This Row],[Net_revenue]]/Table1[[#This Row],[Gross_revenue]]*100%</f>
        <v>0.96666666666666679</v>
      </c>
      <c r="T1045" s="18">
        <f>COUNTIFS(Table1[Customer ID], "&gt;1", Table1[Customer ID], 1)</f>
        <v>0</v>
      </c>
    </row>
    <row r="1046" spans="1:20" hidden="1" x14ac:dyDescent="0.3">
      <c r="A1046" s="2" t="s">
        <v>1662</v>
      </c>
      <c r="B1046" s="5">
        <v>45963</v>
      </c>
      <c r="C1046" s="5" t="str">
        <f>TEXT(B1046,"mmm")</f>
        <v>Nov</v>
      </c>
      <c r="D1046" s="2" t="s">
        <v>1663</v>
      </c>
      <c r="E1046" s="2" t="s">
        <v>21</v>
      </c>
      <c r="F1046" s="2" t="str" cm="1">
        <f t="array" ref="F10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46" s="2" t="str" cm="1">
        <f t="array" ref="G10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46" s="2" t="s">
        <v>94</v>
      </c>
      <c r="I1046" s="2" t="s">
        <v>95</v>
      </c>
      <c r="J1046" s="2">
        <v>1</v>
      </c>
      <c r="K1046" s="8">
        <v>399</v>
      </c>
      <c r="L1046" s="3">
        <v>0</v>
      </c>
      <c r="M1046" s="12">
        <f>K1046*L1046</f>
        <v>0</v>
      </c>
      <c r="N1046" s="12">
        <f>K1046*J1046</f>
        <v>399</v>
      </c>
      <c r="O1046" s="12">
        <f>N1046-M1046</f>
        <v>399</v>
      </c>
      <c r="P1046" s="2" t="s">
        <v>45</v>
      </c>
      <c r="Q1046" s="2" t="s">
        <v>18</v>
      </c>
      <c r="R1046" s="2">
        <v>80</v>
      </c>
      <c r="S1046" s="20">
        <f>Table1[[#This Row],[Net_revenue]]/Table1[[#This Row],[Gross_revenue]]*100%</f>
        <v>1</v>
      </c>
      <c r="T1046" s="18">
        <f>COUNTIFS(Table1[Customer ID], "&gt;1", Table1[Customer ID], 1)</f>
        <v>0</v>
      </c>
    </row>
    <row r="1047" spans="1:20" hidden="1" x14ac:dyDescent="0.3">
      <c r="A1047" s="2" t="s">
        <v>1664</v>
      </c>
      <c r="B1047" s="5">
        <v>45703</v>
      </c>
      <c r="C1047" s="5" t="str">
        <f>TEXT(B1047,"mmm")</f>
        <v>Feb</v>
      </c>
      <c r="D1047" s="2" t="s">
        <v>35</v>
      </c>
      <c r="E1047" s="2" t="s">
        <v>48</v>
      </c>
      <c r="F1047" s="2" t="str" cm="1">
        <f t="array" ref="F10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47" s="2" t="str" cm="1">
        <f t="array" ref="G10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47" s="2" t="s">
        <v>80</v>
      </c>
      <c r="I1047" s="2" t="s">
        <v>23</v>
      </c>
      <c r="J1047" s="2">
        <v>1</v>
      </c>
      <c r="K1047" s="8">
        <v>799</v>
      </c>
      <c r="L1047" s="3">
        <v>0.15</v>
      </c>
      <c r="M1047" s="12">
        <f>K1047*L1047</f>
        <v>119.85</v>
      </c>
      <c r="N1047" s="12">
        <f>K1047*J1047</f>
        <v>799</v>
      </c>
      <c r="O1047" s="12">
        <f>N1047-M1047</f>
        <v>679.15</v>
      </c>
      <c r="P1047" s="2" t="s">
        <v>45</v>
      </c>
      <c r="Q1047" s="2" t="s">
        <v>18</v>
      </c>
      <c r="R1047" s="2">
        <v>80</v>
      </c>
      <c r="S1047" s="20">
        <f>Table1[[#This Row],[Net_revenue]]/Table1[[#This Row],[Gross_revenue]]*100%</f>
        <v>0.85</v>
      </c>
      <c r="T1047" s="18">
        <f>COUNTIFS(Table1[Customer ID], "&gt;1", Table1[Customer ID], 1)</f>
        <v>0</v>
      </c>
    </row>
    <row r="1048" spans="1:20" hidden="1" x14ac:dyDescent="0.3">
      <c r="A1048" s="2" t="s">
        <v>1665</v>
      </c>
      <c r="B1048" s="5">
        <v>45782</v>
      </c>
      <c r="C1048" s="5" t="str">
        <f>TEXT(B1048,"mmm")</f>
        <v>May</v>
      </c>
      <c r="D1048" s="2" t="s">
        <v>91</v>
      </c>
      <c r="E1048" s="2" t="s">
        <v>40</v>
      </c>
      <c r="F1048" s="2" t="str" cm="1">
        <f t="array" ref="F10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48" s="2" t="str" cm="1">
        <f t="array" ref="G10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48" s="2" t="s">
        <v>15</v>
      </c>
      <c r="I1048" s="2" t="s">
        <v>16</v>
      </c>
      <c r="J1048" s="2">
        <v>1</v>
      </c>
      <c r="K1048" s="8">
        <v>1799</v>
      </c>
      <c r="L1048" s="3">
        <v>0</v>
      </c>
      <c r="M1048" s="12">
        <f>K1048*L1048</f>
        <v>0</v>
      </c>
      <c r="N1048" s="12">
        <f>K1048*J1048</f>
        <v>1799</v>
      </c>
      <c r="O1048" s="12">
        <f>N1048-M1048</f>
        <v>1799</v>
      </c>
      <c r="P1048" s="2" t="s">
        <v>24</v>
      </c>
      <c r="Q1048" s="2" t="s">
        <v>18</v>
      </c>
      <c r="R1048" s="2">
        <v>80</v>
      </c>
      <c r="S1048" s="20">
        <f>Table1[[#This Row],[Net_revenue]]/Table1[[#This Row],[Gross_revenue]]*100%</f>
        <v>1</v>
      </c>
      <c r="T1048" s="18">
        <f>COUNTIFS(Table1[Customer ID], "&gt;1", Table1[Customer ID], 1)</f>
        <v>0</v>
      </c>
    </row>
    <row r="1049" spans="1:20" hidden="1" x14ac:dyDescent="0.3">
      <c r="A1049" s="2" t="s">
        <v>1666</v>
      </c>
      <c r="B1049" s="5">
        <v>45681</v>
      </c>
      <c r="C1049" s="5" t="str">
        <f>TEXT(B1049,"mmm")</f>
        <v>Jan</v>
      </c>
      <c r="D1049" s="2" t="s">
        <v>1667</v>
      </c>
      <c r="E1049" s="2" t="s">
        <v>14</v>
      </c>
      <c r="F1049" s="2" t="str" cm="1">
        <f t="array" ref="F10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49" s="2" t="str" cm="1">
        <f t="array" ref="G10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49" s="2" t="s">
        <v>63</v>
      </c>
      <c r="I1049" s="2" t="s">
        <v>23</v>
      </c>
      <c r="J1049" s="2">
        <v>1</v>
      </c>
      <c r="K1049" s="8">
        <v>2499</v>
      </c>
      <c r="L1049" s="3">
        <v>0.15</v>
      </c>
      <c r="M1049" s="12">
        <f>K1049*L1049</f>
        <v>374.84999999999997</v>
      </c>
      <c r="N1049" s="12">
        <f>K1049*J1049</f>
        <v>2499</v>
      </c>
      <c r="O1049" s="12">
        <f>N1049-M1049</f>
        <v>2124.15</v>
      </c>
      <c r="P1049" s="2" t="s">
        <v>45</v>
      </c>
      <c r="Q1049" s="2" t="s">
        <v>72</v>
      </c>
      <c r="R1049" s="2">
        <v>60</v>
      </c>
      <c r="S1049" s="20">
        <f>Table1[[#This Row],[Net_revenue]]/Table1[[#This Row],[Gross_revenue]]*100%</f>
        <v>0.85000000000000009</v>
      </c>
      <c r="T1049" s="18">
        <f>COUNTIFS(Table1[Customer ID], "&gt;1", Table1[Customer ID], 1)</f>
        <v>0</v>
      </c>
    </row>
    <row r="1050" spans="1:20" hidden="1" x14ac:dyDescent="0.3">
      <c r="A1050" s="2" t="s">
        <v>1668</v>
      </c>
      <c r="B1050" s="5">
        <v>45972</v>
      </c>
      <c r="C1050" s="5" t="str">
        <f>TEXT(B1050,"mmm")</f>
        <v>Nov</v>
      </c>
      <c r="D1050" s="2" t="s">
        <v>1326</v>
      </c>
      <c r="E1050" s="2" t="s">
        <v>53</v>
      </c>
      <c r="F1050" s="2" t="str" cm="1">
        <f t="array" ref="F10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50" s="2" t="str" cm="1">
        <f t="array" ref="G10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50" s="2" t="s">
        <v>15</v>
      </c>
      <c r="I1050" s="2" t="s">
        <v>16</v>
      </c>
      <c r="J1050" s="2">
        <v>5</v>
      </c>
      <c r="K1050" s="8">
        <v>1799</v>
      </c>
      <c r="L1050" s="3">
        <v>0.15</v>
      </c>
      <c r="M1050" s="12">
        <f>K1050*L1050</f>
        <v>269.84999999999997</v>
      </c>
      <c r="N1050" s="12">
        <f>K1050*J1050</f>
        <v>8995</v>
      </c>
      <c r="O1050" s="12">
        <f>N1050-M1050</f>
        <v>8725.15</v>
      </c>
      <c r="P1050" s="2" t="s">
        <v>30</v>
      </c>
      <c r="Q1050" s="2" t="s">
        <v>18</v>
      </c>
      <c r="R1050" s="2">
        <v>0</v>
      </c>
      <c r="S1050" s="20">
        <f>Table1[[#This Row],[Net_revenue]]/Table1[[#This Row],[Gross_revenue]]*100%</f>
        <v>0.97</v>
      </c>
      <c r="T1050" s="18">
        <f>COUNTIFS(Table1[Customer ID], "&gt;1", Table1[Customer ID], 1)</f>
        <v>0</v>
      </c>
    </row>
    <row r="1051" spans="1:20" hidden="1" x14ac:dyDescent="0.3">
      <c r="A1051" s="2" t="s">
        <v>1669</v>
      </c>
      <c r="B1051" s="5">
        <v>45791</v>
      </c>
      <c r="C1051" s="5" t="str">
        <f>TEXT(B1051,"mmm")</f>
        <v>May</v>
      </c>
      <c r="D1051" s="2" t="s">
        <v>387</v>
      </c>
      <c r="E1051" s="2" t="s">
        <v>21</v>
      </c>
      <c r="F1051" s="2" t="str" cm="1">
        <f t="array" ref="F10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51" s="2" t="str" cm="1">
        <f t="array" ref="G10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51" s="2" t="s">
        <v>36</v>
      </c>
      <c r="I1051" s="2" t="s">
        <v>37</v>
      </c>
      <c r="J1051" s="2">
        <v>2</v>
      </c>
      <c r="K1051" s="8">
        <v>349</v>
      </c>
      <c r="L1051" s="3">
        <v>0</v>
      </c>
      <c r="M1051" s="12">
        <f>K1051*L1051</f>
        <v>0</v>
      </c>
      <c r="N1051" s="12">
        <f>K1051*J1051</f>
        <v>698</v>
      </c>
      <c r="O1051" s="12">
        <f>N1051-M1051</f>
        <v>698</v>
      </c>
      <c r="P1051" s="2" t="s">
        <v>17</v>
      </c>
      <c r="Q1051" s="2" t="s">
        <v>18</v>
      </c>
      <c r="R1051" s="2">
        <v>60</v>
      </c>
      <c r="S1051" s="20">
        <f>Table1[[#This Row],[Net_revenue]]/Table1[[#This Row],[Gross_revenue]]*100%</f>
        <v>1</v>
      </c>
      <c r="T1051" s="18">
        <f>COUNTIFS(Table1[Customer ID], "&gt;1", Table1[Customer ID], 1)</f>
        <v>0</v>
      </c>
    </row>
    <row r="1052" spans="1:20" hidden="1" x14ac:dyDescent="0.3">
      <c r="A1052" s="2" t="s">
        <v>1670</v>
      </c>
      <c r="B1052" s="5">
        <v>45913</v>
      </c>
      <c r="C1052" s="5" t="str">
        <f>TEXT(B1052,"mmm")</f>
        <v>Sep</v>
      </c>
      <c r="D1052" s="2" t="s">
        <v>331</v>
      </c>
      <c r="E1052" s="2" t="s">
        <v>48</v>
      </c>
      <c r="F1052" s="2" t="str" cm="1">
        <f t="array" ref="F10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52" s="2" t="str" cm="1">
        <f t="array" ref="G10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52" s="2" t="s">
        <v>15</v>
      </c>
      <c r="I1052" s="2" t="s">
        <v>16</v>
      </c>
      <c r="J1052" s="2">
        <v>1</v>
      </c>
      <c r="K1052" s="8">
        <v>1799</v>
      </c>
      <c r="L1052" s="3">
        <v>0</v>
      </c>
      <c r="M1052" s="12">
        <f>K1052*L1052</f>
        <v>0</v>
      </c>
      <c r="N1052" s="12">
        <f>K1052*J1052</f>
        <v>1799</v>
      </c>
      <c r="O1052" s="12">
        <f>N1052-M1052</f>
        <v>1799</v>
      </c>
      <c r="P1052" s="2" t="s">
        <v>17</v>
      </c>
      <c r="Q1052" s="2" t="s">
        <v>72</v>
      </c>
      <c r="R1052" s="2">
        <v>80</v>
      </c>
      <c r="S1052" s="20">
        <f>Table1[[#This Row],[Net_revenue]]/Table1[[#This Row],[Gross_revenue]]*100%</f>
        <v>1</v>
      </c>
      <c r="T1052" s="18">
        <f>COUNTIFS(Table1[Customer ID], "&gt;1", Table1[Customer ID], 1)</f>
        <v>0</v>
      </c>
    </row>
    <row r="1053" spans="1:20" hidden="1" x14ac:dyDescent="0.3">
      <c r="A1053" s="2" t="s">
        <v>1671</v>
      </c>
      <c r="B1053" s="5">
        <v>45761</v>
      </c>
      <c r="C1053" s="5" t="str">
        <f>TEXT(B1053,"mmm")</f>
        <v>Apr</v>
      </c>
      <c r="D1053" s="2" t="s">
        <v>52</v>
      </c>
      <c r="E1053" s="2" t="s">
        <v>21</v>
      </c>
      <c r="F1053" s="2" t="str" cm="1">
        <f t="array" ref="F10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53" s="2" t="str" cm="1">
        <f t="array" ref="G10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53" s="2" t="s">
        <v>36</v>
      </c>
      <c r="I1053" s="2" t="s">
        <v>37</v>
      </c>
      <c r="J1053" s="2">
        <v>4</v>
      </c>
      <c r="K1053" s="8">
        <v>349</v>
      </c>
      <c r="L1053" s="3">
        <v>0.05</v>
      </c>
      <c r="M1053" s="12">
        <f>K1053*L1053</f>
        <v>17.45</v>
      </c>
      <c r="N1053" s="12">
        <f>K1053*J1053</f>
        <v>1396</v>
      </c>
      <c r="O1053" s="12">
        <f>N1053-M1053</f>
        <v>1378.55</v>
      </c>
      <c r="P1053" s="2" t="s">
        <v>17</v>
      </c>
      <c r="Q1053" s="2" t="s">
        <v>18</v>
      </c>
      <c r="R1053" s="2">
        <v>80</v>
      </c>
      <c r="S1053" s="20">
        <f>Table1[[#This Row],[Net_revenue]]/Table1[[#This Row],[Gross_revenue]]*100%</f>
        <v>0.98749999999999993</v>
      </c>
      <c r="T1053" s="18">
        <f>COUNTIFS(Table1[Customer ID], "&gt;1", Table1[Customer ID], 1)</f>
        <v>0</v>
      </c>
    </row>
    <row r="1054" spans="1:20" hidden="1" x14ac:dyDescent="0.3">
      <c r="A1054" s="2" t="s">
        <v>1672</v>
      </c>
      <c r="B1054" s="5">
        <v>45926</v>
      </c>
      <c r="C1054" s="5" t="str">
        <f>TEXT(B1054,"mmm")</f>
        <v>Sep</v>
      </c>
      <c r="D1054" s="2" t="s">
        <v>1154</v>
      </c>
      <c r="E1054" s="2" t="s">
        <v>27</v>
      </c>
      <c r="F1054" s="2" t="str" cm="1">
        <f t="array" ref="F10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54" s="2" t="str" cm="1">
        <f t="array" ref="G10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54" s="2" t="s">
        <v>134</v>
      </c>
      <c r="I1054" s="2" t="s">
        <v>29</v>
      </c>
      <c r="J1054" s="2">
        <v>4</v>
      </c>
      <c r="K1054" s="8">
        <v>1499</v>
      </c>
      <c r="L1054" s="3">
        <v>0</v>
      </c>
      <c r="M1054" s="12">
        <f>K1054*L1054</f>
        <v>0</v>
      </c>
      <c r="N1054" s="12">
        <f>K1054*J1054</f>
        <v>5996</v>
      </c>
      <c r="O1054" s="12">
        <f>N1054-M1054</f>
        <v>5996</v>
      </c>
      <c r="P1054" s="2" t="s">
        <v>45</v>
      </c>
      <c r="Q1054" s="2" t="s">
        <v>18</v>
      </c>
      <c r="R1054" s="2">
        <v>60</v>
      </c>
      <c r="S1054" s="20">
        <f>Table1[[#This Row],[Net_revenue]]/Table1[[#This Row],[Gross_revenue]]*100%</f>
        <v>1</v>
      </c>
      <c r="T1054" s="18">
        <f>COUNTIFS(Table1[Customer ID], "&gt;1", Table1[Customer ID], 1)</f>
        <v>0</v>
      </c>
    </row>
    <row r="1055" spans="1:20" hidden="1" x14ac:dyDescent="0.3">
      <c r="A1055" s="2" t="s">
        <v>1673</v>
      </c>
      <c r="B1055" s="5">
        <v>45747</v>
      </c>
      <c r="C1055" s="5" t="str">
        <f>TEXT(B1055,"mmm")</f>
        <v>Mar</v>
      </c>
      <c r="D1055" s="2" t="s">
        <v>303</v>
      </c>
      <c r="E1055" s="2" t="s">
        <v>120</v>
      </c>
      <c r="F1055" s="2" t="str" cm="1">
        <f t="array" ref="F10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55" s="2" t="str" cm="1">
        <f t="array" ref="G10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55" s="2" t="s">
        <v>117</v>
      </c>
      <c r="I1055" s="2" t="s">
        <v>23</v>
      </c>
      <c r="J1055" s="2">
        <v>3</v>
      </c>
      <c r="K1055" s="8">
        <v>2199</v>
      </c>
      <c r="L1055" s="3">
        <v>0.1</v>
      </c>
      <c r="M1055" s="12">
        <f>K1055*L1055</f>
        <v>219.9</v>
      </c>
      <c r="N1055" s="12">
        <f>K1055*J1055</f>
        <v>6597</v>
      </c>
      <c r="O1055" s="12">
        <f>N1055-M1055</f>
        <v>6377.1</v>
      </c>
      <c r="P1055" s="2" t="s">
        <v>17</v>
      </c>
      <c r="Q1055" s="2" t="s">
        <v>18</v>
      </c>
      <c r="R1055" s="2">
        <v>0</v>
      </c>
      <c r="S1055" s="20">
        <f>Table1[[#This Row],[Net_revenue]]/Table1[[#This Row],[Gross_revenue]]*100%</f>
        <v>0.96666666666666667</v>
      </c>
      <c r="T1055" s="18">
        <f>COUNTIFS(Table1[Customer ID], "&gt;1", Table1[Customer ID], 1)</f>
        <v>0</v>
      </c>
    </row>
    <row r="1056" spans="1:20" hidden="1" x14ac:dyDescent="0.3">
      <c r="A1056" s="2" t="s">
        <v>1674</v>
      </c>
      <c r="B1056" s="5">
        <v>45678</v>
      </c>
      <c r="C1056" s="5" t="str">
        <f>TEXT(B1056,"mmm")</f>
        <v>Jan</v>
      </c>
      <c r="D1056" s="2" t="s">
        <v>116</v>
      </c>
      <c r="E1056" s="2" t="s">
        <v>40</v>
      </c>
      <c r="F1056" s="2" t="str" cm="1">
        <f t="array" ref="F10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56" s="2" t="str" cm="1">
        <f t="array" ref="G10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56" s="2" t="s">
        <v>36</v>
      </c>
      <c r="I1056" s="2" t="s">
        <v>37</v>
      </c>
      <c r="J1056" s="2">
        <v>5</v>
      </c>
      <c r="K1056" s="8">
        <v>349</v>
      </c>
      <c r="L1056" s="3">
        <v>0</v>
      </c>
      <c r="M1056" s="12">
        <f>K1056*L1056</f>
        <v>0</v>
      </c>
      <c r="N1056" s="12">
        <f>K1056*J1056</f>
        <v>1745</v>
      </c>
      <c r="O1056" s="12">
        <f>N1056-M1056</f>
        <v>1745</v>
      </c>
      <c r="P1056" s="2" t="s">
        <v>45</v>
      </c>
      <c r="Q1056" s="2" t="s">
        <v>18</v>
      </c>
      <c r="R1056" s="2">
        <v>60</v>
      </c>
      <c r="S1056" s="20">
        <f>Table1[[#This Row],[Net_revenue]]/Table1[[#This Row],[Gross_revenue]]*100%</f>
        <v>1</v>
      </c>
      <c r="T1056" s="18">
        <f>COUNTIFS(Table1[Customer ID], "&gt;1", Table1[Customer ID], 1)</f>
        <v>0</v>
      </c>
    </row>
    <row r="1057" spans="1:20" hidden="1" x14ac:dyDescent="0.3">
      <c r="A1057" s="2" t="s">
        <v>1675</v>
      </c>
      <c r="B1057" s="5">
        <v>45957</v>
      </c>
      <c r="C1057" s="5" t="str">
        <f>TEXT(B1057,"mmm")</f>
        <v>Oct</v>
      </c>
      <c r="D1057" s="2" t="s">
        <v>1343</v>
      </c>
      <c r="E1057" s="2" t="s">
        <v>48</v>
      </c>
      <c r="F1057" s="2" t="str" cm="1">
        <f t="array" ref="F10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57" s="2" t="str" cm="1">
        <f t="array" ref="G10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57" s="2" t="s">
        <v>98</v>
      </c>
      <c r="I1057" s="2" t="s">
        <v>37</v>
      </c>
      <c r="J1057" s="2">
        <v>3</v>
      </c>
      <c r="K1057" s="8">
        <v>299</v>
      </c>
      <c r="L1057" s="3">
        <v>0</v>
      </c>
      <c r="M1057" s="12">
        <f>K1057*L1057</f>
        <v>0</v>
      </c>
      <c r="N1057" s="12">
        <f>K1057*J1057</f>
        <v>897</v>
      </c>
      <c r="O1057" s="12">
        <f>N1057-M1057</f>
        <v>897</v>
      </c>
      <c r="P1057" s="2" t="s">
        <v>45</v>
      </c>
      <c r="Q1057" s="2" t="s">
        <v>18</v>
      </c>
      <c r="R1057" s="2">
        <v>60</v>
      </c>
      <c r="S1057" s="20">
        <f>Table1[[#This Row],[Net_revenue]]/Table1[[#This Row],[Gross_revenue]]*100%</f>
        <v>1</v>
      </c>
      <c r="T1057" s="18">
        <f>COUNTIFS(Table1[Customer ID], "&gt;1", Table1[Customer ID], 1)</f>
        <v>0</v>
      </c>
    </row>
    <row r="1058" spans="1:20" hidden="1" x14ac:dyDescent="0.3">
      <c r="A1058" s="2" t="s">
        <v>1676</v>
      </c>
      <c r="B1058" s="5">
        <v>45746</v>
      </c>
      <c r="C1058" s="5" t="str">
        <f>TEXT(B1058,"mmm")</f>
        <v>Mar</v>
      </c>
      <c r="D1058" s="2" t="s">
        <v>347</v>
      </c>
      <c r="E1058" s="2" t="s">
        <v>27</v>
      </c>
      <c r="F1058" s="2" t="str" cm="1">
        <f t="array" ref="F10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58" s="2" t="str" cm="1">
        <f t="array" ref="G10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58" s="2" t="s">
        <v>68</v>
      </c>
      <c r="I1058" s="2" t="s">
        <v>16</v>
      </c>
      <c r="J1058" s="2">
        <v>2</v>
      </c>
      <c r="K1058" s="8">
        <v>599</v>
      </c>
      <c r="L1058" s="3">
        <v>0</v>
      </c>
      <c r="M1058" s="12">
        <f>K1058*L1058</f>
        <v>0</v>
      </c>
      <c r="N1058" s="12">
        <f>K1058*J1058</f>
        <v>1198</v>
      </c>
      <c r="O1058" s="12">
        <f>N1058-M1058</f>
        <v>1198</v>
      </c>
      <c r="P1058" s="2" t="s">
        <v>24</v>
      </c>
      <c r="Q1058" s="2" t="s">
        <v>18</v>
      </c>
      <c r="R1058" s="2">
        <v>0</v>
      </c>
      <c r="S1058" s="20">
        <f>Table1[[#This Row],[Net_revenue]]/Table1[[#This Row],[Gross_revenue]]*100%</f>
        <v>1</v>
      </c>
      <c r="T1058" s="18">
        <f>COUNTIFS(Table1[Customer ID], "&gt;1", Table1[Customer ID], 1)</f>
        <v>0</v>
      </c>
    </row>
    <row r="1059" spans="1:20" hidden="1" x14ac:dyDescent="0.3">
      <c r="A1059" s="2" t="s">
        <v>1677</v>
      </c>
      <c r="B1059" s="5">
        <v>45764</v>
      </c>
      <c r="C1059" s="5" t="str">
        <f>TEXT(B1059,"mmm")</f>
        <v>Apr</v>
      </c>
      <c r="D1059" s="2" t="s">
        <v>1678</v>
      </c>
      <c r="E1059" s="2" t="s">
        <v>195</v>
      </c>
      <c r="F1059" s="2" t="str" cm="1">
        <f t="array" ref="F10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059" s="2" t="str" cm="1">
        <f t="array" ref="G10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59" s="2" t="s">
        <v>49</v>
      </c>
      <c r="I1059" s="2" t="s">
        <v>23</v>
      </c>
      <c r="J1059" s="2">
        <v>1</v>
      </c>
      <c r="K1059" s="8">
        <v>1299</v>
      </c>
      <c r="L1059" s="3">
        <v>0.1</v>
      </c>
      <c r="M1059" s="12">
        <f>K1059*L1059</f>
        <v>129.9</v>
      </c>
      <c r="N1059" s="12">
        <f>K1059*J1059</f>
        <v>1299</v>
      </c>
      <c r="O1059" s="12">
        <f>N1059-M1059</f>
        <v>1169.0999999999999</v>
      </c>
      <c r="P1059" s="2" t="s">
        <v>45</v>
      </c>
      <c r="Q1059" s="2" t="s">
        <v>18</v>
      </c>
      <c r="R1059" s="2">
        <v>60</v>
      </c>
      <c r="S1059" s="20">
        <f>Table1[[#This Row],[Net_revenue]]/Table1[[#This Row],[Gross_revenue]]*100%</f>
        <v>0.89999999999999991</v>
      </c>
      <c r="T1059" s="18">
        <f>COUNTIFS(Table1[Customer ID], "&gt;1", Table1[Customer ID], 1)</f>
        <v>0</v>
      </c>
    </row>
    <row r="1060" spans="1:20" hidden="1" x14ac:dyDescent="0.3">
      <c r="A1060" s="2" t="s">
        <v>1679</v>
      </c>
      <c r="B1060" s="5">
        <v>45882</v>
      </c>
      <c r="C1060" s="5" t="str">
        <f>TEXT(B1060,"mmm")</f>
        <v>Aug</v>
      </c>
      <c r="D1060" s="2" t="s">
        <v>1641</v>
      </c>
      <c r="E1060" s="2" t="s">
        <v>14</v>
      </c>
      <c r="F1060" s="2" t="str" cm="1">
        <f t="array" ref="F10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60" s="2" t="str" cm="1">
        <f t="array" ref="G10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60" s="2" t="s">
        <v>63</v>
      </c>
      <c r="I1060" s="2" t="s">
        <v>23</v>
      </c>
      <c r="J1060" s="2">
        <v>3</v>
      </c>
      <c r="K1060" s="8">
        <v>2499</v>
      </c>
      <c r="L1060" s="3">
        <v>0.05</v>
      </c>
      <c r="M1060" s="12">
        <f>K1060*L1060</f>
        <v>124.95</v>
      </c>
      <c r="N1060" s="12">
        <f>K1060*J1060</f>
        <v>7497</v>
      </c>
      <c r="O1060" s="12">
        <f>N1060-M1060</f>
        <v>7372.05</v>
      </c>
      <c r="P1060" s="2" t="s">
        <v>17</v>
      </c>
      <c r="Q1060" s="2" t="s">
        <v>50</v>
      </c>
      <c r="R1060" s="2">
        <v>80</v>
      </c>
      <c r="S1060" s="20">
        <f>Table1[[#This Row],[Net_revenue]]/Table1[[#This Row],[Gross_revenue]]*100%</f>
        <v>0.98333333333333339</v>
      </c>
      <c r="T1060" s="18">
        <f>COUNTIFS(Table1[Customer ID], "&gt;1", Table1[Customer ID], 1)</f>
        <v>0</v>
      </c>
    </row>
    <row r="1061" spans="1:20" hidden="1" x14ac:dyDescent="0.3">
      <c r="A1061" s="2" t="s">
        <v>1680</v>
      </c>
      <c r="B1061" s="5">
        <v>45682</v>
      </c>
      <c r="C1061" s="5" t="str">
        <f>TEXT(B1061,"mmm")</f>
        <v>Jan</v>
      </c>
      <c r="D1061" s="2" t="s">
        <v>1681</v>
      </c>
      <c r="E1061" s="2" t="s">
        <v>195</v>
      </c>
      <c r="F1061" s="2" t="str" cm="1">
        <f t="array" ref="F10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061" s="2" t="str" cm="1">
        <f t="array" ref="G10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61" s="2" t="s">
        <v>183</v>
      </c>
      <c r="I1061" s="2" t="s">
        <v>37</v>
      </c>
      <c r="J1061" s="2">
        <v>1</v>
      </c>
      <c r="K1061" s="8">
        <v>499</v>
      </c>
      <c r="L1061" s="3">
        <v>0.25</v>
      </c>
      <c r="M1061" s="12">
        <f>K1061*L1061</f>
        <v>124.75</v>
      </c>
      <c r="N1061" s="12">
        <f>K1061*J1061</f>
        <v>499</v>
      </c>
      <c r="O1061" s="12">
        <f>N1061-M1061</f>
        <v>374.25</v>
      </c>
      <c r="P1061" s="2" t="s">
        <v>45</v>
      </c>
      <c r="Q1061" s="2" t="s">
        <v>18</v>
      </c>
      <c r="R1061" s="2">
        <v>0</v>
      </c>
      <c r="S1061" s="20">
        <f>Table1[[#This Row],[Net_revenue]]/Table1[[#This Row],[Gross_revenue]]*100%</f>
        <v>0.75</v>
      </c>
      <c r="T1061" s="18">
        <f>COUNTIFS(Table1[Customer ID], "&gt;1", Table1[Customer ID], 1)</f>
        <v>0</v>
      </c>
    </row>
    <row r="1062" spans="1:20" hidden="1" x14ac:dyDescent="0.3">
      <c r="A1062" s="2" t="s">
        <v>1682</v>
      </c>
      <c r="B1062" s="5">
        <v>46004</v>
      </c>
      <c r="C1062" s="5" t="str">
        <f>TEXT(B1062,"mmm")</f>
        <v>Dec</v>
      </c>
      <c r="D1062" s="2" t="s">
        <v>1683</v>
      </c>
      <c r="E1062" s="2" t="s">
        <v>53</v>
      </c>
      <c r="F1062" s="2" t="str" cm="1">
        <f t="array" ref="F10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062" s="2" t="str" cm="1">
        <f t="array" ref="G10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62" s="2" t="s">
        <v>41</v>
      </c>
      <c r="I1062" s="2" t="s">
        <v>16</v>
      </c>
      <c r="J1062" s="2">
        <v>2</v>
      </c>
      <c r="K1062" s="8">
        <v>2299</v>
      </c>
      <c r="L1062" s="3">
        <v>0.1</v>
      </c>
      <c r="M1062" s="12">
        <f>K1062*L1062</f>
        <v>229.9</v>
      </c>
      <c r="N1062" s="12">
        <f>K1062*J1062</f>
        <v>4598</v>
      </c>
      <c r="O1062" s="12">
        <f>N1062-M1062</f>
        <v>4368.1000000000004</v>
      </c>
      <c r="P1062" s="2" t="s">
        <v>45</v>
      </c>
      <c r="Q1062" s="2" t="s">
        <v>18</v>
      </c>
      <c r="R1062" s="2">
        <v>0</v>
      </c>
      <c r="S1062" s="20">
        <f>Table1[[#This Row],[Net_revenue]]/Table1[[#This Row],[Gross_revenue]]*100%</f>
        <v>0.95000000000000007</v>
      </c>
      <c r="T1062" s="18">
        <f>COUNTIFS(Table1[Customer ID], "&gt;1", Table1[Customer ID], 1)</f>
        <v>0</v>
      </c>
    </row>
    <row r="1063" spans="1:20" hidden="1" x14ac:dyDescent="0.3">
      <c r="A1063" s="2" t="s">
        <v>1684</v>
      </c>
      <c r="B1063" s="5">
        <v>45674</v>
      </c>
      <c r="C1063" s="5" t="str">
        <f>TEXT(B1063,"mmm")</f>
        <v>Jan</v>
      </c>
      <c r="D1063" s="2" t="s">
        <v>445</v>
      </c>
      <c r="E1063" s="2" t="s">
        <v>56</v>
      </c>
      <c r="F1063" s="2" t="str" cm="1">
        <f t="array" ref="F10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63" s="2" t="str" cm="1">
        <f t="array" ref="G10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63" s="2" t="s">
        <v>121</v>
      </c>
      <c r="I1063" s="2" t="s">
        <v>95</v>
      </c>
      <c r="J1063" s="2">
        <v>1</v>
      </c>
      <c r="K1063" s="8">
        <v>1299</v>
      </c>
      <c r="L1063" s="3">
        <v>0.05</v>
      </c>
      <c r="M1063" s="12">
        <f>K1063*L1063</f>
        <v>64.95</v>
      </c>
      <c r="N1063" s="12">
        <f>K1063*J1063</f>
        <v>1299</v>
      </c>
      <c r="O1063" s="12">
        <f>N1063-M1063</f>
        <v>1234.05</v>
      </c>
      <c r="P1063" s="2" t="s">
        <v>17</v>
      </c>
      <c r="Q1063" s="2" t="s">
        <v>18</v>
      </c>
      <c r="R1063" s="2">
        <v>40</v>
      </c>
      <c r="S1063" s="20">
        <f>Table1[[#This Row],[Net_revenue]]/Table1[[#This Row],[Gross_revenue]]*100%</f>
        <v>0.95</v>
      </c>
      <c r="T1063" s="18">
        <f>COUNTIFS(Table1[Customer ID], "&gt;1", Table1[Customer ID], 1)</f>
        <v>0</v>
      </c>
    </row>
    <row r="1064" spans="1:20" hidden="1" x14ac:dyDescent="0.3">
      <c r="A1064" s="2" t="s">
        <v>1685</v>
      </c>
      <c r="B1064" s="5">
        <v>45948</v>
      </c>
      <c r="C1064" s="5" t="str">
        <f>TEXT(B1064,"mmm")</f>
        <v>Oct</v>
      </c>
      <c r="D1064" s="2" t="s">
        <v>681</v>
      </c>
      <c r="E1064" s="2" t="s">
        <v>21</v>
      </c>
      <c r="F1064" s="2" t="str" cm="1">
        <f t="array" ref="F10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64" s="2" t="str" cm="1">
        <f t="array" ref="G10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64" s="2" t="s">
        <v>188</v>
      </c>
      <c r="I1064" s="2" t="s">
        <v>95</v>
      </c>
      <c r="J1064" s="2">
        <v>1</v>
      </c>
      <c r="K1064" s="8">
        <v>699</v>
      </c>
      <c r="L1064" s="3">
        <v>0.2</v>
      </c>
      <c r="M1064" s="12">
        <f>K1064*L1064</f>
        <v>139.80000000000001</v>
      </c>
      <c r="N1064" s="12">
        <f>K1064*J1064</f>
        <v>699</v>
      </c>
      <c r="O1064" s="12">
        <f>N1064-M1064</f>
        <v>559.20000000000005</v>
      </c>
      <c r="P1064" s="2" t="s">
        <v>17</v>
      </c>
      <c r="Q1064" s="2" t="s">
        <v>18</v>
      </c>
      <c r="R1064" s="2">
        <v>80</v>
      </c>
      <c r="S1064" s="20">
        <f>Table1[[#This Row],[Net_revenue]]/Table1[[#This Row],[Gross_revenue]]*100%</f>
        <v>0.8</v>
      </c>
      <c r="T1064" s="18">
        <f>COUNTIFS(Table1[Customer ID], "&gt;1", Table1[Customer ID], 1)</f>
        <v>0</v>
      </c>
    </row>
    <row r="1065" spans="1:20" hidden="1" x14ac:dyDescent="0.3">
      <c r="A1065" s="2" t="s">
        <v>1686</v>
      </c>
      <c r="B1065" s="5">
        <v>45733</v>
      </c>
      <c r="C1065" s="5" t="str">
        <f>TEXT(B1065,"mmm")</f>
        <v>Mar</v>
      </c>
      <c r="D1065" s="2" t="s">
        <v>705</v>
      </c>
      <c r="E1065" s="2" t="s">
        <v>40</v>
      </c>
      <c r="F1065" s="2" t="str" cm="1">
        <f t="array" ref="F10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65" s="2" t="str" cm="1">
        <f t="array" ref="G10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65" s="2" t="s">
        <v>15</v>
      </c>
      <c r="I1065" s="2" t="s">
        <v>16</v>
      </c>
      <c r="J1065" s="2">
        <v>1</v>
      </c>
      <c r="K1065" s="8">
        <v>1799</v>
      </c>
      <c r="L1065" s="3">
        <v>0.1</v>
      </c>
      <c r="M1065" s="12">
        <f>K1065*L1065</f>
        <v>179.9</v>
      </c>
      <c r="N1065" s="12">
        <f>K1065*J1065</f>
        <v>1799</v>
      </c>
      <c r="O1065" s="12">
        <f>N1065-M1065</f>
        <v>1619.1</v>
      </c>
      <c r="P1065" s="2" t="s">
        <v>17</v>
      </c>
      <c r="Q1065" s="2" t="s">
        <v>18</v>
      </c>
      <c r="R1065" s="2">
        <v>60</v>
      </c>
      <c r="S1065" s="20">
        <f>Table1[[#This Row],[Net_revenue]]/Table1[[#This Row],[Gross_revenue]]*100%</f>
        <v>0.89999999999999991</v>
      </c>
      <c r="T1065" s="18">
        <f>COUNTIFS(Table1[Customer ID], "&gt;1", Table1[Customer ID], 1)</f>
        <v>0</v>
      </c>
    </row>
    <row r="1066" spans="1:20" hidden="1" x14ac:dyDescent="0.3">
      <c r="A1066" s="2" t="s">
        <v>1687</v>
      </c>
      <c r="B1066" s="5">
        <v>45988</v>
      </c>
      <c r="C1066" s="5" t="str">
        <f>TEXT(B1066,"mmm")</f>
        <v>Nov</v>
      </c>
      <c r="D1066" s="2" t="s">
        <v>313</v>
      </c>
      <c r="E1066" s="2" t="s">
        <v>27</v>
      </c>
      <c r="F1066" s="2" t="str" cm="1">
        <f t="array" ref="F10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66" s="2" t="str" cm="1">
        <f t="array" ref="G10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66" s="2" t="s">
        <v>15</v>
      </c>
      <c r="I1066" s="2" t="s">
        <v>16</v>
      </c>
      <c r="J1066" s="2">
        <v>1</v>
      </c>
      <c r="K1066" s="8">
        <v>1799</v>
      </c>
      <c r="L1066" s="3">
        <v>0.1</v>
      </c>
      <c r="M1066" s="12">
        <f>K1066*L1066</f>
        <v>179.9</v>
      </c>
      <c r="N1066" s="12">
        <f>K1066*J1066</f>
        <v>1799</v>
      </c>
      <c r="O1066" s="12">
        <f>N1066-M1066</f>
        <v>1619.1</v>
      </c>
      <c r="P1066" s="2" t="s">
        <v>45</v>
      </c>
      <c r="Q1066" s="2" t="s">
        <v>50</v>
      </c>
      <c r="R1066" s="2">
        <v>0</v>
      </c>
      <c r="S1066" s="20">
        <f>Table1[[#This Row],[Net_revenue]]/Table1[[#This Row],[Gross_revenue]]*100%</f>
        <v>0.89999999999999991</v>
      </c>
      <c r="T1066" s="18">
        <f>COUNTIFS(Table1[Customer ID], "&gt;1", Table1[Customer ID], 1)</f>
        <v>0</v>
      </c>
    </row>
    <row r="1067" spans="1:20" hidden="1" x14ac:dyDescent="0.3">
      <c r="A1067" s="2" t="s">
        <v>1688</v>
      </c>
      <c r="B1067" s="5">
        <v>45878</v>
      </c>
      <c r="C1067" s="5" t="str">
        <f>TEXT(B1067,"mmm")</f>
        <v>Aug</v>
      </c>
      <c r="D1067" s="2" t="s">
        <v>840</v>
      </c>
      <c r="E1067" s="2" t="s">
        <v>195</v>
      </c>
      <c r="F1067" s="2" t="str" cm="1">
        <f t="array" ref="F10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067" s="2" t="str" cm="1">
        <f t="array" ref="G10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67" s="2" t="s">
        <v>41</v>
      </c>
      <c r="I1067" s="2" t="s">
        <v>16</v>
      </c>
      <c r="J1067" s="2">
        <v>2</v>
      </c>
      <c r="K1067" s="8">
        <v>2299</v>
      </c>
      <c r="L1067" s="3">
        <v>0.15</v>
      </c>
      <c r="M1067" s="12">
        <f>K1067*L1067</f>
        <v>344.84999999999997</v>
      </c>
      <c r="N1067" s="12">
        <f>K1067*J1067</f>
        <v>4598</v>
      </c>
      <c r="O1067" s="12">
        <f>N1067-M1067</f>
        <v>4253.1499999999996</v>
      </c>
      <c r="P1067" s="2" t="s">
        <v>45</v>
      </c>
      <c r="Q1067" s="2" t="s">
        <v>50</v>
      </c>
      <c r="R1067" s="2">
        <v>0</v>
      </c>
      <c r="S1067" s="20">
        <f>Table1[[#This Row],[Net_revenue]]/Table1[[#This Row],[Gross_revenue]]*100%</f>
        <v>0.92499999999999993</v>
      </c>
      <c r="T1067" s="18">
        <f>COUNTIFS(Table1[Customer ID], "&gt;1", Table1[Customer ID], 1)</f>
        <v>0</v>
      </c>
    </row>
    <row r="1068" spans="1:20" hidden="1" x14ac:dyDescent="0.3">
      <c r="A1068" s="2" t="s">
        <v>1689</v>
      </c>
      <c r="B1068" s="5">
        <v>45682</v>
      </c>
      <c r="C1068" s="5" t="str">
        <f>TEXT(B1068,"mmm")</f>
        <v>Jan</v>
      </c>
      <c r="D1068" s="2" t="s">
        <v>43</v>
      </c>
      <c r="E1068" s="2" t="s">
        <v>120</v>
      </c>
      <c r="F1068" s="2" t="str" cm="1">
        <f t="array" ref="F10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68" s="2" t="str" cm="1">
        <f t="array" ref="G10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68" s="2" t="s">
        <v>121</v>
      </c>
      <c r="I1068" s="2" t="s">
        <v>95</v>
      </c>
      <c r="J1068" s="2">
        <v>2</v>
      </c>
      <c r="K1068" s="8">
        <v>1299</v>
      </c>
      <c r="L1068" s="3">
        <v>0</v>
      </c>
      <c r="M1068" s="12">
        <f>K1068*L1068</f>
        <v>0</v>
      </c>
      <c r="N1068" s="12">
        <f>K1068*J1068</f>
        <v>2598</v>
      </c>
      <c r="O1068" s="12">
        <f>N1068-M1068</f>
        <v>2598</v>
      </c>
      <c r="P1068" s="2" t="s">
        <v>17</v>
      </c>
      <c r="Q1068" s="2" t="s">
        <v>18</v>
      </c>
      <c r="R1068" s="2">
        <v>40</v>
      </c>
      <c r="S1068" s="20">
        <f>Table1[[#This Row],[Net_revenue]]/Table1[[#This Row],[Gross_revenue]]*100%</f>
        <v>1</v>
      </c>
      <c r="T1068" s="18">
        <f>COUNTIFS(Table1[Customer ID], "&gt;1", Table1[Customer ID], 1)</f>
        <v>0</v>
      </c>
    </row>
    <row r="1069" spans="1:20" hidden="1" x14ac:dyDescent="0.3">
      <c r="A1069" s="2" t="s">
        <v>1690</v>
      </c>
      <c r="B1069" s="5">
        <v>45735</v>
      </c>
      <c r="C1069" s="5" t="str">
        <f>TEXT(B1069,"mmm")</f>
        <v>Mar</v>
      </c>
      <c r="D1069" s="2" t="s">
        <v>555</v>
      </c>
      <c r="E1069" s="2" t="s">
        <v>75</v>
      </c>
      <c r="F1069" s="2" t="str" cm="1">
        <f t="array" ref="F10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069" s="2" t="str" cm="1">
        <f t="array" ref="G10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69" s="2" t="s">
        <v>65</v>
      </c>
      <c r="I1069" s="2" t="s">
        <v>23</v>
      </c>
      <c r="J1069" s="2">
        <v>1</v>
      </c>
      <c r="K1069" s="8">
        <v>1899</v>
      </c>
      <c r="L1069" s="3">
        <v>0.05</v>
      </c>
      <c r="M1069" s="12">
        <f>K1069*L1069</f>
        <v>94.95</v>
      </c>
      <c r="N1069" s="12">
        <f>K1069*J1069</f>
        <v>1899</v>
      </c>
      <c r="O1069" s="12">
        <f>N1069-M1069</f>
        <v>1804.05</v>
      </c>
      <c r="P1069" s="2" t="s">
        <v>45</v>
      </c>
      <c r="Q1069" s="2" t="s">
        <v>18</v>
      </c>
      <c r="R1069" s="2">
        <v>80</v>
      </c>
      <c r="S1069" s="20">
        <f>Table1[[#This Row],[Net_revenue]]/Table1[[#This Row],[Gross_revenue]]*100%</f>
        <v>0.95</v>
      </c>
      <c r="T1069" s="18">
        <f>COUNTIFS(Table1[Customer ID], "&gt;1", Table1[Customer ID], 1)</f>
        <v>0</v>
      </c>
    </row>
    <row r="1070" spans="1:20" x14ac:dyDescent="0.3">
      <c r="A1070" s="2" t="s">
        <v>1691</v>
      </c>
      <c r="B1070" s="5">
        <v>46014</v>
      </c>
      <c r="C1070" s="5" t="str">
        <f>TEXT(B1070,"mmm")</f>
        <v>Dec</v>
      </c>
      <c r="D1070" s="2" t="s">
        <v>197</v>
      </c>
      <c r="E1070" s="2"/>
      <c r="F1070" s="2" t="str" cm="1">
        <f t="array" ref="F10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1070" s="2" t="str" cm="1">
        <f t="array" ref="G10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1070" s="2" t="s">
        <v>107</v>
      </c>
      <c r="I1070" s="2" t="s">
        <v>95</v>
      </c>
      <c r="J1070" s="2">
        <v>2</v>
      </c>
      <c r="K1070" s="8">
        <v>1599</v>
      </c>
      <c r="L1070" s="3">
        <v>0</v>
      </c>
      <c r="M1070" s="12">
        <f>K1070*L1070</f>
        <v>0</v>
      </c>
      <c r="N1070" s="12">
        <f>K1070*J1070</f>
        <v>3198</v>
      </c>
      <c r="O1070" s="12">
        <f>N1070-M1070</f>
        <v>3198</v>
      </c>
      <c r="P1070" s="2" t="s">
        <v>24</v>
      </c>
      <c r="Q1070" s="2" t="s">
        <v>72</v>
      </c>
      <c r="R1070" s="2">
        <v>0</v>
      </c>
      <c r="S1070" s="20">
        <f>Table1[[#This Row],[Net_revenue]]/Table1[[#This Row],[Gross_revenue]]*100%</f>
        <v>1</v>
      </c>
      <c r="T1070" s="18">
        <f>COUNTIFS(Table1[Customer ID], "&gt;1", Table1[Customer ID], 1)</f>
        <v>0</v>
      </c>
    </row>
    <row r="1071" spans="1:20" hidden="1" x14ac:dyDescent="0.3">
      <c r="A1071" s="2" t="s">
        <v>1692</v>
      </c>
      <c r="B1071" s="5">
        <v>45803</v>
      </c>
      <c r="C1071" s="5" t="str">
        <f>TEXT(B1071,"mmm")</f>
        <v>May</v>
      </c>
      <c r="D1071" s="2" t="s">
        <v>1693</v>
      </c>
      <c r="E1071" s="2" t="s">
        <v>48</v>
      </c>
      <c r="F1071" s="2" t="str" cm="1">
        <f t="array" ref="F10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71" s="2" t="str" cm="1">
        <f t="array" ref="G10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71" s="2" t="s">
        <v>41</v>
      </c>
      <c r="I1071" s="2" t="s">
        <v>16</v>
      </c>
      <c r="J1071" s="2">
        <v>1</v>
      </c>
      <c r="K1071" s="8">
        <v>2299</v>
      </c>
      <c r="L1071" s="3">
        <v>0.1</v>
      </c>
      <c r="M1071" s="12">
        <f>K1071*L1071</f>
        <v>229.9</v>
      </c>
      <c r="N1071" s="12">
        <f>K1071*J1071</f>
        <v>2299</v>
      </c>
      <c r="O1071" s="12">
        <f>N1071-M1071</f>
        <v>2069.1</v>
      </c>
      <c r="P1071" s="2" t="s">
        <v>24</v>
      </c>
      <c r="Q1071" s="2" t="s">
        <v>50</v>
      </c>
      <c r="R1071" s="2">
        <v>0</v>
      </c>
      <c r="S1071" s="20">
        <f>Table1[[#This Row],[Net_revenue]]/Table1[[#This Row],[Gross_revenue]]*100%</f>
        <v>0.89999999999999991</v>
      </c>
      <c r="T1071" s="18">
        <f>COUNTIFS(Table1[Customer ID], "&gt;1", Table1[Customer ID], 1)</f>
        <v>0</v>
      </c>
    </row>
    <row r="1072" spans="1:20" hidden="1" x14ac:dyDescent="0.3">
      <c r="A1072" s="2" t="s">
        <v>1694</v>
      </c>
      <c r="B1072" s="5">
        <v>45705</v>
      </c>
      <c r="C1072" s="5" t="str">
        <f>TEXT(B1072,"mmm")</f>
        <v>Feb</v>
      </c>
      <c r="D1072" s="2" t="s">
        <v>1695</v>
      </c>
      <c r="E1072" s="2" t="s">
        <v>120</v>
      </c>
      <c r="F1072" s="2" t="str" cm="1">
        <f t="array" ref="F10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72" s="2" t="str" cm="1">
        <f t="array" ref="G10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72" s="2" t="s">
        <v>80</v>
      </c>
      <c r="I1072" s="2" t="s">
        <v>23</v>
      </c>
      <c r="J1072" s="2">
        <v>2</v>
      </c>
      <c r="K1072" s="8">
        <v>799</v>
      </c>
      <c r="L1072" s="3">
        <v>0.15</v>
      </c>
      <c r="M1072" s="12">
        <f>K1072*L1072</f>
        <v>119.85</v>
      </c>
      <c r="N1072" s="12">
        <f>K1072*J1072</f>
        <v>1598</v>
      </c>
      <c r="O1072" s="12">
        <f>N1072-M1072</f>
        <v>1478.15</v>
      </c>
      <c r="P1072" s="2" t="s">
        <v>17</v>
      </c>
      <c r="Q1072" s="2" t="s">
        <v>18</v>
      </c>
      <c r="R1072" s="2">
        <v>0</v>
      </c>
      <c r="S1072" s="20">
        <f>Table1[[#This Row],[Net_revenue]]/Table1[[#This Row],[Gross_revenue]]*100%</f>
        <v>0.92500000000000004</v>
      </c>
      <c r="T1072" s="18">
        <f>COUNTIFS(Table1[Customer ID], "&gt;1", Table1[Customer ID], 1)</f>
        <v>0</v>
      </c>
    </row>
    <row r="1073" spans="1:20" hidden="1" x14ac:dyDescent="0.3">
      <c r="A1073" s="2" t="s">
        <v>1696</v>
      </c>
      <c r="B1073" s="5">
        <v>45977</v>
      </c>
      <c r="C1073" s="5" t="str">
        <f>TEXT(B1073,"mmm")</f>
        <v>Nov</v>
      </c>
      <c r="D1073" s="2" t="s">
        <v>82</v>
      </c>
      <c r="E1073" s="2" t="s">
        <v>48</v>
      </c>
      <c r="F1073" s="2" t="str" cm="1">
        <f t="array" ref="F10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73" s="2" t="str" cm="1">
        <f t="array" ref="G10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73" s="2" t="s">
        <v>41</v>
      </c>
      <c r="I1073" s="2" t="s">
        <v>16</v>
      </c>
      <c r="J1073" s="2">
        <v>1</v>
      </c>
      <c r="K1073" s="8">
        <v>2299</v>
      </c>
      <c r="L1073" s="3">
        <v>0.15</v>
      </c>
      <c r="M1073" s="12">
        <f>K1073*L1073</f>
        <v>344.84999999999997</v>
      </c>
      <c r="N1073" s="12">
        <f>K1073*J1073</f>
        <v>2299</v>
      </c>
      <c r="O1073" s="12">
        <f>N1073-M1073</f>
        <v>1954.15</v>
      </c>
      <c r="P1073" s="2" t="s">
        <v>24</v>
      </c>
      <c r="Q1073" s="2" t="s">
        <v>18</v>
      </c>
      <c r="R1073" s="2">
        <v>80</v>
      </c>
      <c r="S1073" s="20">
        <f>Table1[[#This Row],[Net_revenue]]/Table1[[#This Row],[Gross_revenue]]*100%</f>
        <v>0.85000000000000009</v>
      </c>
      <c r="T1073" s="18">
        <f>COUNTIFS(Table1[Customer ID], "&gt;1", Table1[Customer ID], 1)</f>
        <v>0</v>
      </c>
    </row>
    <row r="1074" spans="1:20" hidden="1" x14ac:dyDescent="0.3">
      <c r="A1074" s="2" t="s">
        <v>1697</v>
      </c>
      <c r="B1074" s="5">
        <v>45805</v>
      </c>
      <c r="C1074" s="5" t="str">
        <f>TEXT(B1074,"mmm")</f>
        <v>May</v>
      </c>
      <c r="D1074" s="2" t="s">
        <v>270</v>
      </c>
      <c r="E1074" s="2" t="s">
        <v>27</v>
      </c>
      <c r="F1074" s="2" t="str" cm="1">
        <f t="array" ref="F10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74" s="2" t="str" cm="1">
        <f t="array" ref="G10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74" s="2" t="s">
        <v>22</v>
      </c>
      <c r="I1074" s="2" t="s">
        <v>23</v>
      </c>
      <c r="J1074" s="2">
        <v>1</v>
      </c>
      <c r="K1074" s="8">
        <v>3999</v>
      </c>
      <c r="L1074" s="3">
        <v>0.2</v>
      </c>
      <c r="M1074" s="12">
        <f>K1074*L1074</f>
        <v>799.80000000000007</v>
      </c>
      <c r="N1074" s="12">
        <f>K1074*J1074</f>
        <v>3999</v>
      </c>
      <c r="O1074" s="12">
        <f>N1074-M1074</f>
        <v>3199.2</v>
      </c>
      <c r="P1074" s="2" t="s">
        <v>30</v>
      </c>
      <c r="Q1074" s="2" t="s">
        <v>18</v>
      </c>
      <c r="R1074" s="2">
        <v>80</v>
      </c>
      <c r="S1074" s="20">
        <f>Table1[[#This Row],[Net_revenue]]/Table1[[#This Row],[Gross_revenue]]*100%</f>
        <v>0.79999999999999993</v>
      </c>
      <c r="T1074" s="18">
        <f>COUNTIFS(Table1[Customer ID], "&gt;1", Table1[Customer ID], 1)</f>
        <v>0</v>
      </c>
    </row>
    <row r="1075" spans="1:20" hidden="1" x14ac:dyDescent="0.3">
      <c r="A1075" s="2" t="s">
        <v>1698</v>
      </c>
      <c r="B1075" s="5">
        <v>45981</v>
      </c>
      <c r="C1075" s="5" t="str">
        <f>TEXT(B1075,"mmm")</f>
        <v>Nov</v>
      </c>
      <c r="D1075" s="2" t="s">
        <v>1329</v>
      </c>
      <c r="E1075" s="2" t="s">
        <v>75</v>
      </c>
      <c r="F1075" s="2" t="str" cm="1">
        <f t="array" ref="F10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075" s="2" t="str" cm="1">
        <f t="array" ref="G10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75" s="2" t="s">
        <v>183</v>
      </c>
      <c r="I1075" s="2" t="s">
        <v>37</v>
      </c>
      <c r="J1075" s="2">
        <v>4</v>
      </c>
      <c r="K1075" s="8">
        <v>499</v>
      </c>
      <c r="L1075" s="3">
        <v>0.25</v>
      </c>
      <c r="M1075" s="12">
        <f>K1075*L1075</f>
        <v>124.75</v>
      </c>
      <c r="N1075" s="12">
        <f>K1075*J1075</f>
        <v>1996</v>
      </c>
      <c r="O1075" s="12">
        <f>N1075-M1075</f>
        <v>1871.25</v>
      </c>
      <c r="P1075" s="2" t="s">
        <v>30</v>
      </c>
      <c r="Q1075" s="2" t="s">
        <v>18</v>
      </c>
      <c r="R1075" s="2">
        <v>0</v>
      </c>
      <c r="S1075" s="20">
        <f>Table1[[#This Row],[Net_revenue]]/Table1[[#This Row],[Gross_revenue]]*100%</f>
        <v>0.9375</v>
      </c>
      <c r="T1075" s="18">
        <f>COUNTIFS(Table1[Customer ID], "&gt;1", Table1[Customer ID], 1)</f>
        <v>0</v>
      </c>
    </row>
    <row r="1076" spans="1:20" hidden="1" x14ac:dyDescent="0.3">
      <c r="A1076" s="2" t="s">
        <v>1699</v>
      </c>
      <c r="B1076" s="5">
        <v>45893</v>
      </c>
      <c r="C1076" s="5" t="str">
        <f>TEXT(B1076,"mmm")</f>
        <v>Aug</v>
      </c>
      <c r="D1076" s="2" t="s">
        <v>645</v>
      </c>
      <c r="E1076" s="2" t="s">
        <v>48</v>
      </c>
      <c r="F1076" s="2" t="str" cm="1">
        <f t="array" ref="F10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76" s="2" t="str" cm="1">
        <f t="array" ref="G10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76" s="2" t="s">
        <v>44</v>
      </c>
      <c r="I1076" s="2" t="s">
        <v>16</v>
      </c>
      <c r="J1076" s="2">
        <v>1</v>
      </c>
      <c r="K1076" s="8">
        <v>1599</v>
      </c>
      <c r="L1076" s="3">
        <v>0.05</v>
      </c>
      <c r="M1076" s="12">
        <f>K1076*L1076</f>
        <v>79.95</v>
      </c>
      <c r="N1076" s="12">
        <f>K1076*J1076</f>
        <v>1599</v>
      </c>
      <c r="O1076" s="12">
        <f>N1076-M1076</f>
        <v>1519.05</v>
      </c>
      <c r="P1076" s="2" t="s">
        <v>17</v>
      </c>
      <c r="Q1076" s="2" t="s">
        <v>18</v>
      </c>
      <c r="R1076" s="2">
        <v>40</v>
      </c>
      <c r="S1076" s="20">
        <f>Table1[[#This Row],[Net_revenue]]/Table1[[#This Row],[Gross_revenue]]*100%</f>
        <v>0.95</v>
      </c>
      <c r="T1076" s="18">
        <f>COUNTIFS(Table1[Customer ID], "&gt;1", Table1[Customer ID], 1)</f>
        <v>0</v>
      </c>
    </row>
    <row r="1077" spans="1:20" hidden="1" x14ac:dyDescent="0.3">
      <c r="A1077" s="2" t="s">
        <v>1700</v>
      </c>
      <c r="B1077" s="5">
        <v>45850</v>
      </c>
      <c r="C1077" s="5" t="str">
        <f>TEXT(B1077,"mmm")</f>
        <v>Jul</v>
      </c>
      <c r="D1077" s="2" t="s">
        <v>1095</v>
      </c>
      <c r="E1077" s="2" t="s">
        <v>195</v>
      </c>
      <c r="F1077" s="2" t="str" cm="1">
        <f t="array" ref="F10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077" s="2" t="str" cm="1">
        <f t="array" ref="G10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77" s="2" t="s">
        <v>80</v>
      </c>
      <c r="I1077" s="2" t="s">
        <v>23</v>
      </c>
      <c r="J1077" s="2">
        <v>2</v>
      </c>
      <c r="K1077" s="8">
        <v>799</v>
      </c>
      <c r="L1077" s="3">
        <v>0</v>
      </c>
      <c r="M1077" s="12">
        <f>K1077*L1077</f>
        <v>0</v>
      </c>
      <c r="N1077" s="12">
        <f>K1077*J1077</f>
        <v>1598</v>
      </c>
      <c r="O1077" s="12">
        <f>N1077-M1077</f>
        <v>1598</v>
      </c>
      <c r="P1077" s="2" t="s">
        <v>17</v>
      </c>
      <c r="Q1077" s="2" t="s">
        <v>18</v>
      </c>
      <c r="R1077" s="2">
        <v>40</v>
      </c>
      <c r="S1077" s="20">
        <f>Table1[[#This Row],[Net_revenue]]/Table1[[#This Row],[Gross_revenue]]*100%</f>
        <v>1</v>
      </c>
      <c r="T1077" s="18">
        <f>COUNTIFS(Table1[Customer ID], "&gt;1", Table1[Customer ID], 1)</f>
        <v>0</v>
      </c>
    </row>
    <row r="1078" spans="1:20" hidden="1" x14ac:dyDescent="0.3">
      <c r="A1078" s="2" t="s">
        <v>1701</v>
      </c>
      <c r="B1078" s="5">
        <v>45762</v>
      </c>
      <c r="C1078" s="5" t="str">
        <f>TEXT(B1078,"mmm")</f>
        <v>Apr</v>
      </c>
      <c r="D1078" s="2" t="s">
        <v>79</v>
      </c>
      <c r="E1078" s="2" t="s">
        <v>40</v>
      </c>
      <c r="F1078" s="2" t="str" cm="1">
        <f t="array" ref="F10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78" s="2" t="str" cm="1">
        <f t="array" ref="G10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78" s="2" t="s">
        <v>65</v>
      </c>
      <c r="I1078" s="2" t="s">
        <v>23</v>
      </c>
      <c r="J1078" s="2">
        <v>1</v>
      </c>
      <c r="K1078" s="8">
        <v>1899</v>
      </c>
      <c r="L1078" s="3">
        <v>0</v>
      </c>
      <c r="M1078" s="12">
        <f>K1078*L1078</f>
        <v>0</v>
      </c>
      <c r="N1078" s="12">
        <f>K1078*J1078</f>
        <v>1899</v>
      </c>
      <c r="O1078" s="12">
        <f>N1078-M1078</f>
        <v>1899</v>
      </c>
      <c r="P1078" s="2" t="s">
        <v>17</v>
      </c>
      <c r="Q1078" s="2" t="s">
        <v>50</v>
      </c>
      <c r="R1078" s="2">
        <v>60</v>
      </c>
      <c r="S1078" s="20">
        <f>Table1[[#This Row],[Net_revenue]]/Table1[[#This Row],[Gross_revenue]]*100%</f>
        <v>1</v>
      </c>
      <c r="T1078" s="18">
        <f>COUNTIFS(Table1[Customer ID], "&gt;1", Table1[Customer ID], 1)</f>
        <v>0</v>
      </c>
    </row>
    <row r="1079" spans="1:20" hidden="1" x14ac:dyDescent="0.3">
      <c r="A1079" s="2" t="s">
        <v>1702</v>
      </c>
      <c r="B1079" s="5">
        <v>45915</v>
      </c>
      <c r="C1079" s="5" t="str">
        <f>TEXT(B1079,"mmm")</f>
        <v>Sep</v>
      </c>
      <c r="D1079" s="2" t="s">
        <v>1257</v>
      </c>
      <c r="E1079" s="2" t="s">
        <v>14</v>
      </c>
      <c r="F1079" s="2" t="str" cm="1">
        <f t="array" ref="F10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79" s="2" t="str" cm="1">
        <f t="array" ref="G10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79" s="2" t="s">
        <v>188</v>
      </c>
      <c r="I1079" s="2" t="s">
        <v>95</v>
      </c>
      <c r="J1079" s="2">
        <v>1</v>
      </c>
      <c r="K1079" s="8">
        <v>699</v>
      </c>
      <c r="L1079" s="3">
        <v>0</v>
      </c>
      <c r="M1079" s="12">
        <f>K1079*L1079</f>
        <v>0</v>
      </c>
      <c r="N1079" s="12">
        <f>K1079*J1079</f>
        <v>699</v>
      </c>
      <c r="O1079" s="12">
        <f>N1079-M1079</f>
        <v>699</v>
      </c>
      <c r="P1079" s="2" t="s">
        <v>45</v>
      </c>
      <c r="Q1079" s="2" t="s">
        <v>18</v>
      </c>
      <c r="R1079" s="2">
        <v>40</v>
      </c>
      <c r="S1079" s="20">
        <f>Table1[[#This Row],[Net_revenue]]/Table1[[#This Row],[Gross_revenue]]*100%</f>
        <v>1</v>
      </c>
      <c r="T1079" s="18">
        <f>COUNTIFS(Table1[Customer ID], "&gt;1", Table1[Customer ID], 1)</f>
        <v>0</v>
      </c>
    </row>
    <row r="1080" spans="1:20" hidden="1" x14ac:dyDescent="0.3">
      <c r="A1080" s="2" t="s">
        <v>1703</v>
      </c>
      <c r="B1080" s="5">
        <v>45965</v>
      </c>
      <c r="C1080" s="5" t="str">
        <f>TEXT(B1080,"mmm")</f>
        <v>Nov</v>
      </c>
      <c r="D1080" s="2" t="s">
        <v>239</v>
      </c>
      <c r="E1080" s="2" t="s">
        <v>120</v>
      </c>
      <c r="F1080" s="2" t="str" cm="1">
        <f t="array" ref="F10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80" s="2" t="str" cm="1">
        <f t="array" ref="G10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80" s="2" t="s">
        <v>117</v>
      </c>
      <c r="I1080" s="2" t="s">
        <v>23</v>
      </c>
      <c r="J1080" s="2">
        <v>2</v>
      </c>
      <c r="K1080" s="8">
        <v>2199</v>
      </c>
      <c r="L1080" s="3">
        <v>0.25</v>
      </c>
      <c r="M1080" s="12">
        <f>K1080*L1080</f>
        <v>549.75</v>
      </c>
      <c r="N1080" s="12">
        <f>K1080*J1080</f>
        <v>4398</v>
      </c>
      <c r="O1080" s="12">
        <f>N1080-M1080</f>
        <v>3848.25</v>
      </c>
      <c r="P1080" s="2" t="s">
        <v>30</v>
      </c>
      <c r="Q1080" s="2" t="s">
        <v>18</v>
      </c>
      <c r="R1080" s="2">
        <v>0</v>
      </c>
      <c r="S1080" s="20">
        <f>Table1[[#This Row],[Net_revenue]]/Table1[[#This Row],[Gross_revenue]]*100%</f>
        <v>0.875</v>
      </c>
      <c r="T1080" s="18">
        <f>COUNTIFS(Table1[Customer ID], "&gt;1", Table1[Customer ID], 1)</f>
        <v>0</v>
      </c>
    </row>
    <row r="1081" spans="1:20" hidden="1" x14ac:dyDescent="0.3">
      <c r="A1081" s="2" t="s">
        <v>1704</v>
      </c>
      <c r="B1081" s="5">
        <v>45778</v>
      </c>
      <c r="C1081" s="5" t="str">
        <f>TEXT(B1081,"mmm")</f>
        <v>May</v>
      </c>
      <c r="D1081" s="2" t="s">
        <v>1389</v>
      </c>
      <c r="E1081" s="2" t="s">
        <v>14</v>
      </c>
      <c r="F1081" s="2" t="str" cm="1">
        <f t="array" ref="F10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081" s="2" t="str" cm="1">
        <f t="array" ref="G10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081" s="2" t="s">
        <v>121</v>
      </c>
      <c r="I1081" s="2" t="s">
        <v>95</v>
      </c>
      <c r="J1081" s="2">
        <v>1</v>
      </c>
      <c r="K1081" s="8">
        <v>1299</v>
      </c>
      <c r="L1081" s="3">
        <v>0.1</v>
      </c>
      <c r="M1081" s="12">
        <f>K1081*L1081</f>
        <v>129.9</v>
      </c>
      <c r="N1081" s="12">
        <f>K1081*J1081</f>
        <v>1299</v>
      </c>
      <c r="O1081" s="12">
        <f>N1081-M1081</f>
        <v>1169.0999999999999</v>
      </c>
      <c r="P1081" s="2" t="s">
        <v>24</v>
      </c>
      <c r="Q1081" s="2" t="s">
        <v>18</v>
      </c>
      <c r="R1081" s="2">
        <v>80</v>
      </c>
      <c r="S1081" s="20">
        <f>Table1[[#This Row],[Net_revenue]]/Table1[[#This Row],[Gross_revenue]]*100%</f>
        <v>0.89999999999999991</v>
      </c>
      <c r="T1081" s="18">
        <f>COUNTIFS(Table1[Customer ID], "&gt;1", Table1[Customer ID], 1)</f>
        <v>0</v>
      </c>
    </row>
    <row r="1082" spans="1:20" hidden="1" x14ac:dyDescent="0.3">
      <c r="A1082" s="2" t="s">
        <v>1705</v>
      </c>
      <c r="B1082" s="5">
        <v>45962</v>
      </c>
      <c r="C1082" s="5" t="str">
        <f>TEXT(B1082,"mmm")</f>
        <v>Nov</v>
      </c>
      <c r="D1082" s="2" t="s">
        <v>645</v>
      </c>
      <c r="E1082" s="2" t="s">
        <v>21</v>
      </c>
      <c r="F1082" s="2" t="str" cm="1">
        <f t="array" ref="F10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82" s="2" t="str" cm="1">
        <f t="array" ref="G10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82" s="2" t="s">
        <v>49</v>
      </c>
      <c r="I1082" s="2" t="s">
        <v>23</v>
      </c>
      <c r="J1082" s="2">
        <v>1</v>
      </c>
      <c r="K1082" s="8">
        <v>1299</v>
      </c>
      <c r="L1082" s="3">
        <v>0.15</v>
      </c>
      <c r="M1082" s="12">
        <f>K1082*L1082</f>
        <v>194.85</v>
      </c>
      <c r="N1082" s="12">
        <f>K1082*J1082</f>
        <v>1299</v>
      </c>
      <c r="O1082" s="12">
        <f>N1082-M1082</f>
        <v>1104.1500000000001</v>
      </c>
      <c r="P1082" s="2" t="s">
        <v>17</v>
      </c>
      <c r="Q1082" s="2" t="s">
        <v>18</v>
      </c>
      <c r="R1082" s="2">
        <v>0</v>
      </c>
      <c r="S1082" s="20">
        <f>Table1[[#This Row],[Net_revenue]]/Table1[[#This Row],[Gross_revenue]]*100%</f>
        <v>0.85000000000000009</v>
      </c>
      <c r="T1082" s="18">
        <f>COUNTIFS(Table1[Customer ID], "&gt;1", Table1[Customer ID], 1)</f>
        <v>0</v>
      </c>
    </row>
    <row r="1083" spans="1:20" hidden="1" x14ac:dyDescent="0.3">
      <c r="A1083" s="2" t="s">
        <v>1706</v>
      </c>
      <c r="B1083" s="5">
        <v>45922</v>
      </c>
      <c r="C1083" s="5" t="str">
        <f>TEXT(B1083,"mmm")</f>
        <v>Sep</v>
      </c>
      <c r="D1083" s="2" t="s">
        <v>1707</v>
      </c>
      <c r="E1083" s="2" t="s">
        <v>40</v>
      </c>
      <c r="F1083" s="2" t="str" cm="1">
        <f t="array" ref="F10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083" s="2" t="str" cm="1">
        <f t="array" ref="G10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083" s="2" t="s">
        <v>117</v>
      </c>
      <c r="I1083" s="2" t="s">
        <v>23</v>
      </c>
      <c r="J1083" s="2">
        <v>1</v>
      </c>
      <c r="K1083" s="8">
        <v>2199</v>
      </c>
      <c r="L1083" s="3">
        <v>0.25</v>
      </c>
      <c r="M1083" s="12">
        <f>K1083*L1083</f>
        <v>549.75</v>
      </c>
      <c r="N1083" s="12">
        <f>K1083*J1083</f>
        <v>2199</v>
      </c>
      <c r="O1083" s="12">
        <f>N1083-M1083</f>
        <v>1649.25</v>
      </c>
      <c r="P1083" s="2" t="s">
        <v>45</v>
      </c>
      <c r="Q1083" s="2" t="s">
        <v>18</v>
      </c>
      <c r="R1083" s="2">
        <v>80</v>
      </c>
      <c r="S1083" s="20">
        <f>Table1[[#This Row],[Net_revenue]]/Table1[[#This Row],[Gross_revenue]]*100%</f>
        <v>0.75</v>
      </c>
      <c r="T1083" s="18">
        <f>COUNTIFS(Table1[Customer ID], "&gt;1", Table1[Customer ID], 1)</f>
        <v>0</v>
      </c>
    </row>
    <row r="1084" spans="1:20" hidden="1" x14ac:dyDescent="0.3">
      <c r="A1084" s="2" t="s">
        <v>1708</v>
      </c>
      <c r="B1084" s="5">
        <v>45826</v>
      </c>
      <c r="C1084" s="5" t="str">
        <f>TEXT(B1084,"mmm")</f>
        <v>Jun</v>
      </c>
      <c r="D1084" s="2" t="s">
        <v>717</v>
      </c>
      <c r="E1084" s="2" t="s">
        <v>195</v>
      </c>
      <c r="F1084" s="2" t="str" cm="1">
        <f t="array" ref="F10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084" s="2" t="str" cm="1">
        <f t="array" ref="G10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84" s="2" t="s">
        <v>49</v>
      </c>
      <c r="I1084" s="2" t="s">
        <v>23</v>
      </c>
      <c r="J1084" s="2">
        <v>2</v>
      </c>
      <c r="K1084" s="8">
        <v>1299</v>
      </c>
      <c r="L1084" s="3">
        <v>0</v>
      </c>
      <c r="M1084" s="12">
        <f>K1084*L1084</f>
        <v>0</v>
      </c>
      <c r="N1084" s="12">
        <f>K1084*J1084</f>
        <v>2598</v>
      </c>
      <c r="O1084" s="12">
        <f>N1084-M1084</f>
        <v>2598</v>
      </c>
      <c r="P1084" s="2" t="s">
        <v>45</v>
      </c>
      <c r="Q1084" s="2" t="s">
        <v>50</v>
      </c>
      <c r="R1084" s="2">
        <v>40</v>
      </c>
      <c r="S1084" s="20">
        <f>Table1[[#This Row],[Net_revenue]]/Table1[[#This Row],[Gross_revenue]]*100%</f>
        <v>1</v>
      </c>
      <c r="T1084" s="18">
        <f>COUNTIFS(Table1[Customer ID], "&gt;1", Table1[Customer ID], 1)</f>
        <v>0</v>
      </c>
    </row>
    <row r="1085" spans="1:20" hidden="1" x14ac:dyDescent="0.3">
      <c r="A1085" s="2" t="s">
        <v>1709</v>
      </c>
      <c r="B1085" s="5">
        <v>45831</v>
      </c>
      <c r="C1085" s="5" t="str">
        <f>TEXT(B1085,"mmm")</f>
        <v>Jun</v>
      </c>
      <c r="D1085" s="2" t="s">
        <v>768</v>
      </c>
      <c r="E1085" s="2" t="s">
        <v>56</v>
      </c>
      <c r="F1085" s="2" t="str" cm="1">
        <f t="array" ref="F10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85" s="2" t="str" cm="1">
        <f t="array" ref="G10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85" s="2" t="s">
        <v>44</v>
      </c>
      <c r="I1085" s="2" t="s">
        <v>16</v>
      </c>
      <c r="J1085" s="2">
        <v>1</v>
      </c>
      <c r="K1085" s="8">
        <v>1599</v>
      </c>
      <c r="L1085" s="3">
        <v>0.2</v>
      </c>
      <c r="M1085" s="12">
        <f>K1085*L1085</f>
        <v>319.8</v>
      </c>
      <c r="N1085" s="12">
        <f>K1085*J1085</f>
        <v>1599</v>
      </c>
      <c r="O1085" s="12">
        <f>N1085-M1085</f>
        <v>1279.2</v>
      </c>
      <c r="P1085" s="2" t="s">
        <v>17</v>
      </c>
      <c r="Q1085" s="2" t="s">
        <v>72</v>
      </c>
      <c r="R1085" s="2">
        <v>40</v>
      </c>
      <c r="S1085" s="20">
        <f>Table1[[#This Row],[Net_revenue]]/Table1[[#This Row],[Gross_revenue]]*100%</f>
        <v>0.8</v>
      </c>
      <c r="T1085" s="18">
        <f>COUNTIFS(Table1[Customer ID], "&gt;1", Table1[Customer ID], 1)</f>
        <v>0</v>
      </c>
    </row>
    <row r="1086" spans="1:20" hidden="1" x14ac:dyDescent="0.3">
      <c r="A1086" s="2" t="s">
        <v>1710</v>
      </c>
      <c r="B1086" s="5">
        <v>45783</v>
      </c>
      <c r="C1086" s="5" t="str">
        <f>TEXT(B1086,"mmm")</f>
        <v>May</v>
      </c>
      <c r="D1086" s="2" t="s">
        <v>1615</v>
      </c>
      <c r="E1086" s="2" t="s">
        <v>48</v>
      </c>
      <c r="F1086" s="2" t="str" cm="1">
        <f t="array" ref="F10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86" s="2" t="str" cm="1">
        <f t="array" ref="G10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86" s="2" t="s">
        <v>15</v>
      </c>
      <c r="I1086" s="2" t="s">
        <v>16</v>
      </c>
      <c r="J1086" s="2">
        <v>2</v>
      </c>
      <c r="K1086" s="8">
        <v>1799</v>
      </c>
      <c r="L1086" s="3">
        <v>0.15</v>
      </c>
      <c r="M1086" s="12">
        <f>K1086*L1086</f>
        <v>269.84999999999997</v>
      </c>
      <c r="N1086" s="12">
        <f>K1086*J1086</f>
        <v>3598</v>
      </c>
      <c r="O1086" s="12">
        <f>N1086-M1086</f>
        <v>3328.15</v>
      </c>
      <c r="P1086" s="2" t="s">
        <v>45</v>
      </c>
      <c r="Q1086" s="2" t="s">
        <v>18</v>
      </c>
      <c r="R1086" s="2">
        <v>60</v>
      </c>
      <c r="S1086" s="20">
        <f>Table1[[#This Row],[Net_revenue]]/Table1[[#This Row],[Gross_revenue]]*100%</f>
        <v>0.92500000000000004</v>
      </c>
      <c r="T1086" s="18">
        <f>COUNTIFS(Table1[Customer ID], "&gt;1", Table1[Customer ID], 1)</f>
        <v>0</v>
      </c>
    </row>
    <row r="1087" spans="1:20" hidden="1" x14ac:dyDescent="0.3">
      <c r="A1087" s="2" t="s">
        <v>1711</v>
      </c>
      <c r="B1087" s="5">
        <v>45722</v>
      </c>
      <c r="C1087" s="5" t="str">
        <f>TEXT(B1087,"mmm")</f>
        <v>Mar</v>
      </c>
      <c r="D1087" s="2" t="s">
        <v>562</v>
      </c>
      <c r="E1087" s="2" t="s">
        <v>120</v>
      </c>
      <c r="F1087" s="2" t="str" cm="1">
        <f t="array" ref="F10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87" s="2" t="str" cm="1">
        <f t="array" ref="G10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87" s="2" t="s">
        <v>41</v>
      </c>
      <c r="I1087" s="2" t="s">
        <v>16</v>
      </c>
      <c r="J1087" s="2">
        <v>2</v>
      </c>
      <c r="K1087" s="8">
        <v>2299</v>
      </c>
      <c r="L1087" s="3">
        <v>0.05</v>
      </c>
      <c r="M1087" s="12">
        <f>K1087*L1087</f>
        <v>114.95</v>
      </c>
      <c r="N1087" s="12">
        <f>K1087*J1087</f>
        <v>4598</v>
      </c>
      <c r="O1087" s="12">
        <f>N1087-M1087</f>
        <v>4483.05</v>
      </c>
      <c r="P1087" s="2" t="s">
        <v>45</v>
      </c>
      <c r="Q1087" s="2" t="s">
        <v>18</v>
      </c>
      <c r="R1087" s="2">
        <v>60</v>
      </c>
      <c r="S1087" s="20">
        <f>Table1[[#This Row],[Net_revenue]]/Table1[[#This Row],[Gross_revenue]]*100%</f>
        <v>0.97500000000000009</v>
      </c>
      <c r="T1087" s="18">
        <f>COUNTIFS(Table1[Customer ID], "&gt;1", Table1[Customer ID], 1)</f>
        <v>0</v>
      </c>
    </row>
    <row r="1088" spans="1:20" hidden="1" x14ac:dyDescent="0.3">
      <c r="A1088" s="2" t="s">
        <v>1712</v>
      </c>
      <c r="B1088" s="5">
        <v>45784</v>
      </c>
      <c r="C1088" s="5" t="str">
        <f>TEXT(B1088,"mmm")</f>
        <v>May</v>
      </c>
      <c r="D1088" s="2" t="s">
        <v>1387</v>
      </c>
      <c r="E1088" s="2" t="s">
        <v>48</v>
      </c>
      <c r="F1088" s="2" t="str" cm="1">
        <f t="array" ref="F10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88" s="2" t="str" cm="1">
        <f t="array" ref="G10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88" s="2" t="s">
        <v>44</v>
      </c>
      <c r="I1088" s="2" t="s">
        <v>16</v>
      </c>
      <c r="J1088" s="2">
        <v>3</v>
      </c>
      <c r="K1088" s="8">
        <v>1599</v>
      </c>
      <c r="L1088" s="3">
        <v>0.1</v>
      </c>
      <c r="M1088" s="12">
        <f>K1088*L1088</f>
        <v>159.9</v>
      </c>
      <c r="N1088" s="12">
        <f>K1088*J1088</f>
        <v>4797</v>
      </c>
      <c r="O1088" s="12">
        <f>N1088-M1088</f>
        <v>4637.1000000000004</v>
      </c>
      <c r="P1088" s="2" t="s">
        <v>30</v>
      </c>
      <c r="Q1088" s="2" t="s">
        <v>18</v>
      </c>
      <c r="R1088" s="2">
        <v>80</v>
      </c>
      <c r="S1088" s="20">
        <f>Table1[[#This Row],[Net_revenue]]/Table1[[#This Row],[Gross_revenue]]*100%</f>
        <v>0.96666666666666679</v>
      </c>
      <c r="T1088" s="18">
        <f>COUNTIFS(Table1[Customer ID], "&gt;1", Table1[Customer ID], 1)</f>
        <v>0</v>
      </c>
    </row>
    <row r="1089" spans="1:20" hidden="1" x14ac:dyDescent="0.3">
      <c r="A1089" s="2" t="s">
        <v>1713</v>
      </c>
      <c r="B1089" s="5">
        <v>45848</v>
      </c>
      <c r="C1089" s="5" t="str">
        <f>TEXT(B1089,"mmm")</f>
        <v>Jul</v>
      </c>
      <c r="D1089" s="2" t="s">
        <v>142</v>
      </c>
      <c r="E1089" s="2" t="s">
        <v>27</v>
      </c>
      <c r="F1089" s="2" t="str" cm="1">
        <f t="array" ref="F10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89" s="2" t="str" cm="1">
        <f t="array" ref="G10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89" s="2" t="s">
        <v>49</v>
      </c>
      <c r="I1089" s="2" t="s">
        <v>23</v>
      </c>
      <c r="J1089" s="2">
        <v>2</v>
      </c>
      <c r="K1089" s="8">
        <v>1299</v>
      </c>
      <c r="L1089" s="3">
        <v>0.05</v>
      </c>
      <c r="M1089" s="12">
        <f>K1089*L1089</f>
        <v>64.95</v>
      </c>
      <c r="N1089" s="12">
        <f>K1089*J1089</f>
        <v>2598</v>
      </c>
      <c r="O1089" s="12">
        <f>N1089-M1089</f>
        <v>2533.0500000000002</v>
      </c>
      <c r="P1089" s="2" t="s">
        <v>30</v>
      </c>
      <c r="Q1089" s="2" t="s">
        <v>18</v>
      </c>
      <c r="R1089" s="2">
        <v>80</v>
      </c>
      <c r="S1089" s="20">
        <f>Table1[[#This Row],[Net_revenue]]/Table1[[#This Row],[Gross_revenue]]*100%</f>
        <v>0.97500000000000009</v>
      </c>
      <c r="T1089" s="18">
        <f>COUNTIFS(Table1[Customer ID], "&gt;1", Table1[Customer ID], 1)</f>
        <v>0</v>
      </c>
    </row>
    <row r="1090" spans="1:20" hidden="1" x14ac:dyDescent="0.3">
      <c r="A1090" s="2" t="s">
        <v>1714</v>
      </c>
      <c r="B1090" s="5">
        <v>45927</v>
      </c>
      <c r="C1090" s="5" t="str">
        <f>TEXT(B1090,"mmm")</f>
        <v>Sep</v>
      </c>
      <c r="D1090" s="2" t="s">
        <v>170</v>
      </c>
      <c r="E1090" s="2" t="s">
        <v>48</v>
      </c>
      <c r="F1090" s="2" t="str" cm="1">
        <f t="array" ref="F10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90" s="2" t="str" cm="1">
        <f t="array" ref="G10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0" s="2" t="s">
        <v>71</v>
      </c>
      <c r="I1090" s="2" t="s">
        <v>29</v>
      </c>
      <c r="J1090" s="2">
        <v>1</v>
      </c>
      <c r="K1090" s="8">
        <v>5499</v>
      </c>
      <c r="L1090" s="3">
        <v>0.2</v>
      </c>
      <c r="M1090" s="12">
        <f>K1090*L1090</f>
        <v>1099.8</v>
      </c>
      <c r="N1090" s="12">
        <f>K1090*J1090</f>
        <v>5499</v>
      </c>
      <c r="O1090" s="12">
        <f>N1090-M1090</f>
        <v>4399.2</v>
      </c>
      <c r="P1090" s="2" t="s">
        <v>30</v>
      </c>
      <c r="Q1090" s="2" t="s">
        <v>50</v>
      </c>
      <c r="R1090" s="2">
        <v>0</v>
      </c>
      <c r="S1090" s="20">
        <f>Table1[[#This Row],[Net_revenue]]/Table1[[#This Row],[Gross_revenue]]*100%</f>
        <v>0.79999999999999993</v>
      </c>
      <c r="T1090" s="18">
        <f>COUNTIFS(Table1[Customer ID], "&gt;1", Table1[Customer ID], 1)</f>
        <v>0</v>
      </c>
    </row>
    <row r="1091" spans="1:20" hidden="1" x14ac:dyDescent="0.3">
      <c r="A1091" s="2" t="s">
        <v>1715</v>
      </c>
      <c r="B1091" s="5">
        <v>45730</v>
      </c>
      <c r="C1091" s="5" t="str">
        <f>TEXT(B1091,"mmm")</f>
        <v>Mar</v>
      </c>
      <c r="D1091" s="2" t="s">
        <v>902</v>
      </c>
      <c r="E1091" s="2" t="s">
        <v>56</v>
      </c>
      <c r="F1091" s="2" t="str" cm="1">
        <f t="array" ref="F10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91" s="2" t="str" cm="1">
        <f t="array" ref="G10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1" s="2" t="s">
        <v>44</v>
      </c>
      <c r="I1091" s="2" t="s">
        <v>16</v>
      </c>
      <c r="J1091" s="2">
        <v>1</v>
      </c>
      <c r="K1091" s="8">
        <v>1599</v>
      </c>
      <c r="L1091" s="3">
        <v>0.25</v>
      </c>
      <c r="M1091" s="12">
        <f>K1091*L1091</f>
        <v>399.75</v>
      </c>
      <c r="N1091" s="12">
        <f>K1091*J1091</f>
        <v>1599</v>
      </c>
      <c r="O1091" s="12">
        <f>N1091-M1091</f>
        <v>1199.25</v>
      </c>
      <c r="P1091" s="2" t="s">
        <v>45</v>
      </c>
      <c r="Q1091" s="2" t="s">
        <v>18</v>
      </c>
      <c r="R1091" s="2">
        <v>40</v>
      </c>
      <c r="S1091" s="20">
        <f>Table1[[#This Row],[Net_revenue]]/Table1[[#This Row],[Gross_revenue]]*100%</f>
        <v>0.75</v>
      </c>
      <c r="T1091" s="18">
        <f>COUNTIFS(Table1[Customer ID], "&gt;1", Table1[Customer ID], 1)</f>
        <v>0</v>
      </c>
    </row>
    <row r="1092" spans="1:20" hidden="1" x14ac:dyDescent="0.3">
      <c r="A1092" s="2" t="s">
        <v>1716</v>
      </c>
      <c r="B1092" s="5">
        <v>45910</v>
      </c>
      <c r="C1092" s="5" t="str">
        <f>TEXT(B1092,"mmm")</f>
        <v>Sep</v>
      </c>
      <c r="D1092" s="2" t="s">
        <v>383</v>
      </c>
      <c r="E1092" s="2" t="s">
        <v>120</v>
      </c>
      <c r="F1092" s="2" t="str" cm="1">
        <f t="array" ref="F10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92" s="2" t="str" cm="1">
        <f t="array" ref="G10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92" s="2" t="s">
        <v>71</v>
      </c>
      <c r="I1092" s="2" t="s">
        <v>29</v>
      </c>
      <c r="J1092" s="2">
        <v>1</v>
      </c>
      <c r="K1092" s="8">
        <v>5499</v>
      </c>
      <c r="L1092" s="3">
        <v>0.25</v>
      </c>
      <c r="M1092" s="12">
        <f>K1092*L1092</f>
        <v>1374.75</v>
      </c>
      <c r="N1092" s="12">
        <f>K1092*J1092</f>
        <v>5499</v>
      </c>
      <c r="O1092" s="12">
        <f>N1092-M1092</f>
        <v>4124.25</v>
      </c>
      <c r="P1092" s="2" t="s">
        <v>45</v>
      </c>
      <c r="Q1092" s="2" t="s">
        <v>18</v>
      </c>
      <c r="R1092" s="2">
        <v>40</v>
      </c>
      <c r="S1092" s="20">
        <f>Table1[[#This Row],[Net_revenue]]/Table1[[#This Row],[Gross_revenue]]*100%</f>
        <v>0.75</v>
      </c>
      <c r="T1092" s="18">
        <f>COUNTIFS(Table1[Customer ID], "&gt;1", Table1[Customer ID], 1)</f>
        <v>0</v>
      </c>
    </row>
    <row r="1093" spans="1:20" hidden="1" x14ac:dyDescent="0.3">
      <c r="A1093" s="2" t="s">
        <v>1717</v>
      </c>
      <c r="B1093" s="5">
        <v>45981</v>
      </c>
      <c r="C1093" s="5" t="str">
        <f>TEXT(B1093,"mmm")</f>
        <v>Nov</v>
      </c>
      <c r="D1093" s="2" t="s">
        <v>697</v>
      </c>
      <c r="E1093" s="2" t="s">
        <v>48</v>
      </c>
      <c r="F1093" s="2" t="str" cm="1">
        <f t="array" ref="F10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93" s="2" t="str" cm="1">
        <f t="array" ref="G10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3" s="2" t="s">
        <v>65</v>
      </c>
      <c r="I1093" s="2" t="s">
        <v>23</v>
      </c>
      <c r="J1093" s="2">
        <v>2</v>
      </c>
      <c r="K1093" s="8">
        <v>1899</v>
      </c>
      <c r="L1093" s="3">
        <v>0.2</v>
      </c>
      <c r="M1093" s="12">
        <f>K1093*L1093</f>
        <v>379.8</v>
      </c>
      <c r="N1093" s="12">
        <f>K1093*J1093</f>
        <v>3798</v>
      </c>
      <c r="O1093" s="12">
        <f>N1093-M1093</f>
        <v>3418.2</v>
      </c>
      <c r="P1093" s="2" t="s">
        <v>30</v>
      </c>
      <c r="Q1093" s="2" t="s">
        <v>18</v>
      </c>
      <c r="R1093" s="2">
        <v>80</v>
      </c>
      <c r="S1093" s="20">
        <f>Table1[[#This Row],[Net_revenue]]/Table1[[#This Row],[Gross_revenue]]*100%</f>
        <v>0.89999999999999991</v>
      </c>
      <c r="T1093" s="18">
        <f>COUNTIFS(Table1[Customer ID], "&gt;1", Table1[Customer ID], 1)</f>
        <v>0</v>
      </c>
    </row>
    <row r="1094" spans="1:20" hidden="1" x14ac:dyDescent="0.3">
      <c r="A1094" s="2" t="s">
        <v>1718</v>
      </c>
      <c r="B1094" s="5">
        <v>45810</v>
      </c>
      <c r="C1094" s="5" t="str">
        <f>TEXT(B1094,"mmm")</f>
        <v>Jun</v>
      </c>
      <c r="D1094" s="2" t="s">
        <v>1433</v>
      </c>
      <c r="E1094" s="2" t="s">
        <v>48</v>
      </c>
      <c r="F1094" s="2" t="str" cm="1">
        <f t="array" ref="F10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094" s="2" t="str" cm="1">
        <f t="array" ref="G10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4" s="2" t="s">
        <v>63</v>
      </c>
      <c r="I1094" s="2" t="s">
        <v>23</v>
      </c>
      <c r="J1094" s="2">
        <v>1</v>
      </c>
      <c r="K1094" s="8">
        <v>2499</v>
      </c>
      <c r="L1094" s="3">
        <v>0.15</v>
      </c>
      <c r="M1094" s="12">
        <f>K1094*L1094</f>
        <v>374.84999999999997</v>
      </c>
      <c r="N1094" s="12">
        <f>K1094*J1094</f>
        <v>2499</v>
      </c>
      <c r="O1094" s="12">
        <f>N1094-M1094</f>
        <v>2124.15</v>
      </c>
      <c r="P1094" s="2" t="s">
        <v>45</v>
      </c>
      <c r="Q1094" s="2" t="s">
        <v>18</v>
      </c>
      <c r="R1094" s="2">
        <v>0</v>
      </c>
      <c r="S1094" s="20">
        <f>Table1[[#This Row],[Net_revenue]]/Table1[[#This Row],[Gross_revenue]]*100%</f>
        <v>0.85000000000000009</v>
      </c>
      <c r="T1094" s="18">
        <f>COUNTIFS(Table1[Customer ID], "&gt;1", Table1[Customer ID], 1)</f>
        <v>0</v>
      </c>
    </row>
    <row r="1095" spans="1:20" hidden="1" x14ac:dyDescent="0.3">
      <c r="A1095" s="2" t="s">
        <v>1719</v>
      </c>
      <c r="B1095" s="5">
        <v>45667</v>
      </c>
      <c r="C1095" s="5" t="str">
        <f>TEXT(B1095,"mmm")</f>
        <v>Jan</v>
      </c>
      <c r="D1095" s="2" t="s">
        <v>957</v>
      </c>
      <c r="E1095" s="2" t="s">
        <v>56</v>
      </c>
      <c r="F1095" s="2" t="str" cm="1">
        <f t="array" ref="F10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95" s="2" t="str" cm="1">
        <f t="array" ref="G10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5" s="2" t="s">
        <v>80</v>
      </c>
      <c r="I1095" s="2" t="s">
        <v>23</v>
      </c>
      <c r="J1095" s="2">
        <v>1</v>
      </c>
      <c r="K1095" s="8">
        <v>799</v>
      </c>
      <c r="L1095" s="3">
        <v>0.2</v>
      </c>
      <c r="M1095" s="12">
        <f>K1095*L1095</f>
        <v>159.80000000000001</v>
      </c>
      <c r="N1095" s="12">
        <f>K1095*J1095</f>
        <v>799</v>
      </c>
      <c r="O1095" s="12">
        <f>N1095-M1095</f>
        <v>639.20000000000005</v>
      </c>
      <c r="P1095" s="2" t="s">
        <v>17</v>
      </c>
      <c r="Q1095" s="2" t="s">
        <v>18</v>
      </c>
      <c r="R1095" s="2">
        <v>60</v>
      </c>
      <c r="S1095" s="20">
        <f>Table1[[#This Row],[Net_revenue]]/Table1[[#This Row],[Gross_revenue]]*100%</f>
        <v>0.8</v>
      </c>
      <c r="T1095" s="18">
        <f>COUNTIFS(Table1[Customer ID], "&gt;1", Table1[Customer ID], 1)</f>
        <v>0</v>
      </c>
    </row>
    <row r="1096" spans="1:20" hidden="1" x14ac:dyDescent="0.3">
      <c r="A1096" s="2" t="s">
        <v>1720</v>
      </c>
      <c r="B1096" s="5">
        <v>45702</v>
      </c>
      <c r="C1096" s="5" t="str">
        <f>TEXT(B1096,"mmm")</f>
        <v>Feb</v>
      </c>
      <c r="D1096" s="2" t="s">
        <v>1721</v>
      </c>
      <c r="E1096" s="2" t="s">
        <v>56</v>
      </c>
      <c r="F1096" s="2" t="str" cm="1">
        <f t="array" ref="F10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96" s="2" t="str" cm="1">
        <f t="array" ref="G10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6" s="2" t="s">
        <v>15</v>
      </c>
      <c r="I1096" s="2" t="s">
        <v>16</v>
      </c>
      <c r="J1096" s="2">
        <v>3</v>
      </c>
      <c r="K1096" s="8">
        <v>1799</v>
      </c>
      <c r="L1096" s="3">
        <v>0.15</v>
      </c>
      <c r="M1096" s="12">
        <f>K1096*L1096</f>
        <v>269.84999999999997</v>
      </c>
      <c r="N1096" s="12">
        <f>K1096*J1096</f>
        <v>5397</v>
      </c>
      <c r="O1096" s="12">
        <f>N1096-M1096</f>
        <v>5127.1499999999996</v>
      </c>
      <c r="P1096" s="2" t="s">
        <v>45</v>
      </c>
      <c r="Q1096" s="2" t="s">
        <v>50</v>
      </c>
      <c r="R1096" s="2">
        <v>40</v>
      </c>
      <c r="S1096" s="20">
        <f>Table1[[#This Row],[Net_revenue]]/Table1[[#This Row],[Gross_revenue]]*100%</f>
        <v>0.95</v>
      </c>
      <c r="T1096" s="18">
        <f>COUNTIFS(Table1[Customer ID], "&gt;1", Table1[Customer ID], 1)</f>
        <v>0</v>
      </c>
    </row>
    <row r="1097" spans="1:20" hidden="1" x14ac:dyDescent="0.3">
      <c r="A1097" s="2" t="s">
        <v>1722</v>
      </c>
      <c r="B1097" s="5">
        <v>45703</v>
      </c>
      <c r="C1097" s="5" t="str">
        <f>TEXT(B1097,"mmm")</f>
        <v>Feb</v>
      </c>
      <c r="D1097" s="2" t="s">
        <v>1723</v>
      </c>
      <c r="E1097" s="2" t="s">
        <v>56</v>
      </c>
      <c r="F1097" s="2" t="str" cm="1">
        <f t="array" ref="F10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097" s="2" t="str" cm="1">
        <f t="array" ref="G10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7" s="2" t="s">
        <v>188</v>
      </c>
      <c r="I1097" s="2" t="s">
        <v>95</v>
      </c>
      <c r="J1097" s="2">
        <v>1</v>
      </c>
      <c r="K1097" s="8">
        <v>699</v>
      </c>
      <c r="L1097" s="3">
        <v>0.05</v>
      </c>
      <c r="M1097" s="12">
        <f>K1097*L1097</f>
        <v>34.950000000000003</v>
      </c>
      <c r="N1097" s="12">
        <f>K1097*J1097</f>
        <v>699</v>
      </c>
      <c r="O1097" s="12">
        <f>N1097-M1097</f>
        <v>664.05</v>
      </c>
      <c r="P1097" s="2" t="s">
        <v>17</v>
      </c>
      <c r="Q1097" s="2" t="s">
        <v>18</v>
      </c>
      <c r="R1097" s="2">
        <v>60</v>
      </c>
      <c r="S1097" s="20">
        <f>Table1[[#This Row],[Net_revenue]]/Table1[[#This Row],[Gross_revenue]]*100%</f>
        <v>0.95</v>
      </c>
      <c r="T1097" s="18">
        <f>COUNTIFS(Table1[Customer ID], "&gt;1", Table1[Customer ID], 1)</f>
        <v>0</v>
      </c>
    </row>
    <row r="1098" spans="1:20" hidden="1" x14ac:dyDescent="0.3">
      <c r="A1098" s="2" t="s">
        <v>1724</v>
      </c>
      <c r="B1098" s="5">
        <v>45689</v>
      </c>
      <c r="C1098" s="5" t="str">
        <f>TEXT(B1098,"mmm")</f>
        <v>Feb</v>
      </c>
      <c r="D1098" s="2" t="s">
        <v>934</v>
      </c>
      <c r="E1098" s="2" t="s">
        <v>120</v>
      </c>
      <c r="F1098" s="2" t="str" cm="1">
        <f t="array" ref="F10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098" s="2" t="str" cm="1">
        <f t="array" ref="G10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098" s="2" t="s">
        <v>44</v>
      </c>
      <c r="I1098" s="2" t="s">
        <v>16</v>
      </c>
      <c r="J1098" s="2">
        <v>1</v>
      </c>
      <c r="K1098" s="8">
        <v>1599</v>
      </c>
      <c r="L1098" s="3">
        <v>0.15</v>
      </c>
      <c r="M1098" s="12">
        <f>K1098*L1098</f>
        <v>239.85</v>
      </c>
      <c r="N1098" s="12">
        <f>K1098*J1098</f>
        <v>1599</v>
      </c>
      <c r="O1098" s="12">
        <f>N1098-M1098</f>
        <v>1359.15</v>
      </c>
      <c r="P1098" s="2" t="s">
        <v>17</v>
      </c>
      <c r="Q1098" s="2" t="s">
        <v>18</v>
      </c>
      <c r="R1098" s="2">
        <v>40</v>
      </c>
      <c r="S1098" s="20">
        <f>Table1[[#This Row],[Net_revenue]]/Table1[[#This Row],[Gross_revenue]]*100%</f>
        <v>0.85000000000000009</v>
      </c>
      <c r="T1098" s="18">
        <f>COUNTIFS(Table1[Customer ID], "&gt;1", Table1[Customer ID], 1)</f>
        <v>0</v>
      </c>
    </row>
    <row r="1099" spans="1:20" hidden="1" x14ac:dyDescent="0.3">
      <c r="A1099" s="2" t="s">
        <v>1725</v>
      </c>
      <c r="B1099" s="5">
        <v>45703</v>
      </c>
      <c r="C1099" s="5" t="str">
        <f>TEXT(B1099,"mmm")</f>
        <v>Feb</v>
      </c>
      <c r="D1099" s="2" t="s">
        <v>1726</v>
      </c>
      <c r="E1099" s="2" t="s">
        <v>27</v>
      </c>
      <c r="F1099" s="2" t="str" cm="1">
        <f t="array" ref="F10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099" s="2" t="str" cm="1">
        <f t="array" ref="G10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099" s="2" t="s">
        <v>44</v>
      </c>
      <c r="I1099" s="2" t="s">
        <v>16</v>
      </c>
      <c r="J1099" s="2">
        <v>1</v>
      </c>
      <c r="K1099" s="8">
        <v>1599</v>
      </c>
      <c r="L1099" s="3">
        <v>0.2</v>
      </c>
      <c r="M1099" s="12">
        <f>K1099*L1099</f>
        <v>319.8</v>
      </c>
      <c r="N1099" s="12">
        <f>K1099*J1099</f>
        <v>1599</v>
      </c>
      <c r="O1099" s="12">
        <f>N1099-M1099</f>
        <v>1279.2</v>
      </c>
      <c r="P1099" s="2" t="s">
        <v>45</v>
      </c>
      <c r="Q1099" s="2" t="s">
        <v>18</v>
      </c>
      <c r="R1099" s="2">
        <v>40</v>
      </c>
      <c r="S1099" s="20">
        <f>Table1[[#This Row],[Net_revenue]]/Table1[[#This Row],[Gross_revenue]]*100%</f>
        <v>0.8</v>
      </c>
      <c r="T1099" s="18">
        <f>COUNTIFS(Table1[Customer ID], "&gt;1", Table1[Customer ID], 1)</f>
        <v>0</v>
      </c>
    </row>
    <row r="1100" spans="1:20" hidden="1" x14ac:dyDescent="0.3">
      <c r="A1100" s="2" t="s">
        <v>1727</v>
      </c>
      <c r="B1100" s="5">
        <v>45669</v>
      </c>
      <c r="C1100" s="5" t="str">
        <f>TEXT(B1100,"mmm")</f>
        <v>Jan</v>
      </c>
      <c r="D1100" s="2" t="s">
        <v>1728</v>
      </c>
      <c r="E1100" s="2" t="s">
        <v>53</v>
      </c>
      <c r="F1100" s="2" t="str" cm="1">
        <f t="array" ref="F11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100" s="2" t="str" cm="1">
        <f t="array" ref="G11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00" s="2" t="s">
        <v>15</v>
      </c>
      <c r="I1100" s="2" t="s">
        <v>16</v>
      </c>
      <c r="J1100" s="2">
        <v>1</v>
      </c>
      <c r="K1100" s="8">
        <v>1799</v>
      </c>
      <c r="L1100" s="3">
        <v>0.15</v>
      </c>
      <c r="M1100" s="12">
        <f>K1100*L1100</f>
        <v>269.84999999999997</v>
      </c>
      <c r="N1100" s="12">
        <f>K1100*J1100</f>
        <v>1799</v>
      </c>
      <c r="O1100" s="12">
        <f>N1100-M1100</f>
        <v>1529.15</v>
      </c>
      <c r="P1100" s="2" t="s">
        <v>45</v>
      </c>
      <c r="Q1100" s="2" t="s">
        <v>50</v>
      </c>
      <c r="R1100" s="2">
        <v>40</v>
      </c>
      <c r="S1100" s="20">
        <f>Table1[[#This Row],[Net_revenue]]/Table1[[#This Row],[Gross_revenue]]*100%</f>
        <v>0.85000000000000009</v>
      </c>
      <c r="T1100" s="18">
        <f>COUNTIFS(Table1[Customer ID], "&gt;1", Table1[Customer ID], 1)</f>
        <v>0</v>
      </c>
    </row>
    <row r="1101" spans="1:20" hidden="1" x14ac:dyDescent="0.3">
      <c r="A1101" s="2" t="s">
        <v>1729</v>
      </c>
      <c r="B1101" s="5">
        <v>45671</v>
      </c>
      <c r="C1101" s="5" t="str">
        <f>TEXT(B1101,"mmm")</f>
        <v>Jan</v>
      </c>
      <c r="D1101" s="2" t="s">
        <v>1730</v>
      </c>
      <c r="E1101" s="2" t="s">
        <v>48</v>
      </c>
      <c r="F1101" s="2" t="str" cm="1">
        <f t="array" ref="F11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01" s="2" t="str" cm="1">
        <f t="array" ref="G11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01" s="2" t="s">
        <v>65</v>
      </c>
      <c r="I1101" s="2" t="s">
        <v>23</v>
      </c>
      <c r="J1101" s="2">
        <v>1</v>
      </c>
      <c r="K1101" s="8">
        <v>1899</v>
      </c>
      <c r="L1101" s="3">
        <v>0.25</v>
      </c>
      <c r="M1101" s="12">
        <f>K1101*L1101</f>
        <v>474.75</v>
      </c>
      <c r="N1101" s="12">
        <f>K1101*J1101</f>
        <v>1899</v>
      </c>
      <c r="O1101" s="12">
        <f>N1101-M1101</f>
        <v>1424.25</v>
      </c>
      <c r="P1101" s="2" t="s">
        <v>45</v>
      </c>
      <c r="Q1101" s="2" t="s">
        <v>18</v>
      </c>
      <c r="R1101" s="2">
        <v>60</v>
      </c>
      <c r="S1101" s="20">
        <f>Table1[[#This Row],[Net_revenue]]/Table1[[#This Row],[Gross_revenue]]*100%</f>
        <v>0.75</v>
      </c>
      <c r="T1101" s="18">
        <f>COUNTIFS(Table1[Customer ID], "&gt;1", Table1[Customer ID], 1)</f>
        <v>0</v>
      </c>
    </row>
    <row r="1102" spans="1:20" hidden="1" x14ac:dyDescent="0.3">
      <c r="A1102" s="2" t="s">
        <v>1731</v>
      </c>
      <c r="B1102" s="5">
        <v>45819</v>
      </c>
      <c r="C1102" s="5" t="str">
        <f>TEXT(B1102,"mmm")</f>
        <v>Jun</v>
      </c>
      <c r="D1102" s="2" t="s">
        <v>1002</v>
      </c>
      <c r="E1102" s="2" t="s">
        <v>48</v>
      </c>
      <c r="F1102" s="2" t="str" cm="1">
        <f t="array" ref="F11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02" s="2" t="str" cm="1">
        <f t="array" ref="G11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02" s="2" t="s">
        <v>22</v>
      </c>
      <c r="I1102" s="2" t="s">
        <v>23</v>
      </c>
      <c r="J1102" s="2">
        <v>2</v>
      </c>
      <c r="K1102" s="8">
        <v>3999</v>
      </c>
      <c r="L1102" s="3">
        <v>0</v>
      </c>
      <c r="M1102" s="12">
        <f>K1102*L1102</f>
        <v>0</v>
      </c>
      <c r="N1102" s="12">
        <f>K1102*J1102</f>
        <v>7998</v>
      </c>
      <c r="O1102" s="12">
        <f>N1102-M1102</f>
        <v>7998</v>
      </c>
      <c r="P1102" s="2" t="s">
        <v>17</v>
      </c>
      <c r="Q1102" s="2" t="s">
        <v>18</v>
      </c>
      <c r="R1102" s="2">
        <v>0</v>
      </c>
      <c r="S1102" s="20">
        <f>Table1[[#This Row],[Net_revenue]]/Table1[[#This Row],[Gross_revenue]]*100%</f>
        <v>1</v>
      </c>
      <c r="T1102" s="18">
        <f>COUNTIFS(Table1[Customer ID], "&gt;1", Table1[Customer ID], 1)</f>
        <v>0</v>
      </c>
    </row>
    <row r="1103" spans="1:20" hidden="1" x14ac:dyDescent="0.3">
      <c r="A1103" s="2" t="s">
        <v>1732</v>
      </c>
      <c r="B1103" s="5">
        <v>45782</v>
      </c>
      <c r="C1103" s="5" t="str">
        <f>TEXT(B1103,"mmm")</f>
        <v>May</v>
      </c>
      <c r="D1103" s="2" t="s">
        <v>62</v>
      </c>
      <c r="E1103" s="2" t="s">
        <v>21</v>
      </c>
      <c r="F1103" s="2" t="str" cm="1">
        <f t="array" ref="F11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03" s="2" t="str" cm="1">
        <f t="array" ref="G11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03" s="2" t="s">
        <v>65</v>
      </c>
      <c r="I1103" s="2" t="s">
        <v>23</v>
      </c>
      <c r="J1103" s="2">
        <v>2</v>
      </c>
      <c r="K1103" s="8">
        <v>1899</v>
      </c>
      <c r="L1103" s="3">
        <v>0.1</v>
      </c>
      <c r="M1103" s="12">
        <f>K1103*L1103</f>
        <v>189.9</v>
      </c>
      <c r="N1103" s="12">
        <f>K1103*J1103</f>
        <v>3798</v>
      </c>
      <c r="O1103" s="12">
        <f>N1103-M1103</f>
        <v>3608.1</v>
      </c>
      <c r="P1103" s="2" t="s">
        <v>24</v>
      </c>
      <c r="Q1103" s="2" t="s">
        <v>18</v>
      </c>
      <c r="R1103" s="2">
        <v>0</v>
      </c>
      <c r="S1103" s="20">
        <f>Table1[[#This Row],[Net_revenue]]/Table1[[#This Row],[Gross_revenue]]*100%</f>
        <v>0.95</v>
      </c>
      <c r="T1103" s="18">
        <f>COUNTIFS(Table1[Customer ID], "&gt;1", Table1[Customer ID], 1)</f>
        <v>0</v>
      </c>
    </row>
    <row r="1104" spans="1:20" hidden="1" x14ac:dyDescent="0.3">
      <c r="A1104" s="2" t="s">
        <v>1733</v>
      </c>
      <c r="B1104" s="5">
        <v>45662</v>
      </c>
      <c r="C1104" s="5" t="str">
        <f>TEXT(B1104,"mmm")</f>
        <v>Jan</v>
      </c>
      <c r="D1104" s="2" t="s">
        <v>846</v>
      </c>
      <c r="E1104" s="2" t="s">
        <v>48</v>
      </c>
      <c r="F1104" s="2" t="str" cm="1">
        <f t="array" ref="F11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04" s="2" t="str" cm="1">
        <f t="array" ref="G11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04" s="2" t="s">
        <v>107</v>
      </c>
      <c r="I1104" s="2" t="s">
        <v>95</v>
      </c>
      <c r="J1104" s="2">
        <v>3</v>
      </c>
      <c r="K1104" s="8">
        <v>1599</v>
      </c>
      <c r="L1104" s="3">
        <v>0</v>
      </c>
      <c r="M1104" s="12">
        <f>K1104*L1104</f>
        <v>0</v>
      </c>
      <c r="N1104" s="12">
        <f>K1104*J1104</f>
        <v>4797</v>
      </c>
      <c r="O1104" s="12">
        <f>N1104-M1104</f>
        <v>4797</v>
      </c>
      <c r="P1104" s="2" t="s">
        <v>30</v>
      </c>
      <c r="Q1104" s="2" t="s">
        <v>18</v>
      </c>
      <c r="R1104" s="2">
        <v>80</v>
      </c>
      <c r="S1104" s="20">
        <f>Table1[[#This Row],[Net_revenue]]/Table1[[#This Row],[Gross_revenue]]*100%</f>
        <v>1</v>
      </c>
      <c r="T1104" s="18">
        <f>COUNTIFS(Table1[Customer ID], "&gt;1", Table1[Customer ID], 1)</f>
        <v>0</v>
      </c>
    </row>
    <row r="1105" spans="1:20" hidden="1" x14ac:dyDescent="0.3">
      <c r="A1105" s="2" t="s">
        <v>1734</v>
      </c>
      <c r="B1105" s="5">
        <v>46004</v>
      </c>
      <c r="C1105" s="5" t="str">
        <f>TEXT(B1105,"mmm")</f>
        <v>Dec</v>
      </c>
      <c r="D1105" s="2" t="s">
        <v>1594</v>
      </c>
      <c r="E1105" s="2" t="s">
        <v>21</v>
      </c>
      <c r="F1105" s="2" t="str" cm="1">
        <f t="array" ref="F11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05" s="2" t="str" cm="1">
        <f t="array" ref="G11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05" s="2" t="s">
        <v>89</v>
      </c>
      <c r="I1105" s="2" t="s">
        <v>29</v>
      </c>
      <c r="J1105" s="2">
        <v>2</v>
      </c>
      <c r="K1105" s="8">
        <v>449</v>
      </c>
      <c r="L1105" s="3">
        <v>0</v>
      </c>
      <c r="M1105" s="12">
        <f>K1105*L1105</f>
        <v>0</v>
      </c>
      <c r="N1105" s="12">
        <f>K1105*J1105</f>
        <v>898</v>
      </c>
      <c r="O1105" s="12">
        <f>N1105-M1105</f>
        <v>898</v>
      </c>
      <c r="P1105" s="2" t="s">
        <v>45</v>
      </c>
      <c r="Q1105" s="2" t="s">
        <v>18</v>
      </c>
      <c r="R1105" s="2">
        <v>0</v>
      </c>
      <c r="S1105" s="20">
        <f>Table1[[#This Row],[Net_revenue]]/Table1[[#This Row],[Gross_revenue]]*100%</f>
        <v>1</v>
      </c>
      <c r="T1105" s="18">
        <f>COUNTIFS(Table1[Customer ID], "&gt;1", Table1[Customer ID], 1)</f>
        <v>0</v>
      </c>
    </row>
    <row r="1106" spans="1:20" hidden="1" x14ac:dyDescent="0.3">
      <c r="A1106" s="2" t="s">
        <v>1735</v>
      </c>
      <c r="B1106" s="5">
        <v>45934</v>
      </c>
      <c r="C1106" s="5" t="str">
        <f>TEXT(B1106,"mmm")</f>
        <v>Oct</v>
      </c>
      <c r="D1106" s="2" t="s">
        <v>258</v>
      </c>
      <c r="E1106" s="2" t="s">
        <v>48</v>
      </c>
      <c r="F1106" s="2" t="str" cm="1">
        <f t="array" ref="F11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06" s="2" t="str" cm="1">
        <f t="array" ref="G11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06" s="2" t="s">
        <v>107</v>
      </c>
      <c r="I1106" s="2" t="s">
        <v>95</v>
      </c>
      <c r="J1106" s="2">
        <v>2</v>
      </c>
      <c r="K1106" s="8">
        <v>1599</v>
      </c>
      <c r="L1106" s="3">
        <v>0.25</v>
      </c>
      <c r="M1106" s="12">
        <f>K1106*L1106</f>
        <v>399.75</v>
      </c>
      <c r="N1106" s="12">
        <f>K1106*J1106</f>
        <v>3198</v>
      </c>
      <c r="O1106" s="12">
        <f>N1106-M1106</f>
        <v>2798.25</v>
      </c>
      <c r="P1106" s="2" t="s">
        <v>45</v>
      </c>
      <c r="Q1106" s="2" t="s">
        <v>18</v>
      </c>
      <c r="R1106" s="2">
        <v>60</v>
      </c>
      <c r="S1106" s="20">
        <f>Table1[[#This Row],[Net_revenue]]/Table1[[#This Row],[Gross_revenue]]*100%</f>
        <v>0.875</v>
      </c>
      <c r="T1106" s="18">
        <f>COUNTIFS(Table1[Customer ID], "&gt;1", Table1[Customer ID], 1)</f>
        <v>0</v>
      </c>
    </row>
    <row r="1107" spans="1:20" hidden="1" x14ac:dyDescent="0.3">
      <c r="A1107" s="2" t="s">
        <v>1736</v>
      </c>
      <c r="B1107" s="5">
        <v>45792</v>
      </c>
      <c r="C1107" s="5" t="str">
        <f>TEXT(B1107,"mmm")</f>
        <v>May</v>
      </c>
      <c r="D1107" s="2" t="s">
        <v>421</v>
      </c>
      <c r="E1107" s="2" t="s">
        <v>56</v>
      </c>
      <c r="F1107" s="2" t="str" cm="1">
        <f t="array" ref="F11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07" s="2" t="str" cm="1">
        <f t="array" ref="G11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07" s="2" t="s">
        <v>49</v>
      </c>
      <c r="I1107" s="2" t="s">
        <v>23</v>
      </c>
      <c r="J1107" s="2">
        <v>3</v>
      </c>
      <c r="K1107" s="8">
        <v>1299</v>
      </c>
      <c r="L1107" s="3">
        <v>0</v>
      </c>
      <c r="M1107" s="12">
        <f>K1107*L1107</f>
        <v>0</v>
      </c>
      <c r="N1107" s="12">
        <f>K1107*J1107</f>
        <v>3897</v>
      </c>
      <c r="O1107" s="12">
        <f>N1107-M1107</f>
        <v>3897</v>
      </c>
      <c r="P1107" s="2" t="s">
        <v>45</v>
      </c>
      <c r="Q1107" s="2" t="s">
        <v>50</v>
      </c>
      <c r="R1107" s="2">
        <v>0</v>
      </c>
      <c r="S1107" s="20">
        <f>Table1[[#This Row],[Net_revenue]]/Table1[[#This Row],[Gross_revenue]]*100%</f>
        <v>1</v>
      </c>
      <c r="T1107" s="18">
        <f>COUNTIFS(Table1[Customer ID], "&gt;1", Table1[Customer ID], 1)</f>
        <v>0</v>
      </c>
    </row>
    <row r="1108" spans="1:20" hidden="1" x14ac:dyDescent="0.3">
      <c r="A1108" s="2" t="s">
        <v>1737</v>
      </c>
      <c r="B1108" s="5">
        <v>45890</v>
      </c>
      <c r="C1108" s="5" t="str">
        <f>TEXT(B1108,"mmm")</f>
        <v>Aug</v>
      </c>
      <c r="D1108" s="2" t="s">
        <v>1738</v>
      </c>
      <c r="E1108" s="2" t="s">
        <v>48</v>
      </c>
      <c r="F1108" s="2" t="str" cm="1">
        <f t="array" ref="F11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08" s="2" t="str" cm="1">
        <f t="array" ref="G11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08" s="2" t="s">
        <v>107</v>
      </c>
      <c r="I1108" s="2" t="s">
        <v>95</v>
      </c>
      <c r="J1108" s="2">
        <v>1</v>
      </c>
      <c r="K1108" s="8">
        <v>1599</v>
      </c>
      <c r="L1108" s="3">
        <v>0.15</v>
      </c>
      <c r="M1108" s="12">
        <f>K1108*L1108</f>
        <v>239.85</v>
      </c>
      <c r="N1108" s="12">
        <f>K1108*J1108</f>
        <v>1599</v>
      </c>
      <c r="O1108" s="12">
        <f>N1108-M1108</f>
        <v>1359.15</v>
      </c>
      <c r="P1108" s="2" t="s">
        <v>45</v>
      </c>
      <c r="Q1108" s="2" t="s">
        <v>18</v>
      </c>
      <c r="R1108" s="2">
        <v>0</v>
      </c>
      <c r="S1108" s="20">
        <f>Table1[[#This Row],[Net_revenue]]/Table1[[#This Row],[Gross_revenue]]*100%</f>
        <v>0.85000000000000009</v>
      </c>
      <c r="T1108" s="18">
        <f>COUNTIFS(Table1[Customer ID], "&gt;1", Table1[Customer ID], 1)</f>
        <v>0</v>
      </c>
    </row>
    <row r="1109" spans="1:20" hidden="1" x14ac:dyDescent="0.3">
      <c r="A1109" s="2" t="s">
        <v>1739</v>
      </c>
      <c r="B1109" s="5">
        <v>45720</v>
      </c>
      <c r="C1109" s="5" t="str">
        <f>TEXT(B1109,"mmm")</f>
        <v>Mar</v>
      </c>
      <c r="D1109" s="2" t="s">
        <v>1365</v>
      </c>
      <c r="E1109" s="2" t="s">
        <v>21</v>
      </c>
      <c r="F1109" s="2" t="str" cm="1">
        <f t="array" ref="F11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09" s="2" t="str" cm="1">
        <f t="array" ref="G11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09" s="2" t="s">
        <v>80</v>
      </c>
      <c r="I1109" s="2" t="s">
        <v>23</v>
      </c>
      <c r="J1109" s="2">
        <v>1</v>
      </c>
      <c r="K1109" s="8">
        <v>799</v>
      </c>
      <c r="L1109" s="3">
        <v>0.05</v>
      </c>
      <c r="M1109" s="12">
        <f>K1109*L1109</f>
        <v>39.950000000000003</v>
      </c>
      <c r="N1109" s="12">
        <f>K1109*J1109</f>
        <v>799</v>
      </c>
      <c r="O1109" s="12">
        <f>N1109-M1109</f>
        <v>759.05</v>
      </c>
      <c r="P1109" s="2" t="s">
        <v>45</v>
      </c>
      <c r="Q1109" s="2" t="s">
        <v>18</v>
      </c>
      <c r="R1109" s="2">
        <v>40</v>
      </c>
      <c r="S1109" s="20">
        <f>Table1[[#This Row],[Net_revenue]]/Table1[[#This Row],[Gross_revenue]]*100%</f>
        <v>0.95</v>
      </c>
      <c r="T1109" s="18">
        <f>COUNTIFS(Table1[Customer ID], "&gt;1", Table1[Customer ID], 1)</f>
        <v>0</v>
      </c>
    </row>
    <row r="1110" spans="1:20" hidden="1" x14ac:dyDescent="0.3">
      <c r="A1110" s="2" t="s">
        <v>1740</v>
      </c>
      <c r="B1110" s="5">
        <v>45788</v>
      </c>
      <c r="C1110" s="5" t="str">
        <f>TEXT(B1110,"mmm")</f>
        <v>May</v>
      </c>
      <c r="D1110" s="2" t="s">
        <v>321</v>
      </c>
      <c r="E1110" s="2" t="s">
        <v>21</v>
      </c>
      <c r="F1110" s="2" t="str" cm="1">
        <f t="array" ref="F11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10" s="2" t="str" cm="1">
        <f t="array" ref="G11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0" s="2" t="s">
        <v>89</v>
      </c>
      <c r="I1110" s="2" t="s">
        <v>29</v>
      </c>
      <c r="J1110" s="2">
        <v>1</v>
      </c>
      <c r="K1110" s="8">
        <v>449</v>
      </c>
      <c r="L1110" s="3">
        <v>0.2</v>
      </c>
      <c r="M1110" s="12">
        <f>K1110*L1110</f>
        <v>89.800000000000011</v>
      </c>
      <c r="N1110" s="12">
        <f>K1110*J1110</f>
        <v>449</v>
      </c>
      <c r="O1110" s="12">
        <f>N1110-M1110</f>
        <v>359.2</v>
      </c>
      <c r="P1110" s="2" t="s">
        <v>45</v>
      </c>
      <c r="Q1110" s="2" t="s">
        <v>18</v>
      </c>
      <c r="R1110" s="2">
        <v>80</v>
      </c>
      <c r="S1110" s="20">
        <f>Table1[[#This Row],[Net_revenue]]/Table1[[#This Row],[Gross_revenue]]*100%</f>
        <v>0.79999999999999993</v>
      </c>
      <c r="T1110" s="18">
        <f>COUNTIFS(Table1[Customer ID], "&gt;1", Table1[Customer ID], 1)</f>
        <v>0</v>
      </c>
    </row>
    <row r="1111" spans="1:20" hidden="1" x14ac:dyDescent="0.3">
      <c r="A1111" s="2" t="s">
        <v>1741</v>
      </c>
      <c r="B1111" s="5">
        <v>45776</v>
      </c>
      <c r="C1111" s="5" t="str">
        <f>TEXT(B1111,"mmm")</f>
        <v>Apr</v>
      </c>
      <c r="D1111" s="2" t="s">
        <v>1707</v>
      </c>
      <c r="E1111" s="2" t="s">
        <v>21</v>
      </c>
      <c r="F1111" s="2" t="str" cm="1">
        <f t="array" ref="F11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11" s="2" t="str" cm="1">
        <f t="array" ref="G11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1" s="2" t="s">
        <v>89</v>
      </c>
      <c r="I1111" s="2" t="s">
        <v>29</v>
      </c>
      <c r="J1111" s="2">
        <v>1</v>
      </c>
      <c r="K1111" s="8">
        <v>449</v>
      </c>
      <c r="L1111" s="3">
        <v>0.25</v>
      </c>
      <c r="M1111" s="12">
        <f>K1111*L1111</f>
        <v>112.25</v>
      </c>
      <c r="N1111" s="12">
        <f>K1111*J1111</f>
        <v>449</v>
      </c>
      <c r="O1111" s="12">
        <f>N1111-M1111</f>
        <v>336.75</v>
      </c>
      <c r="P1111" s="2" t="s">
        <v>17</v>
      </c>
      <c r="Q1111" s="2" t="s">
        <v>72</v>
      </c>
      <c r="R1111" s="2">
        <v>60</v>
      </c>
      <c r="S1111" s="20">
        <f>Table1[[#This Row],[Net_revenue]]/Table1[[#This Row],[Gross_revenue]]*100%</f>
        <v>0.75</v>
      </c>
      <c r="T1111" s="18">
        <f>COUNTIFS(Table1[Customer ID], "&gt;1", Table1[Customer ID], 1)</f>
        <v>0</v>
      </c>
    </row>
    <row r="1112" spans="1:20" hidden="1" x14ac:dyDescent="0.3">
      <c r="A1112" s="2" t="s">
        <v>1742</v>
      </c>
      <c r="B1112" s="5">
        <v>45779</v>
      </c>
      <c r="C1112" s="5" t="str">
        <f>TEXT(B1112,"mmm")</f>
        <v>May</v>
      </c>
      <c r="D1112" s="2" t="s">
        <v>1326</v>
      </c>
      <c r="E1112" s="2" t="s">
        <v>21</v>
      </c>
      <c r="F1112" s="2" t="str" cm="1">
        <f t="array" ref="F11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12" s="2" t="str" cm="1">
        <f t="array" ref="G11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2" s="2" t="s">
        <v>41</v>
      </c>
      <c r="I1112" s="2" t="s">
        <v>16</v>
      </c>
      <c r="J1112" s="2">
        <v>1</v>
      </c>
      <c r="K1112" s="8">
        <v>2299</v>
      </c>
      <c r="L1112" s="3">
        <v>0.15</v>
      </c>
      <c r="M1112" s="12">
        <f>K1112*L1112</f>
        <v>344.84999999999997</v>
      </c>
      <c r="N1112" s="12">
        <f>K1112*J1112</f>
        <v>2299</v>
      </c>
      <c r="O1112" s="12">
        <f>N1112-M1112</f>
        <v>1954.15</v>
      </c>
      <c r="P1112" s="2" t="s">
        <v>45</v>
      </c>
      <c r="Q1112" s="2" t="s">
        <v>18</v>
      </c>
      <c r="R1112" s="2">
        <v>60</v>
      </c>
      <c r="S1112" s="20">
        <f>Table1[[#This Row],[Net_revenue]]/Table1[[#This Row],[Gross_revenue]]*100%</f>
        <v>0.85000000000000009</v>
      </c>
      <c r="T1112" s="18">
        <f>COUNTIFS(Table1[Customer ID], "&gt;1", Table1[Customer ID], 1)</f>
        <v>0</v>
      </c>
    </row>
    <row r="1113" spans="1:20" hidden="1" x14ac:dyDescent="0.3">
      <c r="A1113" s="2" t="s">
        <v>1743</v>
      </c>
      <c r="B1113" s="5">
        <v>45896</v>
      </c>
      <c r="C1113" s="5" t="str">
        <f>TEXT(B1113,"mmm")</f>
        <v>Aug</v>
      </c>
      <c r="D1113" s="2" t="s">
        <v>604</v>
      </c>
      <c r="E1113" s="2" t="s">
        <v>27</v>
      </c>
      <c r="F1113" s="2" t="str" cm="1">
        <f t="array" ref="F11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13" s="2" t="str" cm="1">
        <f t="array" ref="G11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13" s="2" t="s">
        <v>49</v>
      </c>
      <c r="I1113" s="2" t="s">
        <v>23</v>
      </c>
      <c r="J1113" s="2">
        <v>1</v>
      </c>
      <c r="K1113" s="8">
        <v>1299</v>
      </c>
      <c r="L1113" s="3">
        <v>0.2</v>
      </c>
      <c r="M1113" s="12">
        <f>K1113*L1113</f>
        <v>259.8</v>
      </c>
      <c r="N1113" s="12">
        <f>K1113*J1113</f>
        <v>1299</v>
      </c>
      <c r="O1113" s="12">
        <f>N1113-M1113</f>
        <v>1039.2</v>
      </c>
      <c r="P1113" s="2" t="s">
        <v>17</v>
      </c>
      <c r="Q1113" s="2" t="s">
        <v>18</v>
      </c>
      <c r="R1113" s="2">
        <v>0</v>
      </c>
      <c r="S1113" s="20">
        <f>Table1[[#This Row],[Net_revenue]]/Table1[[#This Row],[Gross_revenue]]*100%</f>
        <v>0.8</v>
      </c>
      <c r="T1113" s="18">
        <f>COUNTIFS(Table1[Customer ID], "&gt;1", Table1[Customer ID], 1)</f>
        <v>0</v>
      </c>
    </row>
    <row r="1114" spans="1:20" hidden="1" x14ac:dyDescent="0.3">
      <c r="A1114" s="2" t="s">
        <v>1744</v>
      </c>
      <c r="B1114" s="5">
        <v>45993</v>
      </c>
      <c r="C1114" s="5" t="str">
        <f>TEXT(B1114,"mmm")</f>
        <v>Dec</v>
      </c>
      <c r="D1114" s="2" t="s">
        <v>1745</v>
      </c>
      <c r="E1114" s="2" t="s">
        <v>40</v>
      </c>
      <c r="F1114" s="2" t="str" cm="1">
        <f t="array" ref="F11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14" s="2" t="str" cm="1">
        <f t="array" ref="G11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14" s="2" t="s">
        <v>121</v>
      </c>
      <c r="I1114" s="2" t="s">
        <v>95</v>
      </c>
      <c r="J1114" s="2">
        <v>1</v>
      </c>
      <c r="K1114" s="8">
        <v>1299</v>
      </c>
      <c r="L1114" s="3">
        <v>0.05</v>
      </c>
      <c r="M1114" s="12">
        <f>K1114*L1114</f>
        <v>64.95</v>
      </c>
      <c r="N1114" s="12">
        <f>K1114*J1114</f>
        <v>1299</v>
      </c>
      <c r="O1114" s="12">
        <f>N1114-M1114</f>
        <v>1234.05</v>
      </c>
      <c r="P1114" s="2" t="s">
        <v>17</v>
      </c>
      <c r="Q1114" s="2" t="s">
        <v>18</v>
      </c>
      <c r="R1114" s="2">
        <v>0</v>
      </c>
      <c r="S1114" s="20">
        <f>Table1[[#This Row],[Net_revenue]]/Table1[[#This Row],[Gross_revenue]]*100%</f>
        <v>0.95</v>
      </c>
      <c r="T1114" s="18">
        <f>COUNTIFS(Table1[Customer ID], "&gt;1", Table1[Customer ID], 1)</f>
        <v>0</v>
      </c>
    </row>
    <row r="1115" spans="1:20" hidden="1" x14ac:dyDescent="0.3">
      <c r="A1115" s="2" t="s">
        <v>1746</v>
      </c>
      <c r="B1115" s="5">
        <v>46012</v>
      </c>
      <c r="C1115" s="5" t="str">
        <f>TEXT(B1115,"mmm")</f>
        <v>Dec</v>
      </c>
      <c r="D1115" s="2" t="s">
        <v>160</v>
      </c>
      <c r="E1115" s="2" t="s">
        <v>195</v>
      </c>
      <c r="F1115" s="2" t="str" cm="1">
        <f t="array" ref="F11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15" s="2" t="str" cm="1">
        <f t="array" ref="G11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5" s="2" t="s">
        <v>217</v>
      </c>
      <c r="I1115" s="2" t="s">
        <v>29</v>
      </c>
      <c r="J1115" s="2">
        <v>3</v>
      </c>
      <c r="K1115" s="8">
        <v>3299</v>
      </c>
      <c r="L1115" s="3">
        <v>0</v>
      </c>
      <c r="M1115" s="12">
        <f>K1115*L1115</f>
        <v>0</v>
      </c>
      <c r="N1115" s="12">
        <f>K1115*J1115</f>
        <v>9897</v>
      </c>
      <c r="O1115" s="12">
        <f>N1115-M1115</f>
        <v>9897</v>
      </c>
      <c r="P1115" s="2" t="s">
        <v>45</v>
      </c>
      <c r="Q1115" s="2" t="s">
        <v>18</v>
      </c>
      <c r="R1115" s="2">
        <v>80</v>
      </c>
      <c r="S1115" s="20">
        <f>Table1[[#This Row],[Net_revenue]]/Table1[[#This Row],[Gross_revenue]]*100%</f>
        <v>1</v>
      </c>
      <c r="T1115" s="18">
        <f>COUNTIFS(Table1[Customer ID], "&gt;1", Table1[Customer ID], 1)</f>
        <v>0</v>
      </c>
    </row>
    <row r="1116" spans="1:20" hidden="1" x14ac:dyDescent="0.3">
      <c r="A1116" s="2" t="s">
        <v>1747</v>
      </c>
      <c r="B1116" s="5">
        <v>45828</v>
      </c>
      <c r="C1116" s="5" t="str">
        <f>TEXT(B1116,"mmm")</f>
        <v>Jun</v>
      </c>
      <c r="D1116" s="2" t="s">
        <v>172</v>
      </c>
      <c r="E1116" s="2" t="s">
        <v>120</v>
      </c>
      <c r="F1116" s="2" t="str" cm="1">
        <f t="array" ref="F11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16" s="2" t="str" cm="1">
        <f t="array" ref="G11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6" s="2" t="s">
        <v>94</v>
      </c>
      <c r="I1116" s="2" t="s">
        <v>95</v>
      </c>
      <c r="J1116" s="2">
        <v>1</v>
      </c>
      <c r="K1116" s="8">
        <v>399</v>
      </c>
      <c r="L1116" s="3">
        <v>0.1</v>
      </c>
      <c r="M1116" s="12">
        <f>K1116*L1116</f>
        <v>39.900000000000006</v>
      </c>
      <c r="N1116" s="12">
        <f>K1116*J1116</f>
        <v>399</v>
      </c>
      <c r="O1116" s="12">
        <f>N1116-M1116</f>
        <v>359.1</v>
      </c>
      <c r="P1116" s="2" t="s">
        <v>24</v>
      </c>
      <c r="Q1116" s="2" t="s">
        <v>18</v>
      </c>
      <c r="R1116" s="2">
        <v>40</v>
      </c>
      <c r="S1116" s="20">
        <f>Table1[[#This Row],[Net_revenue]]/Table1[[#This Row],[Gross_revenue]]*100%</f>
        <v>0.9</v>
      </c>
      <c r="T1116" s="18">
        <f>COUNTIFS(Table1[Customer ID], "&gt;1", Table1[Customer ID], 1)</f>
        <v>0</v>
      </c>
    </row>
    <row r="1117" spans="1:20" hidden="1" x14ac:dyDescent="0.3">
      <c r="A1117" s="2" t="s">
        <v>1748</v>
      </c>
      <c r="B1117" s="5">
        <v>45975</v>
      </c>
      <c r="C1117" s="5" t="str">
        <f>TEXT(B1117,"mmm")</f>
        <v>Nov</v>
      </c>
      <c r="D1117" s="2" t="s">
        <v>781</v>
      </c>
      <c r="E1117" s="2" t="s">
        <v>40</v>
      </c>
      <c r="F1117" s="2" t="str" cm="1">
        <f t="array" ref="F11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17" s="2" t="str" cm="1">
        <f t="array" ref="G11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17" s="2" t="s">
        <v>117</v>
      </c>
      <c r="I1117" s="2" t="s">
        <v>23</v>
      </c>
      <c r="J1117" s="2">
        <v>3</v>
      </c>
      <c r="K1117" s="8">
        <v>2199</v>
      </c>
      <c r="L1117" s="3">
        <v>0</v>
      </c>
      <c r="M1117" s="12">
        <f>K1117*L1117</f>
        <v>0</v>
      </c>
      <c r="N1117" s="12">
        <f>K1117*J1117</f>
        <v>6597</v>
      </c>
      <c r="O1117" s="12">
        <f>N1117-M1117</f>
        <v>6597</v>
      </c>
      <c r="P1117" s="2" t="s">
        <v>45</v>
      </c>
      <c r="Q1117" s="2" t="s">
        <v>18</v>
      </c>
      <c r="R1117" s="2">
        <v>0</v>
      </c>
      <c r="S1117" s="20">
        <f>Table1[[#This Row],[Net_revenue]]/Table1[[#This Row],[Gross_revenue]]*100%</f>
        <v>1</v>
      </c>
      <c r="T1117" s="18">
        <f>COUNTIFS(Table1[Customer ID], "&gt;1", Table1[Customer ID], 1)</f>
        <v>0</v>
      </c>
    </row>
    <row r="1118" spans="1:20" hidden="1" x14ac:dyDescent="0.3">
      <c r="A1118" s="2" t="s">
        <v>1749</v>
      </c>
      <c r="B1118" s="5">
        <v>45722</v>
      </c>
      <c r="C1118" s="5" t="str">
        <f>TEXT(B1118,"mmm")</f>
        <v>Mar</v>
      </c>
      <c r="D1118" s="2" t="s">
        <v>74</v>
      </c>
      <c r="E1118" s="2" t="s">
        <v>21</v>
      </c>
      <c r="F1118" s="2" t="str" cm="1">
        <f t="array" ref="F11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18" s="2" t="str" cm="1">
        <f t="array" ref="G11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18" s="2" t="s">
        <v>65</v>
      </c>
      <c r="I1118" s="2" t="s">
        <v>23</v>
      </c>
      <c r="J1118" s="2">
        <v>4</v>
      </c>
      <c r="K1118" s="8">
        <v>1899</v>
      </c>
      <c r="L1118" s="3">
        <v>0.1</v>
      </c>
      <c r="M1118" s="12">
        <f>K1118*L1118</f>
        <v>189.9</v>
      </c>
      <c r="N1118" s="12">
        <f>K1118*J1118</f>
        <v>7596</v>
      </c>
      <c r="O1118" s="12">
        <f>N1118-M1118</f>
        <v>7406.1</v>
      </c>
      <c r="P1118" s="2" t="s">
        <v>45</v>
      </c>
      <c r="Q1118" s="2" t="s">
        <v>18</v>
      </c>
      <c r="R1118" s="2">
        <v>40</v>
      </c>
      <c r="S1118" s="20">
        <f>Table1[[#This Row],[Net_revenue]]/Table1[[#This Row],[Gross_revenue]]*100%</f>
        <v>0.97500000000000009</v>
      </c>
      <c r="T1118" s="18">
        <f>COUNTIFS(Table1[Customer ID], "&gt;1", Table1[Customer ID], 1)</f>
        <v>0</v>
      </c>
    </row>
    <row r="1119" spans="1:20" hidden="1" x14ac:dyDescent="0.3">
      <c r="A1119" s="2" t="s">
        <v>1750</v>
      </c>
      <c r="B1119" s="5">
        <v>46020</v>
      </c>
      <c r="C1119" s="5" t="str">
        <f>TEXT(B1119,"mmm")</f>
        <v>Dec</v>
      </c>
      <c r="D1119" s="2" t="s">
        <v>1273</v>
      </c>
      <c r="E1119" s="2" t="s">
        <v>56</v>
      </c>
      <c r="F1119" s="2" t="str" cm="1">
        <f t="array" ref="F11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19" s="2" t="str" cm="1">
        <f t="array" ref="G11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19" s="2" t="s">
        <v>89</v>
      </c>
      <c r="I1119" s="2" t="s">
        <v>29</v>
      </c>
      <c r="J1119" s="2">
        <v>1</v>
      </c>
      <c r="K1119" s="8">
        <v>449</v>
      </c>
      <c r="L1119" s="3">
        <v>0.15</v>
      </c>
      <c r="M1119" s="12">
        <f>K1119*L1119</f>
        <v>67.349999999999994</v>
      </c>
      <c r="N1119" s="12">
        <f>K1119*J1119</f>
        <v>449</v>
      </c>
      <c r="O1119" s="12">
        <f>N1119-M1119</f>
        <v>381.65</v>
      </c>
      <c r="P1119" s="2" t="s">
        <v>45</v>
      </c>
      <c r="Q1119" s="2" t="s">
        <v>18</v>
      </c>
      <c r="R1119" s="2">
        <v>40</v>
      </c>
      <c r="S1119" s="20">
        <f>Table1[[#This Row],[Net_revenue]]/Table1[[#This Row],[Gross_revenue]]*100%</f>
        <v>0.85</v>
      </c>
      <c r="T1119" s="18">
        <f>COUNTIFS(Table1[Customer ID], "&gt;1", Table1[Customer ID], 1)</f>
        <v>0</v>
      </c>
    </row>
    <row r="1120" spans="1:20" hidden="1" x14ac:dyDescent="0.3">
      <c r="A1120" s="2" t="s">
        <v>1751</v>
      </c>
      <c r="B1120" s="5">
        <v>45834</v>
      </c>
      <c r="C1120" s="5" t="str">
        <f>TEXT(B1120,"mmm")</f>
        <v>Jun</v>
      </c>
      <c r="D1120" s="2" t="s">
        <v>537</v>
      </c>
      <c r="E1120" s="2" t="s">
        <v>56</v>
      </c>
      <c r="F1120" s="2" t="str" cm="1">
        <f t="array" ref="F11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20" s="2" t="str" cm="1">
        <f t="array" ref="G11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20" s="2" t="s">
        <v>44</v>
      </c>
      <c r="I1120" s="2" t="s">
        <v>16</v>
      </c>
      <c r="J1120" s="2">
        <v>2</v>
      </c>
      <c r="K1120" s="8">
        <v>1599</v>
      </c>
      <c r="L1120" s="3">
        <v>0.1</v>
      </c>
      <c r="M1120" s="12">
        <f>K1120*L1120</f>
        <v>159.9</v>
      </c>
      <c r="N1120" s="12">
        <f>K1120*J1120</f>
        <v>3198</v>
      </c>
      <c r="O1120" s="12">
        <f>N1120-M1120</f>
        <v>3038.1</v>
      </c>
      <c r="P1120" s="2" t="s">
        <v>24</v>
      </c>
      <c r="Q1120" s="2" t="s">
        <v>18</v>
      </c>
      <c r="R1120" s="2">
        <v>80</v>
      </c>
      <c r="S1120" s="20">
        <f>Table1[[#This Row],[Net_revenue]]/Table1[[#This Row],[Gross_revenue]]*100%</f>
        <v>0.95</v>
      </c>
      <c r="T1120" s="18">
        <f>COUNTIFS(Table1[Customer ID], "&gt;1", Table1[Customer ID], 1)</f>
        <v>0</v>
      </c>
    </row>
    <row r="1121" spans="1:20" hidden="1" x14ac:dyDescent="0.3">
      <c r="A1121" s="2" t="s">
        <v>1752</v>
      </c>
      <c r="B1121" s="5">
        <v>45692</v>
      </c>
      <c r="C1121" s="5" t="str">
        <f>TEXT(B1121,"mmm")</f>
        <v>Feb</v>
      </c>
      <c r="D1121" s="2" t="s">
        <v>1753</v>
      </c>
      <c r="E1121" s="2" t="s">
        <v>27</v>
      </c>
      <c r="F1121" s="2" t="str" cm="1">
        <f t="array" ref="F11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21" s="2" t="str" cm="1">
        <f t="array" ref="G11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21" s="2" t="s">
        <v>22</v>
      </c>
      <c r="I1121" s="2" t="s">
        <v>23</v>
      </c>
      <c r="J1121" s="2">
        <v>1</v>
      </c>
      <c r="K1121" s="8">
        <v>3999</v>
      </c>
      <c r="L1121" s="3">
        <v>0.05</v>
      </c>
      <c r="M1121" s="12">
        <f>K1121*L1121</f>
        <v>199.95000000000002</v>
      </c>
      <c r="N1121" s="12">
        <f>K1121*J1121</f>
        <v>3999</v>
      </c>
      <c r="O1121" s="12">
        <f>N1121-M1121</f>
        <v>3799.05</v>
      </c>
      <c r="P1121" s="2" t="s">
        <v>45</v>
      </c>
      <c r="Q1121" s="2" t="s">
        <v>72</v>
      </c>
      <c r="R1121" s="2">
        <v>40</v>
      </c>
      <c r="S1121" s="20">
        <f>Table1[[#This Row],[Net_revenue]]/Table1[[#This Row],[Gross_revenue]]*100%</f>
        <v>0.95000000000000007</v>
      </c>
      <c r="T1121" s="18">
        <f>COUNTIFS(Table1[Customer ID], "&gt;1", Table1[Customer ID], 1)</f>
        <v>0</v>
      </c>
    </row>
    <row r="1122" spans="1:20" hidden="1" x14ac:dyDescent="0.3">
      <c r="A1122" s="2" t="s">
        <v>1754</v>
      </c>
      <c r="B1122" s="5">
        <v>45925</v>
      </c>
      <c r="C1122" s="5" t="str">
        <f>TEXT(B1122,"mmm")</f>
        <v>Sep</v>
      </c>
      <c r="D1122" s="2" t="s">
        <v>505</v>
      </c>
      <c r="E1122" s="2" t="s">
        <v>56</v>
      </c>
      <c r="F1122" s="2" t="str" cm="1">
        <f t="array" ref="F11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22" s="2" t="str" cm="1">
        <f t="array" ref="G11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22" s="2" t="s">
        <v>98</v>
      </c>
      <c r="I1122" s="2" t="s">
        <v>37</v>
      </c>
      <c r="J1122" s="2">
        <v>1</v>
      </c>
      <c r="K1122" s="8">
        <v>299</v>
      </c>
      <c r="L1122" s="3">
        <v>0.15</v>
      </c>
      <c r="M1122" s="12">
        <f>K1122*L1122</f>
        <v>44.85</v>
      </c>
      <c r="N1122" s="12">
        <f>K1122*J1122</f>
        <v>299</v>
      </c>
      <c r="O1122" s="12">
        <f>N1122-M1122</f>
        <v>254.15</v>
      </c>
      <c r="P1122" s="2" t="s">
        <v>17</v>
      </c>
      <c r="Q1122" s="2" t="s">
        <v>18</v>
      </c>
      <c r="R1122" s="2">
        <v>80</v>
      </c>
      <c r="S1122" s="20">
        <f>Table1[[#This Row],[Net_revenue]]/Table1[[#This Row],[Gross_revenue]]*100%</f>
        <v>0.85</v>
      </c>
      <c r="T1122" s="18">
        <f>COUNTIFS(Table1[Customer ID], "&gt;1", Table1[Customer ID], 1)</f>
        <v>0</v>
      </c>
    </row>
    <row r="1123" spans="1:20" hidden="1" x14ac:dyDescent="0.3">
      <c r="A1123" s="2" t="s">
        <v>1755</v>
      </c>
      <c r="B1123" s="5">
        <v>45680</v>
      </c>
      <c r="C1123" s="5" t="str">
        <f>TEXT(B1123,"mmm")</f>
        <v>Jan</v>
      </c>
      <c r="D1123" s="2" t="s">
        <v>1372</v>
      </c>
      <c r="E1123" s="2" t="s">
        <v>21</v>
      </c>
      <c r="F1123" s="2" t="str" cm="1">
        <f t="array" ref="F11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23" s="2" t="str" cm="1">
        <f t="array" ref="G11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3" s="2" t="s">
        <v>41</v>
      </c>
      <c r="I1123" s="2" t="s">
        <v>16</v>
      </c>
      <c r="J1123" s="2">
        <v>1</v>
      </c>
      <c r="K1123" s="8">
        <v>2299</v>
      </c>
      <c r="L1123" s="3">
        <v>0.15</v>
      </c>
      <c r="M1123" s="12">
        <f>K1123*L1123</f>
        <v>344.84999999999997</v>
      </c>
      <c r="N1123" s="12">
        <f>K1123*J1123</f>
        <v>2299</v>
      </c>
      <c r="O1123" s="12">
        <f>N1123-M1123</f>
        <v>1954.15</v>
      </c>
      <c r="P1123" s="2" t="s">
        <v>17</v>
      </c>
      <c r="Q1123" s="2" t="s">
        <v>18</v>
      </c>
      <c r="R1123" s="2">
        <v>60</v>
      </c>
      <c r="S1123" s="20">
        <f>Table1[[#This Row],[Net_revenue]]/Table1[[#This Row],[Gross_revenue]]*100%</f>
        <v>0.85000000000000009</v>
      </c>
      <c r="T1123" s="18">
        <f>COUNTIFS(Table1[Customer ID], "&gt;1", Table1[Customer ID], 1)</f>
        <v>0</v>
      </c>
    </row>
    <row r="1124" spans="1:20" hidden="1" x14ac:dyDescent="0.3">
      <c r="A1124" s="2" t="s">
        <v>1756</v>
      </c>
      <c r="B1124" s="5">
        <v>45884</v>
      </c>
      <c r="C1124" s="5" t="str">
        <f>TEXT(B1124,"mmm")</f>
        <v>Aug</v>
      </c>
      <c r="D1124" s="2" t="s">
        <v>102</v>
      </c>
      <c r="E1124" s="2" t="s">
        <v>56</v>
      </c>
      <c r="F1124" s="2" t="str" cm="1">
        <f t="array" ref="F11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24" s="2" t="str" cm="1">
        <f t="array" ref="G11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24" s="2" t="s">
        <v>65</v>
      </c>
      <c r="I1124" s="2" t="s">
        <v>23</v>
      </c>
      <c r="J1124" s="2">
        <v>1</v>
      </c>
      <c r="K1124" s="8">
        <v>1899</v>
      </c>
      <c r="L1124" s="3">
        <v>0.1</v>
      </c>
      <c r="M1124" s="12">
        <f>K1124*L1124</f>
        <v>189.9</v>
      </c>
      <c r="N1124" s="12">
        <f>K1124*J1124</f>
        <v>1899</v>
      </c>
      <c r="O1124" s="12">
        <f>N1124-M1124</f>
        <v>1709.1</v>
      </c>
      <c r="P1124" s="2" t="s">
        <v>45</v>
      </c>
      <c r="Q1124" s="2" t="s">
        <v>18</v>
      </c>
      <c r="R1124" s="2">
        <v>80</v>
      </c>
      <c r="S1124" s="20">
        <f>Table1[[#This Row],[Net_revenue]]/Table1[[#This Row],[Gross_revenue]]*100%</f>
        <v>0.89999999999999991</v>
      </c>
      <c r="T1124" s="18">
        <f>COUNTIFS(Table1[Customer ID], "&gt;1", Table1[Customer ID], 1)</f>
        <v>0</v>
      </c>
    </row>
    <row r="1125" spans="1:20" hidden="1" x14ac:dyDescent="0.3">
      <c r="A1125" s="2" t="s">
        <v>1757</v>
      </c>
      <c r="B1125" s="5">
        <v>45976</v>
      </c>
      <c r="C1125" s="5" t="str">
        <f>TEXT(B1125,"mmm")</f>
        <v>Nov</v>
      </c>
      <c r="D1125" s="2" t="s">
        <v>1758</v>
      </c>
      <c r="E1125" s="2" t="s">
        <v>120</v>
      </c>
      <c r="F1125" s="2" t="str" cm="1">
        <f t="array" ref="F11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25" s="2" t="str" cm="1">
        <f t="array" ref="G11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5" s="2" t="s">
        <v>217</v>
      </c>
      <c r="I1125" s="2" t="s">
        <v>29</v>
      </c>
      <c r="J1125" s="2">
        <v>1</v>
      </c>
      <c r="K1125" s="8">
        <v>3299</v>
      </c>
      <c r="L1125" s="3">
        <v>0.1</v>
      </c>
      <c r="M1125" s="12">
        <f>K1125*L1125</f>
        <v>329.90000000000003</v>
      </c>
      <c r="N1125" s="12">
        <f>K1125*J1125</f>
        <v>3299</v>
      </c>
      <c r="O1125" s="12">
        <f>N1125-M1125</f>
        <v>2969.1</v>
      </c>
      <c r="P1125" s="2" t="s">
        <v>17</v>
      </c>
      <c r="Q1125" s="2" t="s">
        <v>18</v>
      </c>
      <c r="R1125" s="2">
        <v>0</v>
      </c>
      <c r="S1125" s="20">
        <f>Table1[[#This Row],[Net_revenue]]/Table1[[#This Row],[Gross_revenue]]*100%</f>
        <v>0.9</v>
      </c>
      <c r="T1125" s="18">
        <f>COUNTIFS(Table1[Customer ID], "&gt;1", Table1[Customer ID], 1)</f>
        <v>0</v>
      </c>
    </row>
    <row r="1126" spans="1:20" hidden="1" x14ac:dyDescent="0.3">
      <c r="A1126" s="2" t="s">
        <v>1759</v>
      </c>
      <c r="B1126" s="5">
        <v>45670</v>
      </c>
      <c r="C1126" s="5" t="str">
        <f>TEXT(B1126,"mmm")</f>
        <v>Jan</v>
      </c>
      <c r="D1126" s="2" t="s">
        <v>1537</v>
      </c>
      <c r="E1126" s="2" t="s">
        <v>21</v>
      </c>
      <c r="F1126" s="2" t="str" cm="1">
        <f t="array" ref="F11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26" s="2" t="str" cm="1">
        <f t="array" ref="G11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6" s="2" t="s">
        <v>15</v>
      </c>
      <c r="I1126" s="2" t="s">
        <v>16</v>
      </c>
      <c r="J1126" s="2">
        <v>3</v>
      </c>
      <c r="K1126" s="8">
        <v>1799</v>
      </c>
      <c r="L1126" s="3">
        <v>0.15</v>
      </c>
      <c r="M1126" s="12">
        <f>K1126*L1126</f>
        <v>269.84999999999997</v>
      </c>
      <c r="N1126" s="12">
        <f>K1126*J1126</f>
        <v>5397</v>
      </c>
      <c r="O1126" s="12">
        <f>N1126-M1126</f>
        <v>5127.1499999999996</v>
      </c>
      <c r="P1126" s="2" t="s">
        <v>17</v>
      </c>
      <c r="Q1126" s="2" t="s">
        <v>18</v>
      </c>
      <c r="R1126" s="2">
        <v>40</v>
      </c>
      <c r="S1126" s="20">
        <f>Table1[[#This Row],[Net_revenue]]/Table1[[#This Row],[Gross_revenue]]*100%</f>
        <v>0.95</v>
      </c>
      <c r="T1126" s="18">
        <f>COUNTIFS(Table1[Customer ID], "&gt;1", Table1[Customer ID], 1)</f>
        <v>0</v>
      </c>
    </row>
    <row r="1127" spans="1:20" hidden="1" x14ac:dyDescent="0.3">
      <c r="A1127" s="2" t="s">
        <v>1760</v>
      </c>
      <c r="B1127" s="5">
        <v>45836</v>
      </c>
      <c r="C1127" s="5" t="str">
        <f>TEXT(B1127,"mmm")</f>
        <v>Jun</v>
      </c>
      <c r="D1127" s="2" t="s">
        <v>695</v>
      </c>
      <c r="E1127" s="2" t="s">
        <v>120</v>
      </c>
      <c r="F1127" s="2" t="str" cm="1">
        <f t="array" ref="F11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27" s="2" t="str" cm="1">
        <f t="array" ref="G11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7" s="2" t="s">
        <v>44</v>
      </c>
      <c r="I1127" s="2" t="s">
        <v>16</v>
      </c>
      <c r="J1127" s="2">
        <v>1</v>
      </c>
      <c r="K1127" s="8">
        <v>1599</v>
      </c>
      <c r="L1127" s="3">
        <v>0.1</v>
      </c>
      <c r="M1127" s="12">
        <f>K1127*L1127</f>
        <v>159.9</v>
      </c>
      <c r="N1127" s="12">
        <f>K1127*J1127</f>
        <v>1599</v>
      </c>
      <c r="O1127" s="12">
        <f>N1127-M1127</f>
        <v>1439.1</v>
      </c>
      <c r="P1127" s="2" t="s">
        <v>17</v>
      </c>
      <c r="Q1127" s="2" t="s">
        <v>18</v>
      </c>
      <c r="R1127" s="2">
        <v>60</v>
      </c>
      <c r="S1127" s="20">
        <f>Table1[[#This Row],[Net_revenue]]/Table1[[#This Row],[Gross_revenue]]*100%</f>
        <v>0.89999999999999991</v>
      </c>
      <c r="T1127" s="18">
        <f>COUNTIFS(Table1[Customer ID], "&gt;1", Table1[Customer ID], 1)</f>
        <v>0</v>
      </c>
    </row>
    <row r="1128" spans="1:20" hidden="1" x14ac:dyDescent="0.3">
      <c r="A1128" s="2" t="s">
        <v>1761</v>
      </c>
      <c r="B1128" s="5">
        <v>45730</v>
      </c>
      <c r="C1128" s="5" t="str">
        <f>TEXT(B1128,"mmm")</f>
        <v>Mar</v>
      </c>
      <c r="D1128" s="2" t="s">
        <v>517</v>
      </c>
      <c r="E1128" s="2" t="s">
        <v>195</v>
      </c>
      <c r="F1128" s="2" t="str" cm="1">
        <f t="array" ref="F11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28" s="2" t="str" cm="1">
        <f t="array" ref="G11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8" s="2" t="s">
        <v>15</v>
      </c>
      <c r="I1128" s="2" t="s">
        <v>16</v>
      </c>
      <c r="J1128" s="2">
        <v>2</v>
      </c>
      <c r="K1128" s="8">
        <v>1799</v>
      </c>
      <c r="L1128" s="3">
        <v>0</v>
      </c>
      <c r="M1128" s="12">
        <f>K1128*L1128</f>
        <v>0</v>
      </c>
      <c r="N1128" s="12">
        <f>K1128*J1128</f>
        <v>3598</v>
      </c>
      <c r="O1128" s="12">
        <f>N1128-M1128</f>
        <v>3598</v>
      </c>
      <c r="P1128" s="2" t="s">
        <v>17</v>
      </c>
      <c r="Q1128" s="2" t="s">
        <v>18</v>
      </c>
      <c r="R1128" s="2">
        <v>80</v>
      </c>
      <c r="S1128" s="20">
        <f>Table1[[#This Row],[Net_revenue]]/Table1[[#This Row],[Gross_revenue]]*100%</f>
        <v>1</v>
      </c>
      <c r="T1128" s="18">
        <f>COUNTIFS(Table1[Customer ID], "&gt;1", Table1[Customer ID], 1)</f>
        <v>0</v>
      </c>
    </row>
    <row r="1129" spans="1:20" hidden="1" x14ac:dyDescent="0.3">
      <c r="A1129" s="2" t="s">
        <v>1762</v>
      </c>
      <c r="B1129" s="5">
        <v>45779</v>
      </c>
      <c r="C1129" s="5" t="str">
        <f>TEXT(B1129,"mmm")</f>
        <v>May</v>
      </c>
      <c r="D1129" s="2" t="s">
        <v>209</v>
      </c>
      <c r="E1129" s="2" t="s">
        <v>21</v>
      </c>
      <c r="F1129" s="2" t="str" cm="1">
        <f t="array" ref="F11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29" s="2" t="str" cm="1">
        <f t="array" ref="G11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29" s="2" t="s">
        <v>36</v>
      </c>
      <c r="I1129" s="2" t="s">
        <v>37</v>
      </c>
      <c r="J1129" s="2">
        <v>2</v>
      </c>
      <c r="K1129" s="8">
        <v>349</v>
      </c>
      <c r="L1129" s="3">
        <v>0.05</v>
      </c>
      <c r="M1129" s="12">
        <f>K1129*L1129</f>
        <v>17.45</v>
      </c>
      <c r="N1129" s="12">
        <f>K1129*J1129</f>
        <v>698</v>
      </c>
      <c r="O1129" s="12">
        <f>N1129-M1129</f>
        <v>680.55</v>
      </c>
      <c r="P1129" s="2" t="s">
        <v>45</v>
      </c>
      <c r="Q1129" s="2" t="s">
        <v>18</v>
      </c>
      <c r="R1129" s="2">
        <v>0</v>
      </c>
      <c r="S1129" s="20">
        <f>Table1[[#This Row],[Net_revenue]]/Table1[[#This Row],[Gross_revenue]]*100%</f>
        <v>0.97499999999999998</v>
      </c>
      <c r="T1129" s="18">
        <f>COUNTIFS(Table1[Customer ID], "&gt;1", Table1[Customer ID], 1)</f>
        <v>0</v>
      </c>
    </row>
    <row r="1130" spans="1:20" hidden="1" x14ac:dyDescent="0.3">
      <c r="A1130" s="2" t="s">
        <v>1763</v>
      </c>
      <c r="B1130" s="5">
        <v>45940</v>
      </c>
      <c r="C1130" s="5" t="str">
        <f>TEXT(B1130,"mmm")</f>
        <v>Oct</v>
      </c>
      <c r="D1130" s="2" t="s">
        <v>355</v>
      </c>
      <c r="E1130" s="2" t="s">
        <v>48</v>
      </c>
      <c r="F1130" s="2" t="str" cm="1">
        <f t="array" ref="F11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30" s="2" t="str" cm="1">
        <f t="array" ref="G11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30" s="2" t="s">
        <v>71</v>
      </c>
      <c r="I1130" s="2" t="s">
        <v>29</v>
      </c>
      <c r="J1130" s="2">
        <v>1</v>
      </c>
      <c r="K1130" s="8">
        <v>5499</v>
      </c>
      <c r="L1130" s="3">
        <v>0</v>
      </c>
      <c r="M1130" s="12">
        <f>K1130*L1130</f>
        <v>0</v>
      </c>
      <c r="N1130" s="12">
        <f>K1130*J1130</f>
        <v>5499</v>
      </c>
      <c r="O1130" s="12">
        <f>N1130-M1130</f>
        <v>5499</v>
      </c>
      <c r="P1130" s="2" t="s">
        <v>45</v>
      </c>
      <c r="Q1130" s="2" t="s">
        <v>18</v>
      </c>
      <c r="R1130" s="2">
        <v>40</v>
      </c>
      <c r="S1130" s="20">
        <f>Table1[[#This Row],[Net_revenue]]/Table1[[#This Row],[Gross_revenue]]*100%</f>
        <v>1</v>
      </c>
      <c r="T1130" s="18">
        <f>COUNTIFS(Table1[Customer ID], "&gt;1", Table1[Customer ID], 1)</f>
        <v>0</v>
      </c>
    </row>
    <row r="1131" spans="1:20" hidden="1" x14ac:dyDescent="0.3">
      <c r="A1131" s="2" t="s">
        <v>1764</v>
      </c>
      <c r="B1131" s="5">
        <v>45936</v>
      </c>
      <c r="C1131" s="5" t="str">
        <f>TEXT(B1131,"mmm")</f>
        <v>Oct</v>
      </c>
      <c r="D1131" s="2" t="s">
        <v>597</v>
      </c>
      <c r="E1131" s="2" t="s">
        <v>21</v>
      </c>
      <c r="F1131" s="2" t="str" cm="1">
        <f t="array" ref="F11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31" s="2" t="str" cm="1">
        <f t="array" ref="G11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31" s="2" t="s">
        <v>68</v>
      </c>
      <c r="I1131" s="2" t="s">
        <v>16</v>
      </c>
      <c r="J1131" s="2">
        <v>2</v>
      </c>
      <c r="K1131" s="8">
        <v>599</v>
      </c>
      <c r="L1131" s="3">
        <v>0.1</v>
      </c>
      <c r="M1131" s="12">
        <f>K1131*L1131</f>
        <v>59.900000000000006</v>
      </c>
      <c r="N1131" s="12">
        <f>K1131*J1131</f>
        <v>1198</v>
      </c>
      <c r="O1131" s="12">
        <f>N1131-M1131</f>
        <v>1138.0999999999999</v>
      </c>
      <c r="P1131" s="2" t="s">
        <v>30</v>
      </c>
      <c r="Q1131" s="2" t="s">
        <v>18</v>
      </c>
      <c r="R1131" s="2">
        <v>80</v>
      </c>
      <c r="S1131" s="20">
        <f>Table1[[#This Row],[Net_revenue]]/Table1[[#This Row],[Gross_revenue]]*100%</f>
        <v>0.95</v>
      </c>
      <c r="T1131" s="18">
        <f>COUNTIFS(Table1[Customer ID], "&gt;1", Table1[Customer ID], 1)</f>
        <v>0</v>
      </c>
    </row>
    <row r="1132" spans="1:20" hidden="1" x14ac:dyDescent="0.3">
      <c r="A1132" s="2" t="s">
        <v>1765</v>
      </c>
      <c r="B1132" s="5">
        <v>45768</v>
      </c>
      <c r="C1132" s="5" t="str">
        <f>TEXT(B1132,"mmm")</f>
        <v>Apr</v>
      </c>
      <c r="D1132" s="2" t="s">
        <v>1077</v>
      </c>
      <c r="E1132" s="2" t="s">
        <v>75</v>
      </c>
      <c r="F1132" s="2" t="str" cm="1">
        <f t="array" ref="F11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132" s="2" t="str" cm="1">
        <f t="array" ref="G11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32" s="2" t="s">
        <v>71</v>
      </c>
      <c r="I1132" s="2" t="s">
        <v>29</v>
      </c>
      <c r="J1132" s="2">
        <v>1</v>
      </c>
      <c r="K1132" s="8">
        <v>5499</v>
      </c>
      <c r="L1132" s="3">
        <v>0.15</v>
      </c>
      <c r="M1132" s="12">
        <f>K1132*L1132</f>
        <v>824.85</v>
      </c>
      <c r="N1132" s="12">
        <f>K1132*J1132</f>
        <v>5499</v>
      </c>
      <c r="O1132" s="12">
        <f>N1132-M1132</f>
        <v>4674.1499999999996</v>
      </c>
      <c r="P1132" s="2" t="s">
        <v>30</v>
      </c>
      <c r="Q1132" s="2" t="s">
        <v>50</v>
      </c>
      <c r="R1132" s="2">
        <v>60</v>
      </c>
      <c r="S1132" s="20">
        <f>Table1[[#This Row],[Net_revenue]]/Table1[[#This Row],[Gross_revenue]]*100%</f>
        <v>0.85</v>
      </c>
      <c r="T1132" s="18">
        <f>COUNTIFS(Table1[Customer ID], "&gt;1", Table1[Customer ID], 1)</f>
        <v>0</v>
      </c>
    </row>
    <row r="1133" spans="1:20" hidden="1" x14ac:dyDescent="0.3">
      <c r="A1133" s="2" t="s">
        <v>1766</v>
      </c>
      <c r="B1133" s="5">
        <v>45925</v>
      </c>
      <c r="C1133" s="5" t="str">
        <f>TEXT(B1133,"mmm")</f>
        <v>Sep</v>
      </c>
      <c r="D1133" s="2" t="s">
        <v>1767</v>
      </c>
      <c r="E1133" s="2" t="s">
        <v>40</v>
      </c>
      <c r="F1133" s="2" t="str" cm="1">
        <f t="array" ref="F11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33" s="2" t="str" cm="1">
        <f t="array" ref="G11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33" s="2" t="s">
        <v>121</v>
      </c>
      <c r="I1133" s="2" t="s">
        <v>95</v>
      </c>
      <c r="J1133" s="2">
        <v>1</v>
      </c>
      <c r="K1133" s="8">
        <v>1299</v>
      </c>
      <c r="L1133" s="3">
        <v>0.2</v>
      </c>
      <c r="M1133" s="12">
        <f>K1133*L1133</f>
        <v>259.8</v>
      </c>
      <c r="N1133" s="12">
        <f>K1133*J1133</f>
        <v>1299</v>
      </c>
      <c r="O1133" s="12">
        <f>N1133-M1133</f>
        <v>1039.2</v>
      </c>
      <c r="P1133" s="2" t="s">
        <v>45</v>
      </c>
      <c r="Q1133" s="2" t="s">
        <v>18</v>
      </c>
      <c r="R1133" s="2">
        <v>60</v>
      </c>
      <c r="S1133" s="20">
        <f>Table1[[#This Row],[Net_revenue]]/Table1[[#This Row],[Gross_revenue]]*100%</f>
        <v>0.8</v>
      </c>
      <c r="T1133" s="18">
        <f>COUNTIFS(Table1[Customer ID], "&gt;1", Table1[Customer ID], 1)</f>
        <v>0</v>
      </c>
    </row>
    <row r="1134" spans="1:20" hidden="1" x14ac:dyDescent="0.3">
      <c r="A1134" s="2" t="s">
        <v>1768</v>
      </c>
      <c r="B1134" s="5">
        <v>45971</v>
      </c>
      <c r="C1134" s="5" t="str">
        <f>TEXT(B1134,"mmm")</f>
        <v>Nov</v>
      </c>
      <c r="D1134" s="2" t="s">
        <v>1769</v>
      </c>
      <c r="E1134" s="2" t="s">
        <v>48</v>
      </c>
      <c r="F1134" s="2" t="str" cm="1">
        <f t="array" ref="F11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34" s="2" t="str" cm="1">
        <f t="array" ref="G11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34" s="2" t="s">
        <v>188</v>
      </c>
      <c r="I1134" s="2" t="s">
        <v>95</v>
      </c>
      <c r="J1134" s="2">
        <v>2</v>
      </c>
      <c r="K1134" s="8">
        <v>699</v>
      </c>
      <c r="L1134" s="3">
        <v>0.15</v>
      </c>
      <c r="M1134" s="12">
        <f>K1134*L1134</f>
        <v>104.85</v>
      </c>
      <c r="N1134" s="12">
        <f>K1134*J1134</f>
        <v>1398</v>
      </c>
      <c r="O1134" s="12">
        <f>N1134-M1134</f>
        <v>1293.1500000000001</v>
      </c>
      <c r="P1134" s="2" t="s">
        <v>45</v>
      </c>
      <c r="Q1134" s="2" t="s">
        <v>18</v>
      </c>
      <c r="R1134" s="2">
        <v>80</v>
      </c>
      <c r="S1134" s="20">
        <f>Table1[[#This Row],[Net_revenue]]/Table1[[#This Row],[Gross_revenue]]*100%</f>
        <v>0.92500000000000004</v>
      </c>
      <c r="T1134" s="18">
        <f>COUNTIFS(Table1[Customer ID], "&gt;1", Table1[Customer ID], 1)</f>
        <v>0</v>
      </c>
    </row>
    <row r="1135" spans="1:20" hidden="1" x14ac:dyDescent="0.3">
      <c r="A1135" s="2" t="s">
        <v>1770</v>
      </c>
      <c r="B1135" s="5">
        <v>45956</v>
      </c>
      <c r="C1135" s="5" t="str">
        <f>TEXT(B1135,"mmm")</f>
        <v>Oct</v>
      </c>
      <c r="D1135" s="2" t="s">
        <v>1771</v>
      </c>
      <c r="E1135" s="2" t="s">
        <v>27</v>
      </c>
      <c r="F1135" s="2" t="str" cm="1">
        <f t="array" ref="F11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35" s="2" t="str" cm="1">
        <f t="array" ref="G11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35" s="2" t="s">
        <v>80</v>
      </c>
      <c r="I1135" s="2" t="s">
        <v>23</v>
      </c>
      <c r="J1135" s="2">
        <v>1</v>
      </c>
      <c r="K1135" s="8">
        <v>799</v>
      </c>
      <c r="L1135" s="3">
        <v>0.25</v>
      </c>
      <c r="M1135" s="12">
        <f>K1135*L1135</f>
        <v>199.75</v>
      </c>
      <c r="N1135" s="12">
        <f>K1135*J1135</f>
        <v>799</v>
      </c>
      <c r="O1135" s="12">
        <f>N1135-M1135</f>
        <v>599.25</v>
      </c>
      <c r="P1135" s="2" t="s">
        <v>17</v>
      </c>
      <c r="Q1135" s="2" t="s">
        <v>18</v>
      </c>
      <c r="R1135" s="2">
        <v>60</v>
      </c>
      <c r="S1135" s="20">
        <f>Table1[[#This Row],[Net_revenue]]/Table1[[#This Row],[Gross_revenue]]*100%</f>
        <v>0.75</v>
      </c>
      <c r="T1135" s="18">
        <f>COUNTIFS(Table1[Customer ID], "&gt;1", Table1[Customer ID], 1)</f>
        <v>0</v>
      </c>
    </row>
    <row r="1136" spans="1:20" hidden="1" x14ac:dyDescent="0.3">
      <c r="A1136" s="2" t="s">
        <v>1772</v>
      </c>
      <c r="B1136" s="5">
        <v>45680</v>
      </c>
      <c r="C1136" s="5" t="str">
        <f>TEXT(B1136,"mmm")</f>
        <v>Jan</v>
      </c>
      <c r="D1136" s="2" t="s">
        <v>119</v>
      </c>
      <c r="E1136" s="2" t="s">
        <v>195</v>
      </c>
      <c r="F1136" s="2" t="str" cm="1">
        <f t="array" ref="F11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36" s="2" t="str" cm="1">
        <f t="array" ref="G11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36" s="2" t="s">
        <v>107</v>
      </c>
      <c r="I1136" s="2" t="s">
        <v>95</v>
      </c>
      <c r="J1136" s="2">
        <v>3</v>
      </c>
      <c r="K1136" s="8">
        <v>1599</v>
      </c>
      <c r="L1136" s="3">
        <v>0.2</v>
      </c>
      <c r="M1136" s="12">
        <f>K1136*L1136</f>
        <v>319.8</v>
      </c>
      <c r="N1136" s="12">
        <f>K1136*J1136</f>
        <v>4797</v>
      </c>
      <c r="O1136" s="12">
        <f>N1136-M1136</f>
        <v>4477.2</v>
      </c>
      <c r="P1136" s="2" t="s">
        <v>45</v>
      </c>
      <c r="Q1136" s="2" t="s">
        <v>18</v>
      </c>
      <c r="R1136" s="2">
        <v>0</v>
      </c>
      <c r="S1136" s="20">
        <f>Table1[[#This Row],[Net_revenue]]/Table1[[#This Row],[Gross_revenue]]*100%</f>
        <v>0.93333333333333335</v>
      </c>
      <c r="T1136" s="18">
        <f>COUNTIFS(Table1[Customer ID], "&gt;1", Table1[Customer ID], 1)</f>
        <v>0</v>
      </c>
    </row>
    <row r="1137" spans="1:20" hidden="1" x14ac:dyDescent="0.3">
      <c r="A1137" s="2" t="s">
        <v>1773</v>
      </c>
      <c r="B1137" s="5">
        <v>46022</v>
      </c>
      <c r="C1137" s="5" t="str">
        <f>TEXT(B1137,"mmm")</f>
        <v>Dec</v>
      </c>
      <c r="D1137" s="2" t="s">
        <v>874</v>
      </c>
      <c r="E1137" s="2" t="s">
        <v>21</v>
      </c>
      <c r="F1137" s="2" t="str" cm="1">
        <f t="array" ref="F11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37" s="2" t="str" cm="1">
        <f t="array" ref="G11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37" s="2" t="s">
        <v>188</v>
      </c>
      <c r="I1137" s="2" t="s">
        <v>95</v>
      </c>
      <c r="J1137" s="2">
        <v>2</v>
      </c>
      <c r="K1137" s="8">
        <v>699</v>
      </c>
      <c r="L1137" s="3">
        <v>0.1</v>
      </c>
      <c r="M1137" s="12">
        <f>K1137*L1137</f>
        <v>69.900000000000006</v>
      </c>
      <c r="N1137" s="12">
        <f>K1137*J1137</f>
        <v>1398</v>
      </c>
      <c r="O1137" s="12">
        <f>N1137-M1137</f>
        <v>1328.1</v>
      </c>
      <c r="P1137" s="2" t="s">
        <v>45</v>
      </c>
      <c r="Q1137" s="2" t="s">
        <v>18</v>
      </c>
      <c r="R1137" s="2">
        <v>40</v>
      </c>
      <c r="S1137" s="20">
        <f>Table1[[#This Row],[Net_revenue]]/Table1[[#This Row],[Gross_revenue]]*100%</f>
        <v>0.95</v>
      </c>
      <c r="T1137" s="18">
        <f>COUNTIFS(Table1[Customer ID], "&gt;1", Table1[Customer ID], 1)</f>
        <v>0</v>
      </c>
    </row>
    <row r="1138" spans="1:20" hidden="1" x14ac:dyDescent="0.3">
      <c r="A1138" s="2" t="s">
        <v>1774</v>
      </c>
      <c r="B1138" s="5">
        <v>45992</v>
      </c>
      <c r="C1138" s="5" t="str">
        <f>TEXT(B1138,"mmm")</f>
        <v>Dec</v>
      </c>
      <c r="D1138" s="2" t="s">
        <v>1775</v>
      </c>
      <c r="E1138" s="2" t="s">
        <v>21</v>
      </c>
      <c r="F1138" s="2" t="str" cm="1">
        <f t="array" ref="F11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38" s="2" t="str" cm="1">
        <f t="array" ref="G11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38" s="2" t="s">
        <v>33</v>
      </c>
      <c r="I1138" s="2" t="s">
        <v>16</v>
      </c>
      <c r="J1138" s="2">
        <v>2</v>
      </c>
      <c r="K1138" s="8">
        <v>899</v>
      </c>
      <c r="L1138" s="3">
        <v>0.25</v>
      </c>
      <c r="M1138" s="12">
        <f>K1138*L1138</f>
        <v>224.75</v>
      </c>
      <c r="N1138" s="12">
        <f>K1138*J1138</f>
        <v>1798</v>
      </c>
      <c r="O1138" s="12">
        <f>N1138-M1138</f>
        <v>1573.25</v>
      </c>
      <c r="P1138" s="2" t="s">
        <v>17</v>
      </c>
      <c r="Q1138" s="2" t="s">
        <v>18</v>
      </c>
      <c r="R1138" s="2">
        <v>60</v>
      </c>
      <c r="S1138" s="20">
        <f>Table1[[#This Row],[Net_revenue]]/Table1[[#This Row],[Gross_revenue]]*100%</f>
        <v>0.875</v>
      </c>
      <c r="T1138" s="18">
        <f>COUNTIFS(Table1[Customer ID], "&gt;1", Table1[Customer ID], 1)</f>
        <v>0</v>
      </c>
    </row>
    <row r="1139" spans="1:20" hidden="1" x14ac:dyDescent="0.3">
      <c r="A1139" s="2" t="s">
        <v>1776</v>
      </c>
      <c r="B1139" s="5">
        <v>46010</v>
      </c>
      <c r="C1139" s="5" t="str">
        <f>TEXT(B1139,"mmm")</f>
        <v>Dec</v>
      </c>
      <c r="D1139" s="2" t="s">
        <v>1707</v>
      </c>
      <c r="E1139" s="2" t="s">
        <v>48</v>
      </c>
      <c r="F1139" s="2" t="str" cm="1">
        <f t="array" ref="F11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39" s="2" t="str" cm="1">
        <f t="array" ref="G11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39" s="2" t="s">
        <v>98</v>
      </c>
      <c r="I1139" s="2" t="s">
        <v>37</v>
      </c>
      <c r="J1139" s="2">
        <v>4</v>
      </c>
      <c r="K1139" s="8">
        <v>299</v>
      </c>
      <c r="L1139" s="3">
        <v>0.2</v>
      </c>
      <c r="M1139" s="12">
        <f>K1139*L1139</f>
        <v>59.800000000000004</v>
      </c>
      <c r="N1139" s="12">
        <f>K1139*J1139</f>
        <v>1196</v>
      </c>
      <c r="O1139" s="12">
        <f>N1139-M1139</f>
        <v>1136.2</v>
      </c>
      <c r="P1139" s="2" t="s">
        <v>45</v>
      </c>
      <c r="Q1139" s="2" t="s">
        <v>18</v>
      </c>
      <c r="R1139" s="2">
        <v>80</v>
      </c>
      <c r="S1139" s="20">
        <f>Table1[[#This Row],[Net_revenue]]/Table1[[#This Row],[Gross_revenue]]*100%</f>
        <v>0.95000000000000007</v>
      </c>
      <c r="T1139" s="18">
        <f>COUNTIFS(Table1[Customer ID], "&gt;1", Table1[Customer ID], 1)</f>
        <v>0</v>
      </c>
    </row>
    <row r="1140" spans="1:20" hidden="1" x14ac:dyDescent="0.3">
      <c r="A1140" s="2" t="s">
        <v>1777</v>
      </c>
      <c r="B1140" s="5">
        <v>45849</v>
      </c>
      <c r="C1140" s="5" t="str">
        <f>TEXT(B1140,"mmm")</f>
        <v>Jul</v>
      </c>
      <c r="D1140" s="2" t="s">
        <v>1778</v>
      </c>
      <c r="E1140" s="2" t="s">
        <v>195</v>
      </c>
      <c r="F1140" s="2" t="str" cm="1">
        <f t="array" ref="F11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40" s="2" t="str" cm="1">
        <f t="array" ref="G11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40" s="2" t="s">
        <v>80</v>
      </c>
      <c r="I1140" s="2" t="s">
        <v>23</v>
      </c>
      <c r="J1140" s="2">
        <v>1</v>
      </c>
      <c r="K1140" s="8">
        <v>799</v>
      </c>
      <c r="L1140" s="3">
        <v>0.1</v>
      </c>
      <c r="M1140" s="12">
        <f>K1140*L1140</f>
        <v>79.900000000000006</v>
      </c>
      <c r="N1140" s="12">
        <f>K1140*J1140</f>
        <v>799</v>
      </c>
      <c r="O1140" s="12">
        <f>N1140-M1140</f>
        <v>719.1</v>
      </c>
      <c r="P1140" s="2" t="s">
        <v>30</v>
      </c>
      <c r="Q1140" s="2" t="s">
        <v>18</v>
      </c>
      <c r="R1140" s="2">
        <v>60</v>
      </c>
      <c r="S1140" s="20">
        <f>Table1[[#This Row],[Net_revenue]]/Table1[[#This Row],[Gross_revenue]]*100%</f>
        <v>0.9</v>
      </c>
      <c r="T1140" s="18">
        <f>COUNTIFS(Table1[Customer ID], "&gt;1", Table1[Customer ID], 1)</f>
        <v>0</v>
      </c>
    </row>
    <row r="1141" spans="1:20" hidden="1" x14ac:dyDescent="0.3">
      <c r="A1141" s="2" t="s">
        <v>1779</v>
      </c>
      <c r="B1141" s="5">
        <v>45775</v>
      </c>
      <c r="C1141" s="5" t="str">
        <f>TEXT(B1141,"mmm")</f>
        <v>Apr</v>
      </c>
      <c r="D1141" s="2" t="s">
        <v>1192</v>
      </c>
      <c r="E1141" s="2" t="s">
        <v>56</v>
      </c>
      <c r="F1141" s="2" t="str" cm="1">
        <f t="array" ref="F11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41" s="2" t="str" cm="1">
        <f t="array" ref="G11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41" s="2" t="s">
        <v>28</v>
      </c>
      <c r="I1141" s="2" t="s">
        <v>29</v>
      </c>
      <c r="J1141" s="2">
        <v>1</v>
      </c>
      <c r="K1141" s="8">
        <v>2799</v>
      </c>
      <c r="L1141" s="3">
        <v>0.2</v>
      </c>
      <c r="M1141" s="12">
        <f>K1141*L1141</f>
        <v>559.80000000000007</v>
      </c>
      <c r="N1141" s="12">
        <f>K1141*J1141</f>
        <v>2799</v>
      </c>
      <c r="O1141" s="12">
        <f>N1141-M1141</f>
        <v>2239.1999999999998</v>
      </c>
      <c r="P1141" s="2" t="s">
        <v>17</v>
      </c>
      <c r="Q1141" s="2" t="s">
        <v>18</v>
      </c>
      <c r="R1141" s="2">
        <v>0</v>
      </c>
      <c r="S1141" s="20">
        <f>Table1[[#This Row],[Net_revenue]]/Table1[[#This Row],[Gross_revenue]]*100%</f>
        <v>0.79999999999999993</v>
      </c>
      <c r="T1141" s="18">
        <f>COUNTIFS(Table1[Customer ID], "&gt;1", Table1[Customer ID], 1)</f>
        <v>0</v>
      </c>
    </row>
    <row r="1142" spans="1:20" hidden="1" x14ac:dyDescent="0.3">
      <c r="A1142" s="2" t="s">
        <v>1780</v>
      </c>
      <c r="B1142" s="5">
        <v>45758</v>
      </c>
      <c r="C1142" s="5" t="str">
        <f>TEXT(B1142,"mmm")</f>
        <v>Apr</v>
      </c>
      <c r="D1142" s="2" t="s">
        <v>725</v>
      </c>
      <c r="E1142" s="2" t="s">
        <v>56</v>
      </c>
      <c r="F1142" s="2" t="str" cm="1">
        <f t="array" ref="F11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42" s="2" t="str" cm="1">
        <f t="array" ref="G11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42" s="2" t="s">
        <v>71</v>
      </c>
      <c r="I1142" s="2" t="s">
        <v>29</v>
      </c>
      <c r="J1142" s="2">
        <v>4</v>
      </c>
      <c r="K1142" s="8">
        <v>5499</v>
      </c>
      <c r="L1142" s="3">
        <v>0</v>
      </c>
      <c r="M1142" s="12">
        <f>K1142*L1142</f>
        <v>0</v>
      </c>
      <c r="N1142" s="12">
        <f>K1142*J1142</f>
        <v>21996</v>
      </c>
      <c r="O1142" s="12">
        <f>N1142-M1142</f>
        <v>21996</v>
      </c>
      <c r="P1142" s="2" t="s">
        <v>45</v>
      </c>
      <c r="Q1142" s="2" t="s">
        <v>18</v>
      </c>
      <c r="R1142" s="2">
        <v>80</v>
      </c>
      <c r="S1142" s="20">
        <f>Table1[[#This Row],[Net_revenue]]/Table1[[#This Row],[Gross_revenue]]*100%</f>
        <v>1</v>
      </c>
      <c r="T1142" s="18">
        <f>COUNTIFS(Table1[Customer ID], "&gt;1", Table1[Customer ID], 1)</f>
        <v>0</v>
      </c>
    </row>
    <row r="1143" spans="1:20" hidden="1" x14ac:dyDescent="0.3">
      <c r="A1143" s="2" t="s">
        <v>1781</v>
      </c>
      <c r="B1143" s="5">
        <v>45674</v>
      </c>
      <c r="C1143" s="5" t="str">
        <f>TEXT(B1143,"mmm")</f>
        <v>Jan</v>
      </c>
      <c r="D1143" s="2" t="s">
        <v>1036</v>
      </c>
      <c r="E1143" s="2" t="s">
        <v>40</v>
      </c>
      <c r="F1143" s="2" t="str" cm="1">
        <f t="array" ref="F11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43" s="2" t="str" cm="1">
        <f t="array" ref="G11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43" s="2" t="s">
        <v>89</v>
      </c>
      <c r="I1143" s="2" t="s">
        <v>29</v>
      </c>
      <c r="J1143" s="2">
        <v>2</v>
      </c>
      <c r="K1143" s="8">
        <v>449</v>
      </c>
      <c r="L1143" s="3">
        <v>0</v>
      </c>
      <c r="M1143" s="12">
        <f>K1143*L1143</f>
        <v>0</v>
      </c>
      <c r="N1143" s="12">
        <f>K1143*J1143</f>
        <v>898</v>
      </c>
      <c r="O1143" s="12">
        <f>N1143-M1143</f>
        <v>898</v>
      </c>
      <c r="P1143" s="2" t="s">
        <v>45</v>
      </c>
      <c r="Q1143" s="2" t="s">
        <v>18</v>
      </c>
      <c r="R1143" s="2">
        <v>80</v>
      </c>
      <c r="S1143" s="20">
        <f>Table1[[#This Row],[Net_revenue]]/Table1[[#This Row],[Gross_revenue]]*100%</f>
        <v>1</v>
      </c>
      <c r="T1143" s="18">
        <f>COUNTIFS(Table1[Customer ID], "&gt;1", Table1[Customer ID], 1)</f>
        <v>0</v>
      </c>
    </row>
    <row r="1144" spans="1:20" hidden="1" x14ac:dyDescent="0.3">
      <c r="A1144" s="2" t="s">
        <v>1782</v>
      </c>
      <c r="B1144" s="5">
        <v>45744</v>
      </c>
      <c r="C1144" s="5" t="str">
        <f>TEXT(B1144,"mmm")</f>
        <v>Mar</v>
      </c>
      <c r="D1144" s="2" t="s">
        <v>1783</v>
      </c>
      <c r="E1144" s="2" t="s">
        <v>14</v>
      </c>
      <c r="F1144" s="2" t="str" cm="1">
        <f t="array" ref="F11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44" s="2" t="str" cm="1">
        <f t="array" ref="G11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44" s="2" t="s">
        <v>15</v>
      </c>
      <c r="I1144" s="2" t="s">
        <v>16</v>
      </c>
      <c r="J1144" s="2">
        <v>1</v>
      </c>
      <c r="K1144" s="8">
        <v>1799</v>
      </c>
      <c r="L1144" s="3">
        <v>0.2</v>
      </c>
      <c r="M1144" s="12">
        <f>K1144*L1144</f>
        <v>359.8</v>
      </c>
      <c r="N1144" s="12">
        <f>K1144*J1144</f>
        <v>1799</v>
      </c>
      <c r="O1144" s="12">
        <f>N1144-M1144</f>
        <v>1439.2</v>
      </c>
      <c r="P1144" s="2" t="s">
        <v>17</v>
      </c>
      <c r="Q1144" s="2" t="s">
        <v>18</v>
      </c>
      <c r="R1144" s="2">
        <v>80</v>
      </c>
      <c r="S1144" s="20">
        <f>Table1[[#This Row],[Net_revenue]]/Table1[[#This Row],[Gross_revenue]]*100%</f>
        <v>0.8</v>
      </c>
      <c r="T1144" s="18">
        <f>COUNTIFS(Table1[Customer ID], "&gt;1", Table1[Customer ID], 1)</f>
        <v>0</v>
      </c>
    </row>
    <row r="1145" spans="1:20" hidden="1" x14ac:dyDescent="0.3">
      <c r="A1145" s="2" t="s">
        <v>1784</v>
      </c>
      <c r="B1145" s="5">
        <v>45792</v>
      </c>
      <c r="C1145" s="5" t="str">
        <f>TEXT(B1145,"mmm")</f>
        <v>May</v>
      </c>
      <c r="D1145" s="2" t="s">
        <v>230</v>
      </c>
      <c r="E1145" s="2" t="s">
        <v>120</v>
      </c>
      <c r="F1145" s="2" t="str" cm="1">
        <f t="array" ref="F11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45" s="2" t="str" cm="1">
        <f t="array" ref="G11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45" s="2" t="s">
        <v>80</v>
      </c>
      <c r="I1145" s="2" t="s">
        <v>23</v>
      </c>
      <c r="J1145" s="2">
        <v>1</v>
      </c>
      <c r="K1145" s="8">
        <v>799</v>
      </c>
      <c r="L1145" s="3">
        <v>0</v>
      </c>
      <c r="M1145" s="12">
        <f>K1145*L1145</f>
        <v>0</v>
      </c>
      <c r="N1145" s="12">
        <f>K1145*J1145</f>
        <v>799</v>
      </c>
      <c r="O1145" s="12">
        <f>N1145-M1145</f>
        <v>799</v>
      </c>
      <c r="P1145" s="2" t="s">
        <v>17</v>
      </c>
      <c r="Q1145" s="2" t="s">
        <v>18</v>
      </c>
      <c r="R1145" s="2">
        <v>0</v>
      </c>
      <c r="S1145" s="20">
        <f>Table1[[#This Row],[Net_revenue]]/Table1[[#This Row],[Gross_revenue]]*100%</f>
        <v>1</v>
      </c>
      <c r="T1145" s="18">
        <f>COUNTIFS(Table1[Customer ID], "&gt;1", Table1[Customer ID], 1)</f>
        <v>0</v>
      </c>
    </row>
    <row r="1146" spans="1:20" hidden="1" x14ac:dyDescent="0.3">
      <c r="A1146" s="2" t="s">
        <v>1785</v>
      </c>
      <c r="B1146" s="5">
        <v>45792</v>
      </c>
      <c r="C1146" s="5" t="str">
        <f>TEXT(B1146,"mmm")</f>
        <v>May</v>
      </c>
      <c r="D1146" s="2" t="s">
        <v>426</v>
      </c>
      <c r="E1146" s="2" t="s">
        <v>21</v>
      </c>
      <c r="F1146" s="2" t="str" cm="1">
        <f t="array" ref="F11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46" s="2" t="str" cm="1">
        <f t="array" ref="G11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46" s="2" t="s">
        <v>44</v>
      </c>
      <c r="I1146" s="2" t="s">
        <v>16</v>
      </c>
      <c r="J1146" s="2">
        <v>3</v>
      </c>
      <c r="K1146" s="8">
        <v>1599</v>
      </c>
      <c r="L1146" s="3">
        <v>0.2</v>
      </c>
      <c r="M1146" s="12">
        <f>K1146*L1146</f>
        <v>319.8</v>
      </c>
      <c r="N1146" s="12">
        <f>K1146*J1146</f>
        <v>4797</v>
      </c>
      <c r="O1146" s="12">
        <f>N1146-M1146</f>
        <v>4477.2</v>
      </c>
      <c r="P1146" s="2" t="s">
        <v>17</v>
      </c>
      <c r="Q1146" s="2" t="s">
        <v>18</v>
      </c>
      <c r="R1146" s="2">
        <v>0</v>
      </c>
      <c r="S1146" s="20">
        <f>Table1[[#This Row],[Net_revenue]]/Table1[[#This Row],[Gross_revenue]]*100%</f>
        <v>0.93333333333333335</v>
      </c>
      <c r="T1146" s="18">
        <f>COUNTIFS(Table1[Customer ID], "&gt;1", Table1[Customer ID], 1)</f>
        <v>0</v>
      </c>
    </row>
    <row r="1147" spans="1:20" hidden="1" x14ac:dyDescent="0.3">
      <c r="A1147" s="2" t="s">
        <v>1786</v>
      </c>
      <c r="B1147" s="5">
        <v>45677</v>
      </c>
      <c r="C1147" s="5" t="str">
        <f>TEXT(B1147,"mmm")</f>
        <v>Jan</v>
      </c>
      <c r="D1147" s="2" t="s">
        <v>1563</v>
      </c>
      <c r="E1147" s="2" t="s">
        <v>21</v>
      </c>
      <c r="F1147" s="2" t="str" cm="1">
        <f t="array" ref="F11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47" s="2" t="str" cm="1">
        <f t="array" ref="G11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47" s="2" t="s">
        <v>15</v>
      </c>
      <c r="I1147" s="2" t="s">
        <v>16</v>
      </c>
      <c r="J1147" s="2">
        <v>1</v>
      </c>
      <c r="K1147" s="8">
        <v>1799</v>
      </c>
      <c r="L1147" s="3">
        <v>0</v>
      </c>
      <c r="M1147" s="12">
        <f>K1147*L1147</f>
        <v>0</v>
      </c>
      <c r="N1147" s="12">
        <f>K1147*J1147</f>
        <v>1799</v>
      </c>
      <c r="O1147" s="12">
        <f>N1147-M1147</f>
        <v>1799</v>
      </c>
      <c r="P1147" s="2" t="s">
        <v>17</v>
      </c>
      <c r="Q1147" s="2" t="s">
        <v>18</v>
      </c>
      <c r="R1147" s="2">
        <v>0</v>
      </c>
      <c r="S1147" s="20">
        <f>Table1[[#This Row],[Net_revenue]]/Table1[[#This Row],[Gross_revenue]]*100%</f>
        <v>1</v>
      </c>
      <c r="T1147" s="18">
        <f>COUNTIFS(Table1[Customer ID], "&gt;1", Table1[Customer ID], 1)</f>
        <v>0</v>
      </c>
    </row>
    <row r="1148" spans="1:20" hidden="1" x14ac:dyDescent="0.3">
      <c r="A1148" s="2" t="s">
        <v>1787</v>
      </c>
      <c r="B1148" s="5">
        <v>45741</v>
      </c>
      <c r="C1148" s="5" t="str">
        <f>TEXT(B1148,"mmm")</f>
        <v>Mar</v>
      </c>
      <c r="D1148" s="2" t="s">
        <v>1788</v>
      </c>
      <c r="E1148" s="2" t="s">
        <v>120</v>
      </c>
      <c r="F1148" s="2" t="str" cm="1">
        <f t="array" ref="F11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48" s="2" t="str" cm="1">
        <f t="array" ref="G11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48" s="2" t="s">
        <v>49</v>
      </c>
      <c r="I1148" s="2" t="s">
        <v>23</v>
      </c>
      <c r="J1148" s="2">
        <v>1</v>
      </c>
      <c r="K1148" s="8">
        <v>1299</v>
      </c>
      <c r="L1148" s="3">
        <v>0.2</v>
      </c>
      <c r="M1148" s="12">
        <f>K1148*L1148</f>
        <v>259.8</v>
      </c>
      <c r="N1148" s="12">
        <f>K1148*J1148</f>
        <v>1299</v>
      </c>
      <c r="O1148" s="12">
        <f>N1148-M1148</f>
        <v>1039.2</v>
      </c>
      <c r="P1148" s="2" t="s">
        <v>45</v>
      </c>
      <c r="Q1148" s="2" t="s">
        <v>50</v>
      </c>
      <c r="R1148" s="2">
        <v>60</v>
      </c>
      <c r="S1148" s="20">
        <f>Table1[[#This Row],[Net_revenue]]/Table1[[#This Row],[Gross_revenue]]*100%</f>
        <v>0.8</v>
      </c>
      <c r="T1148" s="18">
        <f>COUNTIFS(Table1[Customer ID], "&gt;1", Table1[Customer ID], 1)</f>
        <v>0</v>
      </c>
    </row>
    <row r="1149" spans="1:20" hidden="1" x14ac:dyDescent="0.3">
      <c r="A1149" s="2" t="s">
        <v>1789</v>
      </c>
      <c r="B1149" s="5">
        <v>45749</v>
      </c>
      <c r="C1149" s="5" t="str">
        <f>TEXT(B1149,"mmm")</f>
        <v>Apr</v>
      </c>
      <c r="D1149" s="2" t="s">
        <v>201</v>
      </c>
      <c r="E1149" s="2" t="s">
        <v>14</v>
      </c>
      <c r="F1149" s="2" t="str" cm="1">
        <f t="array" ref="F11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49" s="2" t="str" cm="1">
        <f t="array" ref="G11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49" s="2" t="s">
        <v>217</v>
      </c>
      <c r="I1149" s="2" t="s">
        <v>29</v>
      </c>
      <c r="J1149" s="2">
        <v>3</v>
      </c>
      <c r="K1149" s="8">
        <v>3299</v>
      </c>
      <c r="L1149" s="3">
        <v>0.1</v>
      </c>
      <c r="M1149" s="12">
        <f>K1149*L1149</f>
        <v>329.90000000000003</v>
      </c>
      <c r="N1149" s="12">
        <f>K1149*J1149</f>
        <v>9897</v>
      </c>
      <c r="O1149" s="12">
        <f>N1149-M1149</f>
        <v>9567.1</v>
      </c>
      <c r="P1149" s="2" t="s">
        <v>45</v>
      </c>
      <c r="Q1149" s="2" t="s">
        <v>18</v>
      </c>
      <c r="R1149" s="2">
        <v>80</v>
      </c>
      <c r="S1149" s="20">
        <f>Table1[[#This Row],[Net_revenue]]/Table1[[#This Row],[Gross_revenue]]*100%</f>
        <v>0.96666666666666667</v>
      </c>
      <c r="T1149" s="18">
        <f>COUNTIFS(Table1[Customer ID], "&gt;1", Table1[Customer ID], 1)</f>
        <v>0</v>
      </c>
    </row>
    <row r="1150" spans="1:20" hidden="1" x14ac:dyDescent="0.3">
      <c r="A1150" s="2" t="s">
        <v>1790</v>
      </c>
      <c r="B1150" s="5">
        <v>45792</v>
      </c>
      <c r="C1150" s="5" t="str">
        <f>TEXT(B1150,"mmm")</f>
        <v>May</v>
      </c>
      <c r="D1150" s="2" t="s">
        <v>215</v>
      </c>
      <c r="E1150" s="2" t="s">
        <v>27</v>
      </c>
      <c r="F1150" s="2" t="str" cm="1">
        <f t="array" ref="F11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50" s="2" t="str" cm="1">
        <f t="array" ref="G11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50" s="2" t="s">
        <v>98</v>
      </c>
      <c r="I1150" s="2" t="s">
        <v>37</v>
      </c>
      <c r="J1150" s="2">
        <v>4</v>
      </c>
      <c r="K1150" s="8">
        <v>299</v>
      </c>
      <c r="L1150" s="3">
        <v>0</v>
      </c>
      <c r="M1150" s="12">
        <f>K1150*L1150</f>
        <v>0</v>
      </c>
      <c r="N1150" s="12">
        <f>K1150*J1150</f>
        <v>1196</v>
      </c>
      <c r="O1150" s="12">
        <f>N1150-M1150</f>
        <v>1196</v>
      </c>
      <c r="P1150" s="2" t="s">
        <v>45</v>
      </c>
      <c r="Q1150" s="2" t="s">
        <v>18</v>
      </c>
      <c r="R1150" s="2">
        <v>0</v>
      </c>
      <c r="S1150" s="20">
        <f>Table1[[#This Row],[Net_revenue]]/Table1[[#This Row],[Gross_revenue]]*100%</f>
        <v>1</v>
      </c>
      <c r="T1150" s="18">
        <f>COUNTIFS(Table1[Customer ID], "&gt;1", Table1[Customer ID], 1)</f>
        <v>0</v>
      </c>
    </row>
    <row r="1151" spans="1:20" hidden="1" x14ac:dyDescent="0.3">
      <c r="A1151" s="2" t="s">
        <v>1791</v>
      </c>
      <c r="B1151" s="5">
        <v>45668</v>
      </c>
      <c r="C1151" s="5" t="str">
        <f>TEXT(B1151,"mmm")</f>
        <v>Jan</v>
      </c>
      <c r="D1151" s="2" t="s">
        <v>1095</v>
      </c>
      <c r="E1151" s="2" t="s">
        <v>56</v>
      </c>
      <c r="F1151" s="2" t="str" cm="1">
        <f t="array" ref="F11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51" s="2" t="str" cm="1">
        <f t="array" ref="G11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51" s="2" t="s">
        <v>188</v>
      </c>
      <c r="I1151" s="2" t="s">
        <v>95</v>
      </c>
      <c r="J1151" s="2">
        <v>2</v>
      </c>
      <c r="K1151" s="8">
        <v>699</v>
      </c>
      <c r="L1151" s="3">
        <v>0.25</v>
      </c>
      <c r="M1151" s="12">
        <f>K1151*L1151</f>
        <v>174.75</v>
      </c>
      <c r="N1151" s="12">
        <f>K1151*J1151</f>
        <v>1398</v>
      </c>
      <c r="O1151" s="12">
        <f>N1151-M1151</f>
        <v>1223.25</v>
      </c>
      <c r="P1151" s="2" t="s">
        <v>45</v>
      </c>
      <c r="Q1151" s="2" t="s">
        <v>18</v>
      </c>
      <c r="R1151" s="2">
        <v>0</v>
      </c>
      <c r="S1151" s="20">
        <f>Table1[[#This Row],[Net_revenue]]/Table1[[#This Row],[Gross_revenue]]*100%</f>
        <v>0.875</v>
      </c>
      <c r="T1151" s="18">
        <f>COUNTIFS(Table1[Customer ID], "&gt;1", Table1[Customer ID], 1)</f>
        <v>0</v>
      </c>
    </row>
    <row r="1152" spans="1:20" hidden="1" x14ac:dyDescent="0.3">
      <c r="A1152" s="2" t="s">
        <v>1792</v>
      </c>
      <c r="B1152" s="5">
        <v>45938</v>
      </c>
      <c r="C1152" s="5" t="str">
        <f>TEXT(B1152,"mmm")</f>
        <v>Oct</v>
      </c>
      <c r="D1152" s="2" t="s">
        <v>1793</v>
      </c>
      <c r="E1152" s="2" t="s">
        <v>120</v>
      </c>
      <c r="F1152" s="2" t="str" cm="1">
        <f t="array" ref="F11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52" s="2" t="str" cm="1">
        <f t="array" ref="G11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52" s="2" t="s">
        <v>65</v>
      </c>
      <c r="I1152" s="2" t="s">
        <v>23</v>
      </c>
      <c r="J1152" s="2">
        <v>2</v>
      </c>
      <c r="K1152" s="8">
        <v>1899</v>
      </c>
      <c r="L1152" s="3">
        <v>0.25</v>
      </c>
      <c r="M1152" s="12">
        <f>K1152*L1152</f>
        <v>474.75</v>
      </c>
      <c r="N1152" s="12">
        <f>K1152*J1152</f>
        <v>3798</v>
      </c>
      <c r="O1152" s="12">
        <f>N1152-M1152</f>
        <v>3323.25</v>
      </c>
      <c r="P1152" s="2" t="s">
        <v>45</v>
      </c>
      <c r="Q1152" s="2" t="s">
        <v>50</v>
      </c>
      <c r="R1152" s="2">
        <v>0</v>
      </c>
      <c r="S1152" s="20">
        <f>Table1[[#This Row],[Net_revenue]]/Table1[[#This Row],[Gross_revenue]]*100%</f>
        <v>0.875</v>
      </c>
      <c r="T1152" s="18">
        <f>COUNTIFS(Table1[Customer ID], "&gt;1", Table1[Customer ID], 1)</f>
        <v>0</v>
      </c>
    </row>
    <row r="1153" spans="1:20" hidden="1" x14ac:dyDescent="0.3">
      <c r="A1153" s="2" t="s">
        <v>1794</v>
      </c>
      <c r="B1153" s="5">
        <v>45927</v>
      </c>
      <c r="C1153" s="5" t="str">
        <f>TEXT(B1153,"mmm")</f>
        <v>Sep</v>
      </c>
      <c r="D1153" s="2" t="s">
        <v>566</v>
      </c>
      <c r="E1153" s="2" t="s">
        <v>120</v>
      </c>
      <c r="F1153" s="2" t="str" cm="1">
        <f t="array" ref="F11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53" s="2" t="str" cm="1">
        <f t="array" ref="G11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53" s="2" t="s">
        <v>217</v>
      </c>
      <c r="I1153" s="2" t="s">
        <v>29</v>
      </c>
      <c r="J1153" s="2">
        <v>2</v>
      </c>
      <c r="K1153" s="8">
        <v>3299</v>
      </c>
      <c r="L1153" s="3">
        <v>0</v>
      </c>
      <c r="M1153" s="12">
        <f>K1153*L1153</f>
        <v>0</v>
      </c>
      <c r="N1153" s="12">
        <f>K1153*J1153</f>
        <v>6598</v>
      </c>
      <c r="O1153" s="12">
        <f>N1153-M1153</f>
        <v>6598</v>
      </c>
      <c r="P1153" s="2" t="s">
        <v>24</v>
      </c>
      <c r="Q1153" s="2" t="s">
        <v>18</v>
      </c>
      <c r="R1153" s="2">
        <v>60</v>
      </c>
      <c r="S1153" s="20">
        <f>Table1[[#This Row],[Net_revenue]]/Table1[[#This Row],[Gross_revenue]]*100%</f>
        <v>1</v>
      </c>
      <c r="T1153" s="18">
        <f>COUNTIFS(Table1[Customer ID], "&gt;1", Table1[Customer ID], 1)</f>
        <v>0</v>
      </c>
    </row>
    <row r="1154" spans="1:20" hidden="1" x14ac:dyDescent="0.3">
      <c r="A1154" s="2" t="s">
        <v>1795</v>
      </c>
      <c r="B1154" s="5">
        <v>45946</v>
      </c>
      <c r="C1154" s="5" t="str">
        <f>TEXT(B1154,"mmm")</f>
        <v>Oct</v>
      </c>
      <c r="D1154" s="2" t="s">
        <v>1510</v>
      </c>
      <c r="E1154" s="2" t="s">
        <v>48</v>
      </c>
      <c r="F1154" s="2" t="str" cm="1">
        <f t="array" ref="F11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54" s="2" t="str" cm="1">
        <f t="array" ref="G11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54" s="2" t="s">
        <v>89</v>
      </c>
      <c r="I1154" s="2" t="s">
        <v>29</v>
      </c>
      <c r="J1154" s="2">
        <v>3</v>
      </c>
      <c r="K1154" s="8">
        <v>449</v>
      </c>
      <c r="L1154" s="3">
        <v>0.1</v>
      </c>
      <c r="M1154" s="12">
        <f>K1154*L1154</f>
        <v>44.900000000000006</v>
      </c>
      <c r="N1154" s="12">
        <f>K1154*J1154</f>
        <v>1347</v>
      </c>
      <c r="O1154" s="12">
        <f>N1154-M1154</f>
        <v>1302.0999999999999</v>
      </c>
      <c r="P1154" s="2" t="s">
        <v>45</v>
      </c>
      <c r="Q1154" s="2" t="s">
        <v>18</v>
      </c>
      <c r="R1154" s="2">
        <v>0</v>
      </c>
      <c r="S1154" s="20">
        <f>Table1[[#This Row],[Net_revenue]]/Table1[[#This Row],[Gross_revenue]]*100%</f>
        <v>0.96666666666666656</v>
      </c>
      <c r="T1154" s="18">
        <f>COUNTIFS(Table1[Customer ID], "&gt;1", Table1[Customer ID], 1)</f>
        <v>0</v>
      </c>
    </row>
    <row r="1155" spans="1:20" hidden="1" x14ac:dyDescent="0.3">
      <c r="A1155" s="2" t="s">
        <v>1796</v>
      </c>
      <c r="B1155" s="5">
        <v>45788</v>
      </c>
      <c r="C1155" s="5" t="str">
        <f>TEXT(B1155,"mmm")</f>
        <v>May</v>
      </c>
      <c r="D1155" s="2" t="s">
        <v>539</v>
      </c>
      <c r="E1155" s="2" t="s">
        <v>48</v>
      </c>
      <c r="F1155" s="2" t="str" cm="1">
        <f t="array" ref="F11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55" s="2" t="str" cm="1">
        <f t="array" ref="G11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55" s="2" t="s">
        <v>98</v>
      </c>
      <c r="I1155" s="2" t="s">
        <v>37</v>
      </c>
      <c r="J1155" s="2">
        <v>1</v>
      </c>
      <c r="K1155" s="8">
        <v>299</v>
      </c>
      <c r="L1155" s="3">
        <v>0</v>
      </c>
      <c r="M1155" s="12">
        <f>K1155*L1155</f>
        <v>0</v>
      </c>
      <c r="N1155" s="12">
        <f>K1155*J1155</f>
        <v>299</v>
      </c>
      <c r="O1155" s="12">
        <f>N1155-M1155</f>
        <v>299</v>
      </c>
      <c r="P1155" s="2" t="s">
        <v>45</v>
      </c>
      <c r="Q1155" s="2" t="s">
        <v>18</v>
      </c>
      <c r="R1155" s="2">
        <v>40</v>
      </c>
      <c r="S1155" s="20">
        <f>Table1[[#This Row],[Net_revenue]]/Table1[[#This Row],[Gross_revenue]]*100%</f>
        <v>1</v>
      </c>
      <c r="T1155" s="18">
        <f>COUNTIFS(Table1[Customer ID], "&gt;1", Table1[Customer ID], 1)</f>
        <v>0</v>
      </c>
    </row>
    <row r="1156" spans="1:20" hidden="1" x14ac:dyDescent="0.3">
      <c r="A1156" s="2" t="s">
        <v>1797</v>
      </c>
      <c r="B1156" s="5">
        <v>46007</v>
      </c>
      <c r="C1156" s="5" t="str">
        <f>TEXT(B1156,"mmm")</f>
        <v>Dec</v>
      </c>
      <c r="D1156" s="2" t="s">
        <v>602</v>
      </c>
      <c r="E1156" s="2" t="s">
        <v>14</v>
      </c>
      <c r="F1156" s="2" t="str" cm="1">
        <f t="array" ref="F11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56" s="2" t="str" cm="1">
        <f t="array" ref="G11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56" s="2" t="s">
        <v>28</v>
      </c>
      <c r="I1156" s="2" t="s">
        <v>29</v>
      </c>
      <c r="J1156" s="2">
        <v>2</v>
      </c>
      <c r="K1156" s="8">
        <v>2799</v>
      </c>
      <c r="L1156" s="3">
        <v>0.1</v>
      </c>
      <c r="M1156" s="12">
        <f>K1156*L1156</f>
        <v>279.90000000000003</v>
      </c>
      <c r="N1156" s="12">
        <f>K1156*J1156</f>
        <v>5598</v>
      </c>
      <c r="O1156" s="12">
        <f>N1156-M1156</f>
        <v>5318.1</v>
      </c>
      <c r="P1156" s="2" t="s">
        <v>45</v>
      </c>
      <c r="Q1156" s="2" t="s">
        <v>18</v>
      </c>
      <c r="R1156" s="2">
        <v>40</v>
      </c>
      <c r="S1156" s="20">
        <f>Table1[[#This Row],[Net_revenue]]/Table1[[#This Row],[Gross_revenue]]*100%</f>
        <v>0.95000000000000007</v>
      </c>
      <c r="T1156" s="18">
        <f>COUNTIFS(Table1[Customer ID], "&gt;1", Table1[Customer ID], 1)</f>
        <v>0</v>
      </c>
    </row>
    <row r="1157" spans="1:20" hidden="1" x14ac:dyDescent="0.3">
      <c r="A1157" s="2" t="s">
        <v>1798</v>
      </c>
      <c r="B1157" s="5">
        <v>45886</v>
      </c>
      <c r="C1157" s="5" t="str">
        <f>TEXT(B1157,"mmm")</f>
        <v>Aug</v>
      </c>
      <c r="D1157" s="2" t="s">
        <v>800</v>
      </c>
      <c r="E1157" s="2" t="s">
        <v>27</v>
      </c>
      <c r="F1157" s="2" t="str" cm="1">
        <f t="array" ref="F11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57" s="2" t="str" cm="1">
        <f t="array" ref="G11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57" s="2" t="s">
        <v>65</v>
      </c>
      <c r="I1157" s="2" t="s">
        <v>23</v>
      </c>
      <c r="J1157" s="2">
        <v>3</v>
      </c>
      <c r="K1157" s="8">
        <v>1899</v>
      </c>
      <c r="L1157" s="3">
        <v>0</v>
      </c>
      <c r="M1157" s="12">
        <f>K1157*L1157</f>
        <v>0</v>
      </c>
      <c r="N1157" s="12">
        <f>K1157*J1157</f>
        <v>5697</v>
      </c>
      <c r="O1157" s="12">
        <f>N1157-M1157</f>
        <v>5697</v>
      </c>
      <c r="P1157" s="2" t="s">
        <v>30</v>
      </c>
      <c r="Q1157" s="2" t="s">
        <v>18</v>
      </c>
      <c r="R1157" s="2">
        <v>0</v>
      </c>
      <c r="S1157" s="20">
        <f>Table1[[#This Row],[Net_revenue]]/Table1[[#This Row],[Gross_revenue]]*100%</f>
        <v>1</v>
      </c>
      <c r="T1157" s="18">
        <f>COUNTIFS(Table1[Customer ID], "&gt;1", Table1[Customer ID], 1)</f>
        <v>0</v>
      </c>
    </row>
    <row r="1158" spans="1:20" hidden="1" x14ac:dyDescent="0.3">
      <c r="A1158" s="2" t="s">
        <v>1799</v>
      </c>
      <c r="B1158" s="5">
        <v>45833</v>
      </c>
      <c r="C1158" s="5" t="str">
        <f>TEXT(B1158,"mmm")</f>
        <v>Jun</v>
      </c>
      <c r="D1158" s="2" t="s">
        <v>1433</v>
      </c>
      <c r="E1158" s="2" t="s">
        <v>195</v>
      </c>
      <c r="F1158" s="2" t="str" cm="1">
        <f t="array" ref="F11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58" s="2" t="str" cm="1">
        <f t="array" ref="G11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58" s="2" t="s">
        <v>36</v>
      </c>
      <c r="I1158" s="2" t="s">
        <v>37</v>
      </c>
      <c r="J1158" s="2">
        <v>1</v>
      </c>
      <c r="K1158" s="8">
        <v>349</v>
      </c>
      <c r="L1158" s="3">
        <v>0.1</v>
      </c>
      <c r="M1158" s="12">
        <f>K1158*L1158</f>
        <v>34.9</v>
      </c>
      <c r="N1158" s="12">
        <f>K1158*J1158</f>
        <v>349</v>
      </c>
      <c r="O1158" s="12">
        <f>N1158-M1158</f>
        <v>314.10000000000002</v>
      </c>
      <c r="P1158" s="2" t="s">
        <v>45</v>
      </c>
      <c r="Q1158" s="2" t="s">
        <v>18</v>
      </c>
      <c r="R1158" s="2">
        <v>40</v>
      </c>
      <c r="S1158" s="20">
        <f>Table1[[#This Row],[Net_revenue]]/Table1[[#This Row],[Gross_revenue]]*100%</f>
        <v>0.9</v>
      </c>
      <c r="T1158" s="18">
        <f>COUNTIFS(Table1[Customer ID], "&gt;1", Table1[Customer ID], 1)</f>
        <v>0</v>
      </c>
    </row>
    <row r="1159" spans="1:20" hidden="1" x14ac:dyDescent="0.3">
      <c r="A1159" s="2" t="s">
        <v>1800</v>
      </c>
      <c r="B1159" s="5">
        <v>45950</v>
      </c>
      <c r="C1159" s="5" t="str">
        <f>TEXT(B1159,"mmm")</f>
        <v>Oct</v>
      </c>
      <c r="D1159" s="2" t="s">
        <v>1801</v>
      </c>
      <c r="E1159" s="2" t="s">
        <v>40</v>
      </c>
      <c r="F1159" s="2" t="str" cm="1">
        <f t="array" ref="F11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59" s="2" t="str" cm="1">
        <f t="array" ref="G11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59" s="2" t="s">
        <v>15</v>
      </c>
      <c r="I1159" s="2" t="s">
        <v>16</v>
      </c>
      <c r="J1159" s="2">
        <v>1</v>
      </c>
      <c r="K1159" s="8">
        <v>1799</v>
      </c>
      <c r="L1159" s="3">
        <v>0.1</v>
      </c>
      <c r="M1159" s="12">
        <f>K1159*L1159</f>
        <v>179.9</v>
      </c>
      <c r="N1159" s="12">
        <f>K1159*J1159</f>
        <v>1799</v>
      </c>
      <c r="O1159" s="12">
        <f>N1159-M1159</f>
        <v>1619.1</v>
      </c>
      <c r="P1159" s="2" t="s">
        <v>45</v>
      </c>
      <c r="Q1159" s="2" t="s">
        <v>18</v>
      </c>
      <c r="R1159" s="2">
        <v>80</v>
      </c>
      <c r="S1159" s="20">
        <f>Table1[[#This Row],[Net_revenue]]/Table1[[#This Row],[Gross_revenue]]*100%</f>
        <v>0.89999999999999991</v>
      </c>
      <c r="T1159" s="18">
        <f>COUNTIFS(Table1[Customer ID], "&gt;1", Table1[Customer ID], 1)</f>
        <v>0</v>
      </c>
    </row>
    <row r="1160" spans="1:20" hidden="1" x14ac:dyDescent="0.3">
      <c r="A1160" s="2" t="s">
        <v>1802</v>
      </c>
      <c r="B1160" s="5">
        <v>46016</v>
      </c>
      <c r="C1160" s="5" t="str">
        <f>TEXT(B1160,"mmm")</f>
        <v>Dec</v>
      </c>
      <c r="D1160" s="2" t="s">
        <v>505</v>
      </c>
      <c r="E1160" s="2" t="s">
        <v>75</v>
      </c>
      <c r="F1160" s="2" t="str" cm="1">
        <f t="array" ref="F11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160" s="2" t="str" cm="1">
        <f t="array" ref="G11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60" s="2" t="s">
        <v>28</v>
      </c>
      <c r="I1160" s="2" t="s">
        <v>29</v>
      </c>
      <c r="J1160" s="2">
        <v>1</v>
      </c>
      <c r="K1160" s="8">
        <v>2799</v>
      </c>
      <c r="L1160" s="3">
        <v>0.25</v>
      </c>
      <c r="M1160" s="12">
        <f>K1160*L1160</f>
        <v>699.75</v>
      </c>
      <c r="N1160" s="12">
        <f>K1160*J1160</f>
        <v>2799</v>
      </c>
      <c r="O1160" s="12">
        <f>N1160-M1160</f>
        <v>2099.25</v>
      </c>
      <c r="P1160" s="2" t="s">
        <v>24</v>
      </c>
      <c r="Q1160" s="2" t="s">
        <v>18</v>
      </c>
      <c r="R1160" s="2">
        <v>40</v>
      </c>
      <c r="S1160" s="20">
        <f>Table1[[#This Row],[Net_revenue]]/Table1[[#This Row],[Gross_revenue]]*100%</f>
        <v>0.75</v>
      </c>
      <c r="T1160" s="18">
        <f>COUNTIFS(Table1[Customer ID], "&gt;1", Table1[Customer ID], 1)</f>
        <v>0</v>
      </c>
    </row>
    <row r="1161" spans="1:20" hidden="1" x14ac:dyDescent="0.3">
      <c r="A1161" s="2" t="s">
        <v>1803</v>
      </c>
      <c r="B1161" s="5">
        <v>45687</v>
      </c>
      <c r="C1161" s="5" t="str">
        <f>TEXT(B1161,"mmm")</f>
        <v>Jan</v>
      </c>
      <c r="D1161" s="2" t="s">
        <v>1775</v>
      </c>
      <c r="E1161" s="2" t="s">
        <v>53</v>
      </c>
      <c r="F1161" s="2" t="str" cm="1">
        <f t="array" ref="F11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161" s="2" t="str" cm="1">
        <f t="array" ref="G11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61" s="2" t="s">
        <v>98</v>
      </c>
      <c r="I1161" s="2" t="s">
        <v>37</v>
      </c>
      <c r="J1161" s="2">
        <v>1</v>
      </c>
      <c r="K1161" s="8">
        <v>299</v>
      </c>
      <c r="L1161" s="3">
        <v>0.05</v>
      </c>
      <c r="M1161" s="12">
        <f>K1161*L1161</f>
        <v>14.950000000000001</v>
      </c>
      <c r="N1161" s="12">
        <f>K1161*J1161</f>
        <v>299</v>
      </c>
      <c r="O1161" s="12">
        <f>N1161-M1161</f>
        <v>284.05</v>
      </c>
      <c r="P1161" s="2" t="s">
        <v>17</v>
      </c>
      <c r="Q1161" s="2" t="s">
        <v>18</v>
      </c>
      <c r="R1161" s="2">
        <v>40</v>
      </c>
      <c r="S1161" s="20">
        <f>Table1[[#This Row],[Net_revenue]]/Table1[[#This Row],[Gross_revenue]]*100%</f>
        <v>0.95000000000000007</v>
      </c>
      <c r="T1161" s="18">
        <f>COUNTIFS(Table1[Customer ID], "&gt;1", Table1[Customer ID], 1)</f>
        <v>0</v>
      </c>
    </row>
    <row r="1162" spans="1:20" hidden="1" x14ac:dyDescent="0.3">
      <c r="A1162" s="2" t="s">
        <v>1804</v>
      </c>
      <c r="B1162" s="5">
        <v>45981</v>
      </c>
      <c r="C1162" s="5" t="str">
        <f>TEXT(B1162,"mmm")</f>
        <v>Nov</v>
      </c>
      <c r="D1162" s="2" t="s">
        <v>934</v>
      </c>
      <c r="E1162" s="2" t="s">
        <v>40</v>
      </c>
      <c r="F1162" s="2" t="str" cm="1">
        <f t="array" ref="F11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62" s="2" t="str" cm="1">
        <f t="array" ref="G11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62" s="2" t="s">
        <v>49</v>
      </c>
      <c r="I1162" s="2" t="s">
        <v>23</v>
      </c>
      <c r="J1162" s="2">
        <v>2</v>
      </c>
      <c r="K1162" s="8">
        <v>1299</v>
      </c>
      <c r="L1162" s="3">
        <v>0</v>
      </c>
      <c r="M1162" s="12">
        <f>K1162*L1162</f>
        <v>0</v>
      </c>
      <c r="N1162" s="12">
        <f>K1162*J1162</f>
        <v>2598</v>
      </c>
      <c r="O1162" s="12">
        <f>N1162-M1162</f>
        <v>2598</v>
      </c>
      <c r="P1162" s="2" t="s">
        <v>30</v>
      </c>
      <c r="Q1162" s="2" t="s">
        <v>18</v>
      </c>
      <c r="R1162" s="2">
        <v>80</v>
      </c>
      <c r="S1162" s="20">
        <f>Table1[[#This Row],[Net_revenue]]/Table1[[#This Row],[Gross_revenue]]*100%</f>
        <v>1</v>
      </c>
      <c r="T1162" s="18">
        <f>COUNTIFS(Table1[Customer ID], "&gt;1", Table1[Customer ID], 1)</f>
        <v>0</v>
      </c>
    </row>
    <row r="1163" spans="1:20" hidden="1" x14ac:dyDescent="0.3">
      <c r="A1163" s="2" t="s">
        <v>1805</v>
      </c>
      <c r="B1163" s="5">
        <v>45872</v>
      </c>
      <c r="C1163" s="5" t="str">
        <f>TEXT(B1163,"mmm")</f>
        <v>Aug</v>
      </c>
      <c r="D1163" s="2" t="s">
        <v>1418</v>
      </c>
      <c r="E1163" s="2" t="s">
        <v>120</v>
      </c>
      <c r="F1163" s="2" t="str" cm="1">
        <f t="array" ref="F11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63" s="2" t="str" cm="1">
        <f t="array" ref="G11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63" s="2" t="s">
        <v>107</v>
      </c>
      <c r="I1163" s="2" t="s">
        <v>95</v>
      </c>
      <c r="J1163" s="2">
        <v>4</v>
      </c>
      <c r="K1163" s="8">
        <v>1599</v>
      </c>
      <c r="L1163" s="3">
        <v>0</v>
      </c>
      <c r="M1163" s="12">
        <f>K1163*L1163</f>
        <v>0</v>
      </c>
      <c r="N1163" s="12">
        <f>K1163*J1163</f>
        <v>6396</v>
      </c>
      <c r="O1163" s="12">
        <f>N1163-M1163</f>
        <v>6396</v>
      </c>
      <c r="P1163" s="2" t="s">
        <v>24</v>
      </c>
      <c r="Q1163" s="2" t="s">
        <v>18</v>
      </c>
      <c r="R1163" s="2">
        <v>40</v>
      </c>
      <c r="S1163" s="20">
        <f>Table1[[#This Row],[Net_revenue]]/Table1[[#This Row],[Gross_revenue]]*100%</f>
        <v>1</v>
      </c>
      <c r="T1163" s="18">
        <f>COUNTIFS(Table1[Customer ID], "&gt;1", Table1[Customer ID], 1)</f>
        <v>0</v>
      </c>
    </row>
    <row r="1164" spans="1:20" hidden="1" x14ac:dyDescent="0.3">
      <c r="A1164" s="2" t="s">
        <v>1806</v>
      </c>
      <c r="B1164" s="5">
        <v>45989</v>
      </c>
      <c r="C1164" s="5" t="str">
        <f>TEXT(B1164,"mmm")</f>
        <v>Nov</v>
      </c>
      <c r="D1164" s="2" t="s">
        <v>359</v>
      </c>
      <c r="E1164" s="2" t="s">
        <v>48</v>
      </c>
      <c r="F1164" s="2" t="str" cm="1">
        <f t="array" ref="F11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64" s="2" t="str" cm="1">
        <f t="array" ref="G11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64" s="2" t="s">
        <v>117</v>
      </c>
      <c r="I1164" s="2" t="s">
        <v>23</v>
      </c>
      <c r="J1164" s="2">
        <v>1</v>
      </c>
      <c r="K1164" s="8">
        <v>2199</v>
      </c>
      <c r="L1164" s="3">
        <v>0.2</v>
      </c>
      <c r="M1164" s="12">
        <f>K1164*L1164</f>
        <v>439.8</v>
      </c>
      <c r="N1164" s="12">
        <f>K1164*J1164</f>
        <v>2199</v>
      </c>
      <c r="O1164" s="12">
        <f>N1164-M1164</f>
        <v>1759.2</v>
      </c>
      <c r="P1164" s="2" t="s">
        <v>45</v>
      </c>
      <c r="Q1164" s="2" t="s">
        <v>18</v>
      </c>
      <c r="R1164" s="2">
        <v>60</v>
      </c>
      <c r="S1164" s="20">
        <f>Table1[[#This Row],[Net_revenue]]/Table1[[#This Row],[Gross_revenue]]*100%</f>
        <v>0.8</v>
      </c>
      <c r="T1164" s="18">
        <f>COUNTIFS(Table1[Customer ID], "&gt;1", Table1[Customer ID], 1)</f>
        <v>0</v>
      </c>
    </row>
    <row r="1165" spans="1:20" hidden="1" x14ac:dyDescent="0.3">
      <c r="A1165" s="2" t="s">
        <v>1807</v>
      </c>
      <c r="B1165" s="5">
        <v>45969</v>
      </c>
      <c r="C1165" s="5" t="str">
        <f>TEXT(B1165,"mmm")</f>
        <v>Nov</v>
      </c>
      <c r="D1165" s="2" t="s">
        <v>1808</v>
      </c>
      <c r="E1165" s="2" t="s">
        <v>56</v>
      </c>
      <c r="F1165" s="2" t="str" cm="1">
        <f t="array" ref="F11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65" s="2" t="str" cm="1">
        <f t="array" ref="G11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65" s="2" t="s">
        <v>41</v>
      </c>
      <c r="I1165" s="2" t="s">
        <v>16</v>
      </c>
      <c r="J1165" s="2">
        <v>2</v>
      </c>
      <c r="K1165" s="8">
        <v>2299</v>
      </c>
      <c r="L1165" s="3">
        <v>0</v>
      </c>
      <c r="M1165" s="12">
        <f>K1165*L1165</f>
        <v>0</v>
      </c>
      <c r="N1165" s="12">
        <f>K1165*J1165</f>
        <v>4598</v>
      </c>
      <c r="O1165" s="12">
        <f>N1165-M1165</f>
        <v>4598</v>
      </c>
      <c r="P1165" s="2" t="s">
        <v>45</v>
      </c>
      <c r="Q1165" s="2" t="s">
        <v>18</v>
      </c>
      <c r="R1165" s="2">
        <v>60</v>
      </c>
      <c r="S1165" s="20">
        <f>Table1[[#This Row],[Net_revenue]]/Table1[[#This Row],[Gross_revenue]]*100%</f>
        <v>1</v>
      </c>
      <c r="T1165" s="18">
        <f>COUNTIFS(Table1[Customer ID], "&gt;1", Table1[Customer ID], 1)</f>
        <v>0</v>
      </c>
    </row>
    <row r="1166" spans="1:20" hidden="1" x14ac:dyDescent="0.3">
      <c r="A1166" s="2" t="s">
        <v>1809</v>
      </c>
      <c r="B1166" s="5">
        <v>45721</v>
      </c>
      <c r="C1166" s="5" t="str">
        <f>TEXT(B1166,"mmm")</f>
        <v>Mar</v>
      </c>
      <c r="D1166" s="2" t="s">
        <v>1315</v>
      </c>
      <c r="E1166" s="2" t="s">
        <v>120</v>
      </c>
      <c r="F1166" s="2" t="str" cm="1">
        <f t="array" ref="F11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66" s="2" t="str" cm="1">
        <f t="array" ref="G11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66" s="2" t="s">
        <v>36</v>
      </c>
      <c r="I1166" s="2" t="s">
        <v>37</v>
      </c>
      <c r="J1166" s="2">
        <v>3</v>
      </c>
      <c r="K1166" s="8">
        <v>349</v>
      </c>
      <c r="L1166" s="3">
        <v>0</v>
      </c>
      <c r="M1166" s="12">
        <f>K1166*L1166</f>
        <v>0</v>
      </c>
      <c r="N1166" s="12">
        <f>K1166*J1166</f>
        <v>1047</v>
      </c>
      <c r="O1166" s="12">
        <f>N1166-M1166</f>
        <v>1047</v>
      </c>
      <c r="P1166" s="2" t="s">
        <v>45</v>
      </c>
      <c r="Q1166" s="2" t="s">
        <v>18</v>
      </c>
      <c r="R1166" s="2">
        <v>60</v>
      </c>
      <c r="S1166" s="20">
        <f>Table1[[#This Row],[Net_revenue]]/Table1[[#This Row],[Gross_revenue]]*100%</f>
        <v>1</v>
      </c>
      <c r="T1166" s="18">
        <f>COUNTIFS(Table1[Customer ID], "&gt;1", Table1[Customer ID], 1)</f>
        <v>0</v>
      </c>
    </row>
    <row r="1167" spans="1:20" hidden="1" x14ac:dyDescent="0.3">
      <c r="A1167" s="2" t="s">
        <v>1810</v>
      </c>
      <c r="B1167" s="5">
        <v>45754</v>
      </c>
      <c r="C1167" s="5" t="str">
        <f>TEXT(B1167,"mmm")</f>
        <v>Apr</v>
      </c>
      <c r="D1167" s="2" t="s">
        <v>296</v>
      </c>
      <c r="E1167" s="2" t="s">
        <v>27</v>
      </c>
      <c r="F1167" s="2" t="str" cm="1">
        <f t="array" ref="F11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67" s="2" t="str" cm="1">
        <f t="array" ref="G11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67" s="2" t="s">
        <v>188</v>
      </c>
      <c r="I1167" s="2" t="s">
        <v>95</v>
      </c>
      <c r="J1167" s="2">
        <v>1</v>
      </c>
      <c r="K1167" s="8">
        <v>699</v>
      </c>
      <c r="L1167" s="3">
        <v>0.15</v>
      </c>
      <c r="M1167" s="12">
        <f>K1167*L1167</f>
        <v>104.85</v>
      </c>
      <c r="N1167" s="12">
        <f>K1167*J1167</f>
        <v>699</v>
      </c>
      <c r="O1167" s="12">
        <f>N1167-M1167</f>
        <v>594.15</v>
      </c>
      <c r="P1167" s="2" t="s">
        <v>45</v>
      </c>
      <c r="Q1167" s="2" t="s">
        <v>18</v>
      </c>
      <c r="R1167" s="2">
        <v>80</v>
      </c>
      <c r="S1167" s="20">
        <f>Table1[[#This Row],[Net_revenue]]/Table1[[#This Row],[Gross_revenue]]*100%</f>
        <v>0.85</v>
      </c>
      <c r="T1167" s="18">
        <f>COUNTIFS(Table1[Customer ID], "&gt;1", Table1[Customer ID], 1)</f>
        <v>0</v>
      </c>
    </row>
    <row r="1168" spans="1:20" hidden="1" x14ac:dyDescent="0.3">
      <c r="A1168" s="2" t="s">
        <v>1811</v>
      </c>
      <c r="B1168" s="5">
        <v>45947</v>
      </c>
      <c r="C1168" s="5" t="str">
        <f>TEXT(B1168,"mmm")</f>
        <v>Oct</v>
      </c>
      <c r="D1168" s="2" t="s">
        <v>1107</v>
      </c>
      <c r="E1168" s="2" t="s">
        <v>195</v>
      </c>
      <c r="F1168" s="2" t="str" cm="1">
        <f t="array" ref="F11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168" s="2" t="str" cm="1">
        <f t="array" ref="G11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68" s="2" t="s">
        <v>22</v>
      </c>
      <c r="I1168" s="2" t="s">
        <v>23</v>
      </c>
      <c r="J1168" s="2">
        <v>3</v>
      </c>
      <c r="K1168" s="8">
        <v>3999</v>
      </c>
      <c r="L1168" s="3">
        <v>0.25</v>
      </c>
      <c r="M1168" s="12">
        <f>K1168*L1168</f>
        <v>999.75</v>
      </c>
      <c r="N1168" s="12">
        <f>K1168*J1168</f>
        <v>11997</v>
      </c>
      <c r="O1168" s="12">
        <f>N1168-M1168</f>
        <v>10997.25</v>
      </c>
      <c r="P1168" s="2" t="s">
        <v>30</v>
      </c>
      <c r="Q1168" s="2" t="s">
        <v>18</v>
      </c>
      <c r="R1168" s="2">
        <v>0</v>
      </c>
      <c r="S1168" s="20">
        <f>Table1[[#This Row],[Net_revenue]]/Table1[[#This Row],[Gross_revenue]]*100%</f>
        <v>0.91666666666666663</v>
      </c>
      <c r="T1168" s="18">
        <f>COUNTIFS(Table1[Customer ID], "&gt;1", Table1[Customer ID], 1)</f>
        <v>0</v>
      </c>
    </row>
    <row r="1169" spans="1:20" hidden="1" x14ac:dyDescent="0.3">
      <c r="A1169" s="2" t="s">
        <v>1812</v>
      </c>
      <c r="B1169" s="5">
        <v>45673</v>
      </c>
      <c r="C1169" s="5" t="str">
        <f>TEXT(B1169,"mmm")</f>
        <v>Jan</v>
      </c>
      <c r="D1169" s="2" t="s">
        <v>1813</v>
      </c>
      <c r="E1169" s="2" t="s">
        <v>40</v>
      </c>
      <c r="F1169" s="2" t="str" cm="1">
        <f t="array" ref="F11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69" s="2" t="str" cm="1">
        <f t="array" ref="G11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69" s="2" t="s">
        <v>71</v>
      </c>
      <c r="I1169" s="2" t="s">
        <v>29</v>
      </c>
      <c r="J1169" s="2">
        <v>1</v>
      </c>
      <c r="K1169" s="8">
        <v>5499</v>
      </c>
      <c r="L1169" s="3">
        <v>0</v>
      </c>
      <c r="M1169" s="12">
        <f>K1169*L1169</f>
        <v>0</v>
      </c>
      <c r="N1169" s="12">
        <f>K1169*J1169</f>
        <v>5499</v>
      </c>
      <c r="O1169" s="12">
        <f>N1169-M1169</f>
        <v>5499</v>
      </c>
      <c r="P1169" s="2" t="s">
        <v>45</v>
      </c>
      <c r="Q1169" s="2" t="s">
        <v>18</v>
      </c>
      <c r="R1169" s="2">
        <v>80</v>
      </c>
      <c r="S1169" s="20">
        <f>Table1[[#This Row],[Net_revenue]]/Table1[[#This Row],[Gross_revenue]]*100%</f>
        <v>1</v>
      </c>
      <c r="T1169" s="18">
        <f>COUNTIFS(Table1[Customer ID], "&gt;1", Table1[Customer ID], 1)</f>
        <v>0</v>
      </c>
    </row>
    <row r="1170" spans="1:20" hidden="1" x14ac:dyDescent="0.3">
      <c r="A1170" s="2" t="s">
        <v>1814</v>
      </c>
      <c r="B1170" s="5">
        <v>45925</v>
      </c>
      <c r="C1170" s="5" t="str">
        <f>TEXT(B1170,"mmm")</f>
        <v>Sep</v>
      </c>
      <c r="D1170" s="2" t="s">
        <v>351</v>
      </c>
      <c r="E1170" s="2" t="s">
        <v>40</v>
      </c>
      <c r="F1170" s="2" t="str" cm="1">
        <f t="array" ref="F11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70" s="2" t="str" cm="1">
        <f t="array" ref="G11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70" s="2" t="s">
        <v>15</v>
      </c>
      <c r="I1170" s="2" t="s">
        <v>16</v>
      </c>
      <c r="J1170" s="2">
        <v>1</v>
      </c>
      <c r="K1170" s="8">
        <v>1799</v>
      </c>
      <c r="L1170" s="3">
        <v>0.1</v>
      </c>
      <c r="M1170" s="12">
        <f>K1170*L1170</f>
        <v>179.9</v>
      </c>
      <c r="N1170" s="12">
        <f>K1170*J1170</f>
        <v>1799</v>
      </c>
      <c r="O1170" s="12">
        <f>N1170-M1170</f>
        <v>1619.1</v>
      </c>
      <c r="P1170" s="2" t="s">
        <v>45</v>
      </c>
      <c r="Q1170" s="2" t="s">
        <v>18</v>
      </c>
      <c r="R1170" s="2">
        <v>0</v>
      </c>
      <c r="S1170" s="20">
        <f>Table1[[#This Row],[Net_revenue]]/Table1[[#This Row],[Gross_revenue]]*100%</f>
        <v>0.89999999999999991</v>
      </c>
      <c r="T1170" s="18">
        <f>COUNTIFS(Table1[Customer ID], "&gt;1", Table1[Customer ID], 1)</f>
        <v>0</v>
      </c>
    </row>
    <row r="1171" spans="1:20" hidden="1" x14ac:dyDescent="0.3">
      <c r="A1171" s="2" t="s">
        <v>1815</v>
      </c>
      <c r="B1171" s="5">
        <v>45957</v>
      </c>
      <c r="C1171" s="5" t="str">
        <f>TEXT(B1171,"mmm")</f>
        <v>Oct</v>
      </c>
      <c r="D1171" s="2" t="s">
        <v>819</v>
      </c>
      <c r="E1171" s="2" t="s">
        <v>120</v>
      </c>
      <c r="F1171" s="2" t="str" cm="1">
        <f t="array" ref="F11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71" s="2" t="str" cm="1">
        <f t="array" ref="G11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71" s="2" t="s">
        <v>33</v>
      </c>
      <c r="I1171" s="2" t="s">
        <v>16</v>
      </c>
      <c r="J1171" s="2">
        <v>2</v>
      </c>
      <c r="K1171" s="8">
        <v>899</v>
      </c>
      <c r="L1171" s="3">
        <v>0.15</v>
      </c>
      <c r="M1171" s="12">
        <f>K1171*L1171</f>
        <v>134.85</v>
      </c>
      <c r="N1171" s="12">
        <f>K1171*J1171</f>
        <v>1798</v>
      </c>
      <c r="O1171" s="12">
        <f>N1171-M1171</f>
        <v>1663.15</v>
      </c>
      <c r="P1171" s="2" t="s">
        <v>30</v>
      </c>
      <c r="Q1171" s="2" t="s">
        <v>72</v>
      </c>
      <c r="R1171" s="2">
        <v>60</v>
      </c>
      <c r="S1171" s="20">
        <f>Table1[[#This Row],[Net_revenue]]/Table1[[#This Row],[Gross_revenue]]*100%</f>
        <v>0.92500000000000004</v>
      </c>
      <c r="T1171" s="18">
        <f>COUNTIFS(Table1[Customer ID], "&gt;1", Table1[Customer ID], 1)</f>
        <v>0</v>
      </c>
    </row>
    <row r="1172" spans="1:20" hidden="1" x14ac:dyDescent="0.3">
      <c r="A1172" s="2" t="s">
        <v>1816</v>
      </c>
      <c r="B1172" s="5">
        <v>46001</v>
      </c>
      <c r="C1172" s="5" t="str">
        <f>TEXT(B1172,"mmm")</f>
        <v>Dec</v>
      </c>
      <c r="D1172" s="2" t="s">
        <v>1307</v>
      </c>
      <c r="E1172" s="2" t="s">
        <v>53</v>
      </c>
      <c r="F1172" s="2" t="str" cm="1">
        <f t="array" ref="F11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172" s="2" t="str" cm="1">
        <f t="array" ref="G11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72" s="2" t="s">
        <v>188</v>
      </c>
      <c r="I1172" s="2" t="s">
        <v>95</v>
      </c>
      <c r="J1172" s="2">
        <v>1</v>
      </c>
      <c r="K1172" s="8">
        <v>699</v>
      </c>
      <c r="L1172" s="3">
        <v>0.2</v>
      </c>
      <c r="M1172" s="12">
        <f>K1172*L1172</f>
        <v>139.80000000000001</v>
      </c>
      <c r="N1172" s="12">
        <f>K1172*J1172</f>
        <v>699</v>
      </c>
      <c r="O1172" s="12">
        <f>N1172-M1172</f>
        <v>559.20000000000005</v>
      </c>
      <c r="P1172" s="2" t="s">
        <v>17</v>
      </c>
      <c r="Q1172" s="2" t="s">
        <v>18</v>
      </c>
      <c r="R1172" s="2">
        <v>40</v>
      </c>
      <c r="S1172" s="20">
        <f>Table1[[#This Row],[Net_revenue]]/Table1[[#This Row],[Gross_revenue]]*100%</f>
        <v>0.8</v>
      </c>
      <c r="T1172" s="18">
        <f>COUNTIFS(Table1[Customer ID], "&gt;1", Table1[Customer ID], 1)</f>
        <v>0</v>
      </c>
    </row>
    <row r="1173" spans="1:20" hidden="1" x14ac:dyDescent="0.3">
      <c r="A1173" s="2" t="s">
        <v>1817</v>
      </c>
      <c r="B1173" s="5">
        <v>45985</v>
      </c>
      <c r="C1173" s="5" t="str">
        <f>TEXT(B1173,"mmm")</f>
        <v>Nov</v>
      </c>
      <c r="D1173" s="2" t="s">
        <v>739</v>
      </c>
      <c r="E1173" s="2" t="s">
        <v>40</v>
      </c>
      <c r="F1173" s="2" t="str" cm="1">
        <f t="array" ref="F11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73" s="2" t="str" cm="1">
        <f t="array" ref="G11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73" s="2" t="s">
        <v>28</v>
      </c>
      <c r="I1173" s="2" t="s">
        <v>29</v>
      </c>
      <c r="J1173" s="2">
        <v>1</v>
      </c>
      <c r="K1173" s="8">
        <v>2799</v>
      </c>
      <c r="L1173" s="3">
        <v>0.2</v>
      </c>
      <c r="M1173" s="12">
        <f>K1173*L1173</f>
        <v>559.80000000000007</v>
      </c>
      <c r="N1173" s="12">
        <f>K1173*J1173</f>
        <v>2799</v>
      </c>
      <c r="O1173" s="12">
        <f>N1173-M1173</f>
        <v>2239.1999999999998</v>
      </c>
      <c r="P1173" s="2" t="s">
        <v>17</v>
      </c>
      <c r="Q1173" s="2" t="s">
        <v>18</v>
      </c>
      <c r="R1173" s="2">
        <v>40</v>
      </c>
      <c r="S1173" s="20">
        <f>Table1[[#This Row],[Net_revenue]]/Table1[[#This Row],[Gross_revenue]]*100%</f>
        <v>0.79999999999999993</v>
      </c>
      <c r="T1173" s="18">
        <f>COUNTIFS(Table1[Customer ID], "&gt;1", Table1[Customer ID], 1)</f>
        <v>0</v>
      </c>
    </row>
    <row r="1174" spans="1:20" hidden="1" x14ac:dyDescent="0.3">
      <c r="A1174" s="2" t="s">
        <v>1818</v>
      </c>
      <c r="B1174" s="5">
        <v>45714</v>
      </c>
      <c r="C1174" s="5" t="str">
        <f>TEXT(B1174,"mmm")</f>
        <v>Feb</v>
      </c>
      <c r="D1174" s="2" t="s">
        <v>1819</v>
      </c>
      <c r="E1174" s="2" t="s">
        <v>40</v>
      </c>
      <c r="F1174" s="2" t="str" cm="1">
        <f t="array" ref="F11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74" s="2" t="str" cm="1">
        <f t="array" ref="G11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74" s="2" t="s">
        <v>107</v>
      </c>
      <c r="I1174" s="2" t="s">
        <v>95</v>
      </c>
      <c r="J1174" s="2">
        <v>1</v>
      </c>
      <c r="K1174" s="8">
        <v>1599</v>
      </c>
      <c r="L1174" s="3">
        <v>0.05</v>
      </c>
      <c r="M1174" s="12">
        <f>K1174*L1174</f>
        <v>79.95</v>
      </c>
      <c r="N1174" s="12">
        <f>K1174*J1174</f>
        <v>1599</v>
      </c>
      <c r="O1174" s="12">
        <f>N1174-M1174</f>
        <v>1519.05</v>
      </c>
      <c r="P1174" s="2" t="s">
        <v>30</v>
      </c>
      <c r="Q1174" s="2" t="s">
        <v>18</v>
      </c>
      <c r="R1174" s="2">
        <v>60</v>
      </c>
      <c r="S1174" s="20">
        <f>Table1[[#This Row],[Net_revenue]]/Table1[[#This Row],[Gross_revenue]]*100%</f>
        <v>0.95</v>
      </c>
      <c r="T1174" s="18">
        <f>COUNTIFS(Table1[Customer ID], "&gt;1", Table1[Customer ID], 1)</f>
        <v>0</v>
      </c>
    </row>
    <row r="1175" spans="1:20" hidden="1" x14ac:dyDescent="0.3">
      <c r="A1175" s="2" t="s">
        <v>1820</v>
      </c>
      <c r="B1175" s="5">
        <v>45905</v>
      </c>
      <c r="C1175" s="5" t="str">
        <f>TEXT(B1175,"mmm")</f>
        <v>Sep</v>
      </c>
      <c r="D1175" s="2" t="s">
        <v>1821</v>
      </c>
      <c r="E1175" s="2" t="s">
        <v>21</v>
      </c>
      <c r="F1175" s="2" t="str" cm="1">
        <f t="array" ref="F11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75" s="2" t="str" cm="1">
        <f t="array" ref="G11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75" s="2" t="s">
        <v>22</v>
      </c>
      <c r="I1175" s="2" t="s">
        <v>23</v>
      </c>
      <c r="J1175" s="2">
        <v>2</v>
      </c>
      <c r="K1175" s="8">
        <v>3999</v>
      </c>
      <c r="L1175" s="3">
        <v>0</v>
      </c>
      <c r="M1175" s="12">
        <f>K1175*L1175</f>
        <v>0</v>
      </c>
      <c r="N1175" s="12">
        <f>K1175*J1175</f>
        <v>7998</v>
      </c>
      <c r="O1175" s="12">
        <f>N1175-M1175</f>
        <v>7998</v>
      </c>
      <c r="P1175" s="2" t="s">
        <v>45</v>
      </c>
      <c r="Q1175" s="2" t="s">
        <v>18</v>
      </c>
      <c r="R1175" s="2">
        <v>80</v>
      </c>
      <c r="S1175" s="20">
        <f>Table1[[#This Row],[Net_revenue]]/Table1[[#This Row],[Gross_revenue]]*100%</f>
        <v>1</v>
      </c>
      <c r="T1175" s="18">
        <f>COUNTIFS(Table1[Customer ID], "&gt;1", Table1[Customer ID], 1)</f>
        <v>0</v>
      </c>
    </row>
    <row r="1176" spans="1:20" hidden="1" x14ac:dyDescent="0.3">
      <c r="A1176" s="2" t="s">
        <v>1822</v>
      </c>
      <c r="B1176" s="5">
        <v>45718</v>
      </c>
      <c r="C1176" s="5" t="str">
        <f>TEXT(B1176,"mmm")</f>
        <v>Mar</v>
      </c>
      <c r="D1176" s="2" t="s">
        <v>440</v>
      </c>
      <c r="E1176" s="2" t="s">
        <v>120</v>
      </c>
      <c r="F1176" s="2" t="str" cm="1">
        <f t="array" ref="F11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76" s="2" t="str" cm="1">
        <f t="array" ref="G11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76" s="2" t="s">
        <v>80</v>
      </c>
      <c r="I1176" s="2" t="s">
        <v>23</v>
      </c>
      <c r="J1176" s="2">
        <v>3</v>
      </c>
      <c r="K1176" s="8">
        <v>799</v>
      </c>
      <c r="L1176" s="3">
        <v>0</v>
      </c>
      <c r="M1176" s="12">
        <f>K1176*L1176</f>
        <v>0</v>
      </c>
      <c r="N1176" s="12">
        <f>K1176*J1176</f>
        <v>2397</v>
      </c>
      <c r="O1176" s="12">
        <f>N1176-M1176</f>
        <v>2397</v>
      </c>
      <c r="P1176" s="2" t="s">
        <v>24</v>
      </c>
      <c r="Q1176" s="2" t="s">
        <v>18</v>
      </c>
      <c r="R1176" s="2">
        <v>60</v>
      </c>
      <c r="S1176" s="20">
        <f>Table1[[#This Row],[Net_revenue]]/Table1[[#This Row],[Gross_revenue]]*100%</f>
        <v>1</v>
      </c>
      <c r="T1176" s="18">
        <f>COUNTIFS(Table1[Customer ID], "&gt;1", Table1[Customer ID], 1)</f>
        <v>0</v>
      </c>
    </row>
    <row r="1177" spans="1:20" hidden="1" x14ac:dyDescent="0.3">
      <c r="A1177" s="2" t="s">
        <v>1823</v>
      </c>
      <c r="B1177" s="5">
        <v>46005</v>
      </c>
      <c r="C1177" s="5" t="str">
        <f>TEXT(B1177,"mmm")</f>
        <v>Dec</v>
      </c>
      <c r="D1177" s="2" t="s">
        <v>779</v>
      </c>
      <c r="E1177" s="2" t="s">
        <v>75</v>
      </c>
      <c r="F1177" s="2" t="str" cm="1">
        <f t="array" ref="F11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177" s="2" t="str" cm="1">
        <f t="array" ref="G11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77" s="2" t="s">
        <v>49</v>
      </c>
      <c r="I1177" s="2" t="s">
        <v>23</v>
      </c>
      <c r="J1177" s="2">
        <v>2</v>
      </c>
      <c r="K1177" s="8">
        <v>1299</v>
      </c>
      <c r="L1177" s="3">
        <v>0.2</v>
      </c>
      <c r="M1177" s="12">
        <f>K1177*L1177</f>
        <v>259.8</v>
      </c>
      <c r="N1177" s="12">
        <f>K1177*J1177</f>
        <v>2598</v>
      </c>
      <c r="O1177" s="12">
        <f>N1177-M1177</f>
        <v>2338.1999999999998</v>
      </c>
      <c r="P1177" s="2" t="s">
        <v>45</v>
      </c>
      <c r="Q1177" s="2" t="s">
        <v>18</v>
      </c>
      <c r="R1177" s="2">
        <v>40</v>
      </c>
      <c r="S1177" s="20">
        <f>Table1[[#This Row],[Net_revenue]]/Table1[[#This Row],[Gross_revenue]]*100%</f>
        <v>0.89999999999999991</v>
      </c>
      <c r="T1177" s="18">
        <f>COUNTIFS(Table1[Customer ID], "&gt;1", Table1[Customer ID], 1)</f>
        <v>0</v>
      </c>
    </row>
    <row r="1178" spans="1:20" hidden="1" x14ac:dyDescent="0.3">
      <c r="A1178" s="2" t="s">
        <v>1824</v>
      </c>
      <c r="B1178" s="5">
        <v>45661</v>
      </c>
      <c r="C1178" s="5" t="str">
        <f>TEXT(B1178,"mmm")</f>
        <v>Jan</v>
      </c>
      <c r="D1178" s="2" t="s">
        <v>1825</v>
      </c>
      <c r="E1178" s="2" t="s">
        <v>21</v>
      </c>
      <c r="F1178" s="2" t="str" cm="1">
        <f t="array" ref="F11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78" s="2" t="str" cm="1">
        <f t="array" ref="G11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78" s="2" t="s">
        <v>94</v>
      </c>
      <c r="I1178" s="2" t="s">
        <v>95</v>
      </c>
      <c r="J1178" s="2">
        <v>2</v>
      </c>
      <c r="K1178" s="8">
        <v>399</v>
      </c>
      <c r="L1178" s="3">
        <v>0.1</v>
      </c>
      <c r="M1178" s="12">
        <f>K1178*L1178</f>
        <v>39.900000000000006</v>
      </c>
      <c r="N1178" s="12">
        <f>K1178*J1178</f>
        <v>798</v>
      </c>
      <c r="O1178" s="12">
        <f>N1178-M1178</f>
        <v>758.1</v>
      </c>
      <c r="P1178" s="2" t="s">
        <v>45</v>
      </c>
      <c r="Q1178" s="2" t="s">
        <v>18</v>
      </c>
      <c r="R1178" s="2">
        <v>0</v>
      </c>
      <c r="S1178" s="20">
        <f>Table1[[#This Row],[Net_revenue]]/Table1[[#This Row],[Gross_revenue]]*100%</f>
        <v>0.95000000000000007</v>
      </c>
      <c r="T1178" s="18">
        <f>COUNTIFS(Table1[Customer ID], "&gt;1", Table1[Customer ID], 1)</f>
        <v>0</v>
      </c>
    </row>
    <row r="1179" spans="1:20" hidden="1" x14ac:dyDescent="0.3">
      <c r="A1179" s="2" t="s">
        <v>1826</v>
      </c>
      <c r="B1179" s="5">
        <v>45703</v>
      </c>
      <c r="C1179" s="5" t="str">
        <f>TEXT(B1179,"mmm")</f>
        <v>Feb</v>
      </c>
      <c r="D1179" s="2" t="s">
        <v>1121</v>
      </c>
      <c r="E1179" s="2" t="s">
        <v>48</v>
      </c>
      <c r="F1179" s="2" t="str" cm="1">
        <f t="array" ref="F11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79" s="2" t="str" cm="1">
        <f t="array" ref="G11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79" s="2" t="s">
        <v>49</v>
      </c>
      <c r="I1179" s="2" t="s">
        <v>23</v>
      </c>
      <c r="J1179" s="2">
        <v>1</v>
      </c>
      <c r="K1179" s="8">
        <v>1299</v>
      </c>
      <c r="L1179" s="3">
        <v>0</v>
      </c>
      <c r="M1179" s="12">
        <f>K1179*L1179</f>
        <v>0</v>
      </c>
      <c r="N1179" s="12">
        <f>K1179*J1179</f>
        <v>1299</v>
      </c>
      <c r="O1179" s="12">
        <f>N1179-M1179</f>
        <v>1299</v>
      </c>
      <c r="P1179" s="2" t="s">
        <v>45</v>
      </c>
      <c r="Q1179" s="2" t="s">
        <v>18</v>
      </c>
      <c r="R1179" s="2">
        <v>40</v>
      </c>
      <c r="S1179" s="20">
        <f>Table1[[#This Row],[Net_revenue]]/Table1[[#This Row],[Gross_revenue]]*100%</f>
        <v>1</v>
      </c>
      <c r="T1179" s="18">
        <f>COUNTIFS(Table1[Customer ID], "&gt;1", Table1[Customer ID], 1)</f>
        <v>0</v>
      </c>
    </row>
    <row r="1180" spans="1:20" hidden="1" x14ac:dyDescent="0.3">
      <c r="A1180" s="2" t="s">
        <v>1827</v>
      </c>
      <c r="B1180" s="5">
        <v>45761</v>
      </c>
      <c r="C1180" s="5" t="str">
        <f>TEXT(B1180,"mmm")</f>
        <v>Apr</v>
      </c>
      <c r="D1180" s="2" t="s">
        <v>1442</v>
      </c>
      <c r="E1180" s="2" t="s">
        <v>48</v>
      </c>
      <c r="F1180" s="2" t="str" cm="1">
        <f t="array" ref="F11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80" s="2" t="str" cm="1">
        <f t="array" ref="G11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80" s="2" t="s">
        <v>65</v>
      </c>
      <c r="I1180" s="2" t="s">
        <v>23</v>
      </c>
      <c r="J1180" s="2">
        <v>4</v>
      </c>
      <c r="K1180" s="8">
        <v>1899</v>
      </c>
      <c r="L1180" s="3">
        <v>0.15</v>
      </c>
      <c r="M1180" s="12">
        <f>K1180*L1180</f>
        <v>284.84999999999997</v>
      </c>
      <c r="N1180" s="12">
        <f>K1180*J1180</f>
        <v>7596</v>
      </c>
      <c r="O1180" s="12">
        <f>N1180-M1180</f>
        <v>7311.15</v>
      </c>
      <c r="P1180" s="2" t="s">
        <v>45</v>
      </c>
      <c r="Q1180" s="2" t="s">
        <v>18</v>
      </c>
      <c r="R1180" s="2">
        <v>80</v>
      </c>
      <c r="S1180" s="20">
        <f>Table1[[#This Row],[Net_revenue]]/Table1[[#This Row],[Gross_revenue]]*100%</f>
        <v>0.96249999999999991</v>
      </c>
      <c r="T1180" s="18">
        <f>COUNTIFS(Table1[Customer ID], "&gt;1", Table1[Customer ID], 1)</f>
        <v>0</v>
      </c>
    </row>
    <row r="1181" spans="1:20" hidden="1" x14ac:dyDescent="0.3">
      <c r="A1181" s="2" t="s">
        <v>1828</v>
      </c>
      <c r="B1181" s="5">
        <v>45924</v>
      </c>
      <c r="C1181" s="5" t="str">
        <f>TEXT(B1181,"mmm")</f>
        <v>Sep</v>
      </c>
      <c r="D1181" s="2" t="s">
        <v>1829</v>
      </c>
      <c r="E1181" s="2" t="s">
        <v>56</v>
      </c>
      <c r="F1181" s="2" t="str" cm="1">
        <f t="array" ref="F11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181" s="2" t="str" cm="1">
        <f t="array" ref="G11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81" s="2" t="s">
        <v>41</v>
      </c>
      <c r="I1181" s="2" t="s">
        <v>16</v>
      </c>
      <c r="J1181" s="2">
        <v>1</v>
      </c>
      <c r="K1181" s="8">
        <v>2299</v>
      </c>
      <c r="L1181" s="3">
        <v>0</v>
      </c>
      <c r="M1181" s="12">
        <f>K1181*L1181</f>
        <v>0</v>
      </c>
      <c r="N1181" s="12">
        <f>K1181*J1181</f>
        <v>2299</v>
      </c>
      <c r="O1181" s="12">
        <f>N1181-M1181</f>
        <v>2299</v>
      </c>
      <c r="P1181" s="2" t="s">
        <v>17</v>
      </c>
      <c r="Q1181" s="2" t="s">
        <v>18</v>
      </c>
      <c r="R1181" s="2">
        <v>0</v>
      </c>
      <c r="S1181" s="20">
        <f>Table1[[#This Row],[Net_revenue]]/Table1[[#This Row],[Gross_revenue]]*100%</f>
        <v>1</v>
      </c>
      <c r="T1181" s="18">
        <f>COUNTIFS(Table1[Customer ID], "&gt;1", Table1[Customer ID], 1)</f>
        <v>0</v>
      </c>
    </row>
    <row r="1182" spans="1:20" hidden="1" x14ac:dyDescent="0.3">
      <c r="A1182" s="2" t="s">
        <v>1830</v>
      </c>
      <c r="B1182" s="5">
        <v>45956</v>
      </c>
      <c r="C1182" s="5" t="str">
        <f>TEXT(B1182,"mmm")</f>
        <v>Oct</v>
      </c>
      <c r="D1182" s="2" t="s">
        <v>1442</v>
      </c>
      <c r="E1182" s="2" t="s">
        <v>21</v>
      </c>
      <c r="F1182" s="2" t="str" cm="1">
        <f t="array" ref="F11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82" s="2" t="str" cm="1">
        <f t="array" ref="G11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82" s="2" t="s">
        <v>63</v>
      </c>
      <c r="I1182" s="2" t="s">
        <v>23</v>
      </c>
      <c r="J1182" s="2">
        <v>1</v>
      </c>
      <c r="K1182" s="8">
        <v>2499</v>
      </c>
      <c r="L1182" s="3">
        <v>0.1</v>
      </c>
      <c r="M1182" s="12">
        <f>K1182*L1182</f>
        <v>249.9</v>
      </c>
      <c r="N1182" s="12">
        <f>K1182*J1182</f>
        <v>2499</v>
      </c>
      <c r="O1182" s="12">
        <f>N1182-M1182</f>
        <v>2249.1</v>
      </c>
      <c r="P1182" s="2" t="s">
        <v>30</v>
      </c>
      <c r="Q1182" s="2" t="s">
        <v>18</v>
      </c>
      <c r="R1182" s="2">
        <v>60</v>
      </c>
      <c r="S1182" s="20">
        <f>Table1[[#This Row],[Net_revenue]]/Table1[[#This Row],[Gross_revenue]]*100%</f>
        <v>0.89999999999999991</v>
      </c>
      <c r="T1182" s="18">
        <f>COUNTIFS(Table1[Customer ID], "&gt;1", Table1[Customer ID], 1)</f>
        <v>0</v>
      </c>
    </row>
    <row r="1183" spans="1:20" hidden="1" x14ac:dyDescent="0.3">
      <c r="A1183" s="2" t="s">
        <v>1831</v>
      </c>
      <c r="B1183" s="5">
        <v>45859</v>
      </c>
      <c r="C1183" s="5" t="str">
        <f>TEXT(B1183,"mmm")</f>
        <v>Jul</v>
      </c>
      <c r="D1183" s="2" t="s">
        <v>1832</v>
      </c>
      <c r="E1183" s="2" t="s">
        <v>48</v>
      </c>
      <c r="F1183" s="2" t="str" cm="1">
        <f t="array" ref="F11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83" s="2" t="str" cm="1">
        <f t="array" ref="G11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83" s="2" t="s">
        <v>117</v>
      </c>
      <c r="I1183" s="2" t="s">
        <v>23</v>
      </c>
      <c r="J1183" s="2">
        <v>5</v>
      </c>
      <c r="K1183" s="8">
        <v>2199</v>
      </c>
      <c r="L1183" s="3">
        <v>0</v>
      </c>
      <c r="M1183" s="12">
        <f>K1183*L1183</f>
        <v>0</v>
      </c>
      <c r="N1183" s="12">
        <f>K1183*J1183</f>
        <v>10995</v>
      </c>
      <c r="O1183" s="12">
        <f>N1183-M1183</f>
        <v>10995</v>
      </c>
      <c r="P1183" s="2" t="s">
        <v>45</v>
      </c>
      <c r="Q1183" s="2" t="s">
        <v>18</v>
      </c>
      <c r="R1183" s="2">
        <v>0</v>
      </c>
      <c r="S1183" s="20">
        <f>Table1[[#This Row],[Net_revenue]]/Table1[[#This Row],[Gross_revenue]]*100%</f>
        <v>1</v>
      </c>
      <c r="T1183" s="18">
        <f>COUNTIFS(Table1[Customer ID], "&gt;1", Table1[Customer ID], 1)</f>
        <v>0</v>
      </c>
    </row>
    <row r="1184" spans="1:20" hidden="1" x14ac:dyDescent="0.3">
      <c r="A1184" s="2" t="s">
        <v>1833</v>
      </c>
      <c r="B1184" s="5">
        <v>45855</v>
      </c>
      <c r="C1184" s="5" t="str">
        <f>TEXT(B1184,"mmm")</f>
        <v>Jul</v>
      </c>
      <c r="D1184" s="2" t="s">
        <v>1834</v>
      </c>
      <c r="E1184" s="2" t="s">
        <v>21</v>
      </c>
      <c r="F1184" s="2" t="str" cm="1">
        <f t="array" ref="F11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84" s="2" t="str" cm="1">
        <f t="array" ref="G11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84" s="2" t="s">
        <v>80</v>
      </c>
      <c r="I1184" s="2" t="s">
        <v>23</v>
      </c>
      <c r="J1184" s="2">
        <v>1</v>
      </c>
      <c r="K1184" s="8">
        <v>799</v>
      </c>
      <c r="L1184" s="3">
        <v>0.2</v>
      </c>
      <c r="M1184" s="12">
        <f>K1184*L1184</f>
        <v>159.80000000000001</v>
      </c>
      <c r="N1184" s="12">
        <f>K1184*J1184</f>
        <v>799</v>
      </c>
      <c r="O1184" s="12">
        <f>N1184-M1184</f>
        <v>639.20000000000005</v>
      </c>
      <c r="P1184" s="2" t="s">
        <v>45</v>
      </c>
      <c r="Q1184" s="2" t="s">
        <v>18</v>
      </c>
      <c r="R1184" s="2">
        <v>80</v>
      </c>
      <c r="S1184" s="20">
        <f>Table1[[#This Row],[Net_revenue]]/Table1[[#This Row],[Gross_revenue]]*100%</f>
        <v>0.8</v>
      </c>
      <c r="T1184" s="18">
        <f>COUNTIFS(Table1[Customer ID], "&gt;1", Table1[Customer ID], 1)</f>
        <v>0</v>
      </c>
    </row>
    <row r="1185" spans="1:20" hidden="1" x14ac:dyDescent="0.3">
      <c r="A1185" s="2" t="s">
        <v>1835</v>
      </c>
      <c r="B1185" s="5">
        <v>45901</v>
      </c>
      <c r="C1185" s="5" t="str">
        <f>TEXT(B1185,"mmm")</f>
        <v>Sep</v>
      </c>
      <c r="D1185" s="2" t="s">
        <v>1175</v>
      </c>
      <c r="E1185" s="2" t="s">
        <v>14</v>
      </c>
      <c r="F1185" s="2" t="str" cm="1">
        <f t="array" ref="F11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85" s="2" t="str" cm="1">
        <f t="array" ref="G11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85" s="2" t="s">
        <v>36</v>
      </c>
      <c r="I1185" s="2" t="s">
        <v>37</v>
      </c>
      <c r="J1185" s="2">
        <v>1</v>
      </c>
      <c r="K1185" s="8">
        <v>349</v>
      </c>
      <c r="L1185" s="3">
        <v>0.05</v>
      </c>
      <c r="M1185" s="12">
        <f>K1185*L1185</f>
        <v>17.45</v>
      </c>
      <c r="N1185" s="12">
        <f>K1185*J1185</f>
        <v>349</v>
      </c>
      <c r="O1185" s="12">
        <f>N1185-M1185</f>
        <v>331.55</v>
      </c>
      <c r="P1185" s="2" t="s">
        <v>45</v>
      </c>
      <c r="Q1185" s="2" t="s">
        <v>18</v>
      </c>
      <c r="R1185" s="2">
        <v>60</v>
      </c>
      <c r="S1185" s="20">
        <f>Table1[[#This Row],[Net_revenue]]/Table1[[#This Row],[Gross_revenue]]*100%</f>
        <v>0.95000000000000007</v>
      </c>
      <c r="T1185" s="18">
        <f>COUNTIFS(Table1[Customer ID], "&gt;1", Table1[Customer ID], 1)</f>
        <v>0</v>
      </c>
    </row>
    <row r="1186" spans="1:20" hidden="1" x14ac:dyDescent="0.3">
      <c r="A1186" s="2" t="s">
        <v>1836</v>
      </c>
      <c r="B1186" s="5">
        <v>45842</v>
      </c>
      <c r="C1186" s="5" t="str">
        <f>TEXT(B1186,"mmm")</f>
        <v>Jul</v>
      </c>
      <c r="D1186" s="2" t="s">
        <v>522</v>
      </c>
      <c r="E1186" s="2" t="s">
        <v>40</v>
      </c>
      <c r="F1186" s="2" t="str" cm="1">
        <f t="array" ref="F11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86" s="2" t="str" cm="1">
        <f t="array" ref="G11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86" s="2" t="s">
        <v>71</v>
      </c>
      <c r="I1186" s="2" t="s">
        <v>29</v>
      </c>
      <c r="J1186" s="2">
        <v>2</v>
      </c>
      <c r="K1186" s="8">
        <v>5499</v>
      </c>
      <c r="L1186" s="3">
        <v>0</v>
      </c>
      <c r="M1186" s="12">
        <f>K1186*L1186</f>
        <v>0</v>
      </c>
      <c r="N1186" s="12">
        <f>K1186*J1186</f>
        <v>10998</v>
      </c>
      <c r="O1186" s="12">
        <f>N1186-M1186</f>
        <v>10998</v>
      </c>
      <c r="P1186" s="2" t="s">
        <v>17</v>
      </c>
      <c r="Q1186" s="2" t="s">
        <v>18</v>
      </c>
      <c r="R1186" s="2">
        <v>40</v>
      </c>
      <c r="S1186" s="20">
        <f>Table1[[#This Row],[Net_revenue]]/Table1[[#This Row],[Gross_revenue]]*100%</f>
        <v>1</v>
      </c>
      <c r="T1186" s="18">
        <f>COUNTIFS(Table1[Customer ID], "&gt;1", Table1[Customer ID], 1)</f>
        <v>0</v>
      </c>
    </row>
    <row r="1187" spans="1:20" hidden="1" x14ac:dyDescent="0.3">
      <c r="A1187" s="2" t="s">
        <v>1837</v>
      </c>
      <c r="B1187" s="5">
        <v>45869</v>
      </c>
      <c r="C1187" s="5" t="str">
        <f>TEXT(B1187,"mmm")</f>
        <v>Jul</v>
      </c>
      <c r="D1187" s="2" t="s">
        <v>174</v>
      </c>
      <c r="E1187" s="2" t="s">
        <v>27</v>
      </c>
      <c r="F1187" s="2" t="str" cm="1">
        <f t="array" ref="F11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87" s="2" t="str" cm="1">
        <f t="array" ref="G11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87" s="2" t="s">
        <v>107</v>
      </c>
      <c r="I1187" s="2" t="s">
        <v>95</v>
      </c>
      <c r="J1187" s="2">
        <v>2</v>
      </c>
      <c r="K1187" s="8">
        <v>1599</v>
      </c>
      <c r="L1187" s="3">
        <v>0.05</v>
      </c>
      <c r="M1187" s="12">
        <f>K1187*L1187</f>
        <v>79.95</v>
      </c>
      <c r="N1187" s="12">
        <f>K1187*J1187</f>
        <v>3198</v>
      </c>
      <c r="O1187" s="12">
        <f>N1187-M1187</f>
        <v>3118.05</v>
      </c>
      <c r="P1187" s="2" t="s">
        <v>45</v>
      </c>
      <c r="Q1187" s="2" t="s">
        <v>18</v>
      </c>
      <c r="R1187" s="2">
        <v>60</v>
      </c>
      <c r="S1187" s="20">
        <f>Table1[[#This Row],[Net_revenue]]/Table1[[#This Row],[Gross_revenue]]*100%</f>
        <v>0.97500000000000009</v>
      </c>
      <c r="T1187" s="18">
        <f>COUNTIFS(Table1[Customer ID], "&gt;1", Table1[Customer ID], 1)</f>
        <v>0</v>
      </c>
    </row>
    <row r="1188" spans="1:20" hidden="1" x14ac:dyDescent="0.3">
      <c r="A1188" s="2" t="s">
        <v>1838</v>
      </c>
      <c r="B1188" s="5">
        <v>45756</v>
      </c>
      <c r="C1188" s="5" t="str">
        <f>TEXT(B1188,"mmm")</f>
        <v>Apr</v>
      </c>
      <c r="D1188" s="2" t="s">
        <v>282</v>
      </c>
      <c r="E1188" s="2" t="s">
        <v>14</v>
      </c>
      <c r="F1188" s="2" t="str" cm="1">
        <f t="array" ref="F11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188" s="2" t="str" cm="1">
        <f t="array" ref="G11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188" s="2" t="s">
        <v>22</v>
      </c>
      <c r="I1188" s="2" t="s">
        <v>23</v>
      </c>
      <c r="J1188" s="2">
        <v>3</v>
      </c>
      <c r="K1188" s="8">
        <v>3999</v>
      </c>
      <c r="L1188" s="3">
        <v>0.15</v>
      </c>
      <c r="M1188" s="12">
        <f>K1188*L1188</f>
        <v>599.85</v>
      </c>
      <c r="N1188" s="12">
        <f>K1188*J1188</f>
        <v>11997</v>
      </c>
      <c r="O1188" s="12">
        <f>N1188-M1188</f>
        <v>11397.15</v>
      </c>
      <c r="P1188" s="2" t="s">
        <v>30</v>
      </c>
      <c r="Q1188" s="2" t="s">
        <v>18</v>
      </c>
      <c r="R1188" s="2">
        <v>80</v>
      </c>
      <c r="S1188" s="20">
        <f>Table1[[#This Row],[Net_revenue]]/Table1[[#This Row],[Gross_revenue]]*100%</f>
        <v>0.95</v>
      </c>
      <c r="T1188" s="18">
        <f>COUNTIFS(Table1[Customer ID], "&gt;1", Table1[Customer ID], 1)</f>
        <v>0</v>
      </c>
    </row>
    <row r="1189" spans="1:20" hidden="1" x14ac:dyDescent="0.3">
      <c r="A1189" s="2" t="s">
        <v>1839</v>
      </c>
      <c r="B1189" s="5">
        <v>45852</v>
      </c>
      <c r="C1189" s="5" t="str">
        <f>TEXT(B1189,"mmm")</f>
        <v>Jul</v>
      </c>
      <c r="D1189" s="2" t="s">
        <v>13</v>
      </c>
      <c r="E1189" s="2" t="s">
        <v>21</v>
      </c>
      <c r="F1189" s="2" t="str" cm="1">
        <f t="array" ref="F11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89" s="2" t="str" cm="1">
        <f t="array" ref="G11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89" s="2" t="s">
        <v>22</v>
      </c>
      <c r="I1189" s="2" t="s">
        <v>23</v>
      </c>
      <c r="J1189" s="2">
        <v>2</v>
      </c>
      <c r="K1189" s="8">
        <v>3999</v>
      </c>
      <c r="L1189" s="3">
        <v>0.15</v>
      </c>
      <c r="M1189" s="12">
        <f>K1189*L1189</f>
        <v>599.85</v>
      </c>
      <c r="N1189" s="12">
        <f>K1189*J1189</f>
        <v>7998</v>
      </c>
      <c r="O1189" s="12">
        <f>N1189-M1189</f>
        <v>7398.15</v>
      </c>
      <c r="P1189" s="2" t="s">
        <v>30</v>
      </c>
      <c r="Q1189" s="2" t="s">
        <v>18</v>
      </c>
      <c r="R1189" s="2">
        <v>60</v>
      </c>
      <c r="S1189" s="20">
        <f>Table1[[#This Row],[Net_revenue]]/Table1[[#This Row],[Gross_revenue]]*100%</f>
        <v>0.92499999999999993</v>
      </c>
      <c r="T1189" s="18">
        <f>COUNTIFS(Table1[Customer ID], "&gt;1", Table1[Customer ID], 1)</f>
        <v>0</v>
      </c>
    </row>
    <row r="1190" spans="1:20" hidden="1" x14ac:dyDescent="0.3">
      <c r="A1190" s="2" t="s">
        <v>1840</v>
      </c>
      <c r="B1190" s="5">
        <v>45911</v>
      </c>
      <c r="C1190" s="5" t="str">
        <f>TEXT(B1190,"mmm")</f>
        <v>Sep</v>
      </c>
      <c r="D1190" s="2" t="s">
        <v>807</v>
      </c>
      <c r="E1190" s="2" t="s">
        <v>21</v>
      </c>
      <c r="F1190" s="2" t="str" cm="1">
        <f t="array" ref="F11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90" s="2" t="str" cm="1">
        <f t="array" ref="G11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90" s="2" t="s">
        <v>44</v>
      </c>
      <c r="I1190" s="2" t="s">
        <v>16</v>
      </c>
      <c r="J1190" s="2">
        <v>1</v>
      </c>
      <c r="K1190" s="8">
        <v>1599</v>
      </c>
      <c r="L1190" s="3">
        <v>0</v>
      </c>
      <c r="M1190" s="12">
        <f>K1190*L1190</f>
        <v>0</v>
      </c>
      <c r="N1190" s="12">
        <f>K1190*J1190</f>
        <v>1599</v>
      </c>
      <c r="O1190" s="12">
        <f>N1190-M1190</f>
        <v>1599</v>
      </c>
      <c r="P1190" s="2" t="s">
        <v>30</v>
      </c>
      <c r="Q1190" s="2" t="s">
        <v>18</v>
      </c>
      <c r="R1190" s="2">
        <v>60</v>
      </c>
      <c r="S1190" s="20">
        <f>Table1[[#This Row],[Net_revenue]]/Table1[[#This Row],[Gross_revenue]]*100%</f>
        <v>1</v>
      </c>
      <c r="T1190" s="18">
        <f>COUNTIFS(Table1[Customer ID], "&gt;1", Table1[Customer ID], 1)</f>
        <v>0</v>
      </c>
    </row>
    <row r="1191" spans="1:20" hidden="1" x14ac:dyDescent="0.3">
      <c r="A1191" s="2" t="s">
        <v>1841</v>
      </c>
      <c r="B1191" s="5">
        <v>45862</v>
      </c>
      <c r="C1191" s="5" t="str">
        <f>TEXT(B1191,"mmm")</f>
        <v>Jul</v>
      </c>
      <c r="D1191" s="2" t="s">
        <v>840</v>
      </c>
      <c r="E1191" s="2" t="s">
        <v>40</v>
      </c>
      <c r="F1191" s="2" t="str" cm="1">
        <f t="array" ref="F11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91" s="2" t="str" cm="1">
        <f t="array" ref="G11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91" s="2" t="s">
        <v>22</v>
      </c>
      <c r="I1191" s="2" t="s">
        <v>23</v>
      </c>
      <c r="J1191" s="2">
        <v>1</v>
      </c>
      <c r="K1191" s="8">
        <v>3999</v>
      </c>
      <c r="L1191" s="3">
        <v>0.25</v>
      </c>
      <c r="M1191" s="12">
        <f>K1191*L1191</f>
        <v>999.75</v>
      </c>
      <c r="N1191" s="12">
        <f>K1191*J1191</f>
        <v>3999</v>
      </c>
      <c r="O1191" s="12">
        <f>N1191-M1191</f>
        <v>2999.25</v>
      </c>
      <c r="P1191" s="2" t="s">
        <v>30</v>
      </c>
      <c r="Q1191" s="2" t="s">
        <v>18</v>
      </c>
      <c r="R1191" s="2">
        <v>0</v>
      </c>
      <c r="S1191" s="20">
        <f>Table1[[#This Row],[Net_revenue]]/Table1[[#This Row],[Gross_revenue]]*100%</f>
        <v>0.75</v>
      </c>
      <c r="T1191" s="18">
        <f>COUNTIFS(Table1[Customer ID], "&gt;1", Table1[Customer ID], 1)</f>
        <v>0</v>
      </c>
    </row>
    <row r="1192" spans="1:20" hidden="1" x14ac:dyDescent="0.3">
      <c r="A1192" s="2" t="s">
        <v>1842</v>
      </c>
      <c r="B1192" s="5">
        <v>45706</v>
      </c>
      <c r="C1192" s="5" t="str">
        <f>TEXT(B1192,"mmm")</f>
        <v>Feb</v>
      </c>
      <c r="D1192" s="2" t="s">
        <v>987</v>
      </c>
      <c r="E1192" s="2" t="s">
        <v>120</v>
      </c>
      <c r="F1192" s="2" t="str" cm="1">
        <f t="array" ref="F11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92" s="2" t="str" cm="1">
        <f t="array" ref="G11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92" s="2" t="s">
        <v>22</v>
      </c>
      <c r="I1192" s="2" t="s">
        <v>23</v>
      </c>
      <c r="J1192" s="2">
        <v>1</v>
      </c>
      <c r="K1192" s="8">
        <v>3999</v>
      </c>
      <c r="L1192" s="3">
        <v>0</v>
      </c>
      <c r="M1192" s="12">
        <f>K1192*L1192</f>
        <v>0</v>
      </c>
      <c r="N1192" s="12">
        <f>K1192*J1192</f>
        <v>3999</v>
      </c>
      <c r="O1192" s="12">
        <f>N1192-M1192</f>
        <v>3999</v>
      </c>
      <c r="P1192" s="2" t="s">
        <v>17</v>
      </c>
      <c r="Q1192" s="2" t="s">
        <v>18</v>
      </c>
      <c r="R1192" s="2">
        <v>80</v>
      </c>
      <c r="S1192" s="20">
        <f>Table1[[#This Row],[Net_revenue]]/Table1[[#This Row],[Gross_revenue]]*100%</f>
        <v>1</v>
      </c>
      <c r="T1192" s="18">
        <f>COUNTIFS(Table1[Customer ID], "&gt;1", Table1[Customer ID], 1)</f>
        <v>0</v>
      </c>
    </row>
    <row r="1193" spans="1:20" hidden="1" x14ac:dyDescent="0.3">
      <c r="A1193" s="2" t="s">
        <v>1843</v>
      </c>
      <c r="B1193" s="5">
        <v>45867</v>
      </c>
      <c r="C1193" s="5" t="str">
        <f>TEXT(B1193,"mmm")</f>
        <v>Jul</v>
      </c>
      <c r="D1193" s="2" t="s">
        <v>1844</v>
      </c>
      <c r="E1193" s="2" t="s">
        <v>40</v>
      </c>
      <c r="F1193" s="2" t="str" cm="1">
        <f t="array" ref="F11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93" s="2" t="str" cm="1">
        <f t="array" ref="G11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93" s="2" t="s">
        <v>134</v>
      </c>
      <c r="I1193" s="2" t="s">
        <v>29</v>
      </c>
      <c r="J1193" s="2">
        <v>1</v>
      </c>
      <c r="K1193" s="8">
        <v>1499</v>
      </c>
      <c r="L1193" s="3">
        <v>0.2</v>
      </c>
      <c r="M1193" s="12">
        <f>K1193*L1193</f>
        <v>299.8</v>
      </c>
      <c r="N1193" s="12">
        <f>K1193*J1193</f>
        <v>1499</v>
      </c>
      <c r="O1193" s="12">
        <f>N1193-M1193</f>
        <v>1199.2</v>
      </c>
      <c r="P1193" s="2" t="s">
        <v>45</v>
      </c>
      <c r="Q1193" s="2" t="s">
        <v>18</v>
      </c>
      <c r="R1193" s="2">
        <v>0</v>
      </c>
      <c r="S1193" s="20">
        <f>Table1[[#This Row],[Net_revenue]]/Table1[[#This Row],[Gross_revenue]]*100%</f>
        <v>0.8</v>
      </c>
      <c r="T1193" s="18">
        <f>COUNTIFS(Table1[Customer ID], "&gt;1", Table1[Customer ID], 1)</f>
        <v>0</v>
      </c>
    </row>
    <row r="1194" spans="1:20" hidden="1" x14ac:dyDescent="0.3">
      <c r="A1194" s="2" t="s">
        <v>1845</v>
      </c>
      <c r="B1194" s="5">
        <v>45963</v>
      </c>
      <c r="C1194" s="5" t="str">
        <f>TEXT(B1194,"mmm")</f>
        <v>Nov</v>
      </c>
      <c r="D1194" s="2" t="s">
        <v>430</v>
      </c>
      <c r="E1194" s="2" t="s">
        <v>21</v>
      </c>
      <c r="F1194" s="2" t="str" cm="1">
        <f t="array" ref="F11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94" s="2" t="str" cm="1">
        <f t="array" ref="G11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94" s="2" t="s">
        <v>94</v>
      </c>
      <c r="I1194" s="2" t="s">
        <v>95</v>
      </c>
      <c r="J1194" s="2">
        <v>1</v>
      </c>
      <c r="K1194" s="8">
        <v>399</v>
      </c>
      <c r="L1194" s="3">
        <v>0.2</v>
      </c>
      <c r="M1194" s="12">
        <f>K1194*L1194</f>
        <v>79.800000000000011</v>
      </c>
      <c r="N1194" s="12">
        <f>K1194*J1194</f>
        <v>399</v>
      </c>
      <c r="O1194" s="12">
        <f>N1194-M1194</f>
        <v>319.2</v>
      </c>
      <c r="P1194" s="2" t="s">
        <v>30</v>
      </c>
      <c r="Q1194" s="2" t="s">
        <v>18</v>
      </c>
      <c r="R1194" s="2">
        <v>0</v>
      </c>
      <c r="S1194" s="20">
        <f>Table1[[#This Row],[Net_revenue]]/Table1[[#This Row],[Gross_revenue]]*100%</f>
        <v>0.79999999999999993</v>
      </c>
      <c r="T1194" s="18">
        <f>COUNTIFS(Table1[Customer ID], "&gt;1", Table1[Customer ID], 1)</f>
        <v>0</v>
      </c>
    </row>
    <row r="1195" spans="1:20" hidden="1" x14ac:dyDescent="0.3">
      <c r="A1195" s="2" t="s">
        <v>1846</v>
      </c>
      <c r="B1195" s="5">
        <v>45977</v>
      </c>
      <c r="C1195" s="5" t="str">
        <f>TEXT(B1195,"mmm")</f>
        <v>Nov</v>
      </c>
      <c r="D1195" s="2" t="s">
        <v>230</v>
      </c>
      <c r="E1195" s="2" t="s">
        <v>40</v>
      </c>
      <c r="F1195" s="2" t="str" cm="1">
        <f t="array" ref="F11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195" s="2" t="str" cm="1">
        <f t="array" ref="G11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95" s="2" t="s">
        <v>80</v>
      </c>
      <c r="I1195" s="2" t="s">
        <v>23</v>
      </c>
      <c r="J1195" s="2">
        <v>2</v>
      </c>
      <c r="K1195" s="8">
        <v>799</v>
      </c>
      <c r="L1195" s="3">
        <v>0.25</v>
      </c>
      <c r="M1195" s="12">
        <f>K1195*L1195</f>
        <v>199.75</v>
      </c>
      <c r="N1195" s="12">
        <f>K1195*J1195</f>
        <v>1598</v>
      </c>
      <c r="O1195" s="12">
        <f>N1195-M1195</f>
        <v>1398.25</v>
      </c>
      <c r="P1195" s="2" t="s">
        <v>17</v>
      </c>
      <c r="Q1195" s="2" t="s">
        <v>18</v>
      </c>
      <c r="R1195" s="2">
        <v>80</v>
      </c>
      <c r="S1195" s="20">
        <f>Table1[[#This Row],[Net_revenue]]/Table1[[#This Row],[Gross_revenue]]*100%</f>
        <v>0.875</v>
      </c>
      <c r="T1195" s="18">
        <f>COUNTIFS(Table1[Customer ID], "&gt;1", Table1[Customer ID], 1)</f>
        <v>0</v>
      </c>
    </row>
    <row r="1196" spans="1:20" hidden="1" x14ac:dyDescent="0.3">
      <c r="A1196" s="2" t="s">
        <v>1847</v>
      </c>
      <c r="B1196" s="5">
        <v>45806</v>
      </c>
      <c r="C1196" s="5" t="str">
        <f>TEXT(B1196,"mmm")</f>
        <v>May</v>
      </c>
      <c r="D1196" s="2" t="s">
        <v>201</v>
      </c>
      <c r="E1196" s="2" t="s">
        <v>53</v>
      </c>
      <c r="F1196" s="2" t="str" cm="1">
        <f t="array" ref="F11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196" s="2" t="str" cm="1">
        <f t="array" ref="G11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196" s="2" t="s">
        <v>117</v>
      </c>
      <c r="I1196" s="2" t="s">
        <v>23</v>
      </c>
      <c r="J1196" s="2">
        <v>1</v>
      </c>
      <c r="K1196" s="8">
        <v>2199</v>
      </c>
      <c r="L1196" s="3">
        <v>0.15</v>
      </c>
      <c r="M1196" s="12">
        <f>K1196*L1196</f>
        <v>329.84999999999997</v>
      </c>
      <c r="N1196" s="12">
        <f>K1196*J1196</f>
        <v>2199</v>
      </c>
      <c r="O1196" s="12">
        <f>N1196-M1196</f>
        <v>1869.15</v>
      </c>
      <c r="P1196" s="2" t="s">
        <v>30</v>
      </c>
      <c r="Q1196" s="2" t="s">
        <v>18</v>
      </c>
      <c r="R1196" s="2">
        <v>40</v>
      </c>
      <c r="S1196" s="20">
        <f>Table1[[#This Row],[Net_revenue]]/Table1[[#This Row],[Gross_revenue]]*100%</f>
        <v>0.85000000000000009</v>
      </c>
      <c r="T1196" s="18">
        <f>COUNTIFS(Table1[Customer ID], "&gt;1", Table1[Customer ID], 1)</f>
        <v>0</v>
      </c>
    </row>
    <row r="1197" spans="1:20" hidden="1" x14ac:dyDescent="0.3">
      <c r="A1197" s="2" t="s">
        <v>1848</v>
      </c>
      <c r="B1197" s="5">
        <v>45764</v>
      </c>
      <c r="C1197" s="5" t="str">
        <f>TEXT(B1197,"mmm")</f>
        <v>Apr</v>
      </c>
      <c r="D1197" s="2" t="s">
        <v>298</v>
      </c>
      <c r="E1197" s="2" t="s">
        <v>48</v>
      </c>
      <c r="F1197" s="2" t="str" cm="1">
        <f t="array" ref="F11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197" s="2" t="str" cm="1">
        <f t="array" ref="G11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97" s="2" t="s">
        <v>15</v>
      </c>
      <c r="I1197" s="2" t="s">
        <v>16</v>
      </c>
      <c r="J1197" s="2">
        <v>5</v>
      </c>
      <c r="K1197" s="8">
        <v>1799</v>
      </c>
      <c r="L1197" s="3">
        <v>0.25</v>
      </c>
      <c r="M1197" s="12">
        <f>K1197*L1197</f>
        <v>449.75</v>
      </c>
      <c r="N1197" s="12">
        <f>K1197*J1197</f>
        <v>8995</v>
      </c>
      <c r="O1197" s="12">
        <f>N1197-M1197</f>
        <v>8545.25</v>
      </c>
      <c r="P1197" s="2" t="s">
        <v>17</v>
      </c>
      <c r="Q1197" s="2" t="s">
        <v>18</v>
      </c>
      <c r="R1197" s="2">
        <v>60</v>
      </c>
      <c r="S1197" s="20">
        <f>Table1[[#This Row],[Net_revenue]]/Table1[[#This Row],[Gross_revenue]]*100%</f>
        <v>0.95</v>
      </c>
      <c r="T1197" s="18">
        <f>COUNTIFS(Table1[Customer ID], "&gt;1", Table1[Customer ID], 1)</f>
        <v>0</v>
      </c>
    </row>
    <row r="1198" spans="1:20" hidden="1" x14ac:dyDescent="0.3">
      <c r="A1198" s="2" t="s">
        <v>1849</v>
      </c>
      <c r="B1198" s="5">
        <v>45783</v>
      </c>
      <c r="C1198" s="5" t="str">
        <f>TEXT(B1198,"mmm")</f>
        <v>May</v>
      </c>
      <c r="D1198" s="2" t="s">
        <v>783</v>
      </c>
      <c r="E1198" s="2" t="s">
        <v>120</v>
      </c>
      <c r="F1198" s="2" t="str" cm="1">
        <f t="array" ref="F11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198" s="2" t="str" cm="1">
        <f t="array" ref="G11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198" s="2" t="s">
        <v>68</v>
      </c>
      <c r="I1198" s="2" t="s">
        <v>16</v>
      </c>
      <c r="J1198" s="2">
        <v>1</v>
      </c>
      <c r="K1198" s="8">
        <v>599</v>
      </c>
      <c r="L1198" s="3">
        <v>0.15</v>
      </c>
      <c r="M1198" s="12">
        <f>K1198*L1198</f>
        <v>89.85</v>
      </c>
      <c r="N1198" s="12">
        <f>K1198*J1198</f>
        <v>599</v>
      </c>
      <c r="O1198" s="12">
        <f>N1198-M1198</f>
        <v>509.15</v>
      </c>
      <c r="P1198" s="2" t="s">
        <v>24</v>
      </c>
      <c r="Q1198" s="2" t="s">
        <v>18</v>
      </c>
      <c r="R1198" s="2">
        <v>60</v>
      </c>
      <c r="S1198" s="20">
        <f>Table1[[#This Row],[Net_revenue]]/Table1[[#This Row],[Gross_revenue]]*100%</f>
        <v>0.85</v>
      </c>
      <c r="T1198" s="18">
        <f>COUNTIFS(Table1[Customer ID], "&gt;1", Table1[Customer ID], 1)</f>
        <v>0</v>
      </c>
    </row>
    <row r="1199" spans="1:20" hidden="1" x14ac:dyDescent="0.3">
      <c r="A1199" s="2" t="s">
        <v>1850</v>
      </c>
      <c r="B1199" s="5">
        <v>45967</v>
      </c>
      <c r="C1199" s="5" t="str">
        <f>TEXT(B1199,"mmm")</f>
        <v>Nov</v>
      </c>
      <c r="D1199" s="2" t="s">
        <v>590</v>
      </c>
      <c r="E1199" s="2" t="s">
        <v>27</v>
      </c>
      <c r="F1199" s="2" t="str" cm="1">
        <f t="array" ref="F11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199" s="2" t="str" cm="1">
        <f t="array" ref="G11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199" s="2" t="s">
        <v>65</v>
      </c>
      <c r="I1199" s="2" t="s">
        <v>23</v>
      </c>
      <c r="J1199" s="2">
        <v>2</v>
      </c>
      <c r="K1199" s="8">
        <v>1899</v>
      </c>
      <c r="L1199" s="3">
        <v>0.15</v>
      </c>
      <c r="M1199" s="12">
        <f>K1199*L1199</f>
        <v>284.84999999999997</v>
      </c>
      <c r="N1199" s="12">
        <f>K1199*J1199</f>
        <v>3798</v>
      </c>
      <c r="O1199" s="12">
        <f>N1199-M1199</f>
        <v>3513.15</v>
      </c>
      <c r="P1199" s="2" t="s">
        <v>45</v>
      </c>
      <c r="Q1199" s="2" t="s">
        <v>18</v>
      </c>
      <c r="R1199" s="2">
        <v>60</v>
      </c>
      <c r="S1199" s="20">
        <f>Table1[[#This Row],[Net_revenue]]/Table1[[#This Row],[Gross_revenue]]*100%</f>
        <v>0.92500000000000004</v>
      </c>
      <c r="T1199" s="18">
        <f>COUNTIFS(Table1[Customer ID], "&gt;1", Table1[Customer ID], 1)</f>
        <v>0</v>
      </c>
    </row>
    <row r="1200" spans="1:20" hidden="1" x14ac:dyDescent="0.3">
      <c r="A1200" s="2" t="s">
        <v>1851</v>
      </c>
      <c r="B1200" s="5">
        <v>45893</v>
      </c>
      <c r="C1200" s="5" t="str">
        <f>TEXT(B1200,"mmm")</f>
        <v>Aug</v>
      </c>
      <c r="D1200" s="2" t="s">
        <v>1852</v>
      </c>
      <c r="E1200" s="2" t="s">
        <v>56</v>
      </c>
      <c r="F1200" s="2" t="str" cm="1">
        <f t="array" ref="F12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00" s="2" t="str" cm="1">
        <f t="array" ref="G12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00" s="2" t="s">
        <v>65</v>
      </c>
      <c r="I1200" s="2" t="s">
        <v>23</v>
      </c>
      <c r="J1200" s="2">
        <v>5</v>
      </c>
      <c r="K1200" s="8">
        <v>1899</v>
      </c>
      <c r="L1200" s="3">
        <v>0.15</v>
      </c>
      <c r="M1200" s="12">
        <f>K1200*L1200</f>
        <v>284.84999999999997</v>
      </c>
      <c r="N1200" s="12">
        <f>K1200*J1200</f>
        <v>9495</v>
      </c>
      <c r="O1200" s="12">
        <f>N1200-M1200</f>
        <v>9210.15</v>
      </c>
      <c r="P1200" s="2" t="s">
        <v>17</v>
      </c>
      <c r="Q1200" s="2" t="s">
        <v>18</v>
      </c>
      <c r="R1200" s="2">
        <v>60</v>
      </c>
      <c r="S1200" s="20">
        <f>Table1[[#This Row],[Net_revenue]]/Table1[[#This Row],[Gross_revenue]]*100%</f>
        <v>0.97</v>
      </c>
      <c r="T1200" s="18">
        <f>COUNTIFS(Table1[Customer ID], "&gt;1", Table1[Customer ID], 1)</f>
        <v>0</v>
      </c>
    </row>
    <row r="1201" spans="1:20" hidden="1" x14ac:dyDescent="0.3">
      <c r="A1201" s="2" t="s">
        <v>1853</v>
      </c>
      <c r="B1201" s="5">
        <v>45893</v>
      </c>
      <c r="C1201" s="5" t="str">
        <f>TEXT(B1201,"mmm")</f>
        <v>Aug</v>
      </c>
      <c r="D1201" s="2" t="s">
        <v>579</v>
      </c>
      <c r="E1201" s="2" t="s">
        <v>40</v>
      </c>
      <c r="F1201" s="2" t="str" cm="1">
        <f t="array" ref="F12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01" s="2" t="str" cm="1">
        <f t="array" ref="G12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01" s="2" t="s">
        <v>68</v>
      </c>
      <c r="I1201" s="2" t="s">
        <v>16</v>
      </c>
      <c r="J1201" s="2">
        <v>2</v>
      </c>
      <c r="K1201" s="8">
        <v>599</v>
      </c>
      <c r="L1201" s="3">
        <v>0.25</v>
      </c>
      <c r="M1201" s="12">
        <f>K1201*L1201</f>
        <v>149.75</v>
      </c>
      <c r="N1201" s="12">
        <f>K1201*J1201</f>
        <v>1198</v>
      </c>
      <c r="O1201" s="12">
        <f>N1201-M1201</f>
        <v>1048.25</v>
      </c>
      <c r="P1201" s="2" t="s">
        <v>45</v>
      </c>
      <c r="Q1201" s="2" t="s">
        <v>18</v>
      </c>
      <c r="R1201" s="2">
        <v>60</v>
      </c>
      <c r="S1201" s="20">
        <f>Table1[[#This Row],[Net_revenue]]/Table1[[#This Row],[Gross_revenue]]*100%</f>
        <v>0.875</v>
      </c>
      <c r="T1201" s="18">
        <f>COUNTIFS(Table1[Customer ID], "&gt;1", Table1[Customer ID], 1)</f>
        <v>0</v>
      </c>
    </row>
    <row r="1202" spans="1:20" hidden="1" x14ac:dyDescent="0.3">
      <c r="A1202" s="2" t="s">
        <v>1854</v>
      </c>
      <c r="B1202" s="5">
        <v>45872</v>
      </c>
      <c r="C1202" s="5" t="str">
        <f>TEXT(B1202,"mmm")</f>
        <v>Aug</v>
      </c>
      <c r="D1202" s="2" t="s">
        <v>222</v>
      </c>
      <c r="E1202" s="2" t="s">
        <v>27</v>
      </c>
      <c r="F1202" s="2" t="str" cm="1">
        <f t="array" ref="F12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02" s="2" t="str" cm="1">
        <f t="array" ref="G12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02" s="2" t="s">
        <v>33</v>
      </c>
      <c r="I1202" s="2" t="s">
        <v>16</v>
      </c>
      <c r="J1202" s="2">
        <v>1</v>
      </c>
      <c r="K1202" s="8">
        <v>899</v>
      </c>
      <c r="L1202" s="3">
        <v>0</v>
      </c>
      <c r="M1202" s="12">
        <f>K1202*L1202</f>
        <v>0</v>
      </c>
      <c r="N1202" s="12">
        <f>K1202*J1202</f>
        <v>899</v>
      </c>
      <c r="O1202" s="12">
        <f>N1202-M1202</f>
        <v>899</v>
      </c>
      <c r="P1202" s="2" t="s">
        <v>17</v>
      </c>
      <c r="Q1202" s="2" t="s">
        <v>18</v>
      </c>
      <c r="R1202" s="2">
        <v>80</v>
      </c>
      <c r="S1202" s="20">
        <f>Table1[[#This Row],[Net_revenue]]/Table1[[#This Row],[Gross_revenue]]*100%</f>
        <v>1</v>
      </c>
      <c r="T1202" s="18">
        <f>COUNTIFS(Table1[Customer ID], "&gt;1", Table1[Customer ID], 1)</f>
        <v>0</v>
      </c>
    </row>
    <row r="1203" spans="1:20" hidden="1" x14ac:dyDescent="0.3">
      <c r="A1203" s="2" t="s">
        <v>1855</v>
      </c>
      <c r="B1203" s="5">
        <v>45729</v>
      </c>
      <c r="C1203" s="5" t="str">
        <f>TEXT(B1203,"mmm")</f>
        <v>Mar</v>
      </c>
      <c r="D1203" s="2" t="s">
        <v>224</v>
      </c>
      <c r="E1203" s="2" t="s">
        <v>14</v>
      </c>
      <c r="F1203" s="2" t="str" cm="1">
        <f t="array" ref="F12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03" s="2" t="str" cm="1">
        <f t="array" ref="G12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03" s="2" t="s">
        <v>117</v>
      </c>
      <c r="I1203" s="2" t="s">
        <v>23</v>
      </c>
      <c r="J1203" s="2">
        <v>2</v>
      </c>
      <c r="K1203" s="8">
        <v>2199</v>
      </c>
      <c r="L1203" s="3">
        <v>0.2</v>
      </c>
      <c r="M1203" s="12">
        <f>K1203*L1203</f>
        <v>439.8</v>
      </c>
      <c r="N1203" s="12">
        <f>K1203*J1203</f>
        <v>4398</v>
      </c>
      <c r="O1203" s="12">
        <f>N1203-M1203</f>
        <v>3958.2</v>
      </c>
      <c r="P1203" s="2" t="s">
        <v>45</v>
      </c>
      <c r="Q1203" s="2" t="s">
        <v>18</v>
      </c>
      <c r="R1203" s="2">
        <v>80</v>
      </c>
      <c r="S1203" s="20">
        <f>Table1[[#This Row],[Net_revenue]]/Table1[[#This Row],[Gross_revenue]]*100%</f>
        <v>0.89999999999999991</v>
      </c>
      <c r="T1203" s="18">
        <f>COUNTIFS(Table1[Customer ID], "&gt;1", Table1[Customer ID], 1)</f>
        <v>0</v>
      </c>
    </row>
    <row r="1204" spans="1:20" hidden="1" x14ac:dyDescent="0.3">
      <c r="A1204" s="2" t="s">
        <v>1856</v>
      </c>
      <c r="B1204" s="5">
        <v>45921</v>
      </c>
      <c r="C1204" s="5" t="str">
        <f>TEXT(B1204,"mmm")</f>
        <v>Sep</v>
      </c>
      <c r="D1204" s="2" t="s">
        <v>274</v>
      </c>
      <c r="E1204" s="2" t="s">
        <v>27</v>
      </c>
      <c r="F1204" s="2" t="str" cm="1">
        <f t="array" ref="F12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04" s="2" t="str" cm="1">
        <f t="array" ref="G12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04" s="2" t="s">
        <v>15</v>
      </c>
      <c r="I1204" s="2" t="s">
        <v>16</v>
      </c>
      <c r="J1204" s="2">
        <v>1</v>
      </c>
      <c r="K1204" s="8">
        <v>1799</v>
      </c>
      <c r="L1204" s="3">
        <v>0</v>
      </c>
      <c r="M1204" s="12">
        <f>K1204*L1204</f>
        <v>0</v>
      </c>
      <c r="N1204" s="12">
        <f>K1204*J1204</f>
        <v>1799</v>
      </c>
      <c r="O1204" s="12">
        <f>N1204-M1204</f>
        <v>1799</v>
      </c>
      <c r="P1204" s="2" t="s">
        <v>30</v>
      </c>
      <c r="Q1204" s="2" t="s">
        <v>18</v>
      </c>
      <c r="R1204" s="2">
        <v>0</v>
      </c>
      <c r="S1204" s="20">
        <f>Table1[[#This Row],[Net_revenue]]/Table1[[#This Row],[Gross_revenue]]*100%</f>
        <v>1</v>
      </c>
      <c r="T1204" s="18">
        <f>COUNTIFS(Table1[Customer ID], "&gt;1", Table1[Customer ID], 1)</f>
        <v>0</v>
      </c>
    </row>
    <row r="1205" spans="1:20" hidden="1" x14ac:dyDescent="0.3">
      <c r="A1205" s="2" t="s">
        <v>1857</v>
      </c>
      <c r="B1205" s="5">
        <v>45829</v>
      </c>
      <c r="C1205" s="5" t="str">
        <f>TEXT(B1205,"mmm")</f>
        <v>Jun</v>
      </c>
      <c r="D1205" s="2" t="s">
        <v>1378</v>
      </c>
      <c r="E1205" s="2" t="s">
        <v>21</v>
      </c>
      <c r="F1205" s="2" t="str" cm="1">
        <f t="array" ref="F12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05" s="2" t="str" cm="1">
        <f t="array" ref="G12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05" s="2" t="s">
        <v>71</v>
      </c>
      <c r="I1205" s="2" t="s">
        <v>29</v>
      </c>
      <c r="J1205" s="2">
        <v>1</v>
      </c>
      <c r="K1205" s="8">
        <v>5499</v>
      </c>
      <c r="L1205" s="3">
        <v>0.2</v>
      </c>
      <c r="M1205" s="12">
        <f>K1205*L1205</f>
        <v>1099.8</v>
      </c>
      <c r="N1205" s="12">
        <f>K1205*J1205</f>
        <v>5499</v>
      </c>
      <c r="O1205" s="12">
        <f>N1205-M1205</f>
        <v>4399.2</v>
      </c>
      <c r="P1205" s="2" t="s">
        <v>45</v>
      </c>
      <c r="Q1205" s="2" t="s">
        <v>18</v>
      </c>
      <c r="R1205" s="2">
        <v>80</v>
      </c>
      <c r="S1205" s="20">
        <f>Table1[[#This Row],[Net_revenue]]/Table1[[#This Row],[Gross_revenue]]*100%</f>
        <v>0.79999999999999993</v>
      </c>
      <c r="T1205" s="18">
        <f>COUNTIFS(Table1[Customer ID], "&gt;1", Table1[Customer ID], 1)</f>
        <v>0</v>
      </c>
    </row>
    <row r="1206" spans="1:20" hidden="1" x14ac:dyDescent="0.3">
      <c r="A1206" s="2" t="s">
        <v>1858</v>
      </c>
      <c r="B1206" s="5">
        <v>45950</v>
      </c>
      <c r="C1206" s="5" t="str">
        <f>TEXT(B1206,"mmm")</f>
        <v>Oct</v>
      </c>
      <c r="D1206" s="2" t="s">
        <v>347</v>
      </c>
      <c r="E1206" s="2" t="s">
        <v>48</v>
      </c>
      <c r="F1206" s="2" t="str" cm="1">
        <f t="array" ref="F12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06" s="2" t="str" cm="1">
        <f t="array" ref="G12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06" s="2" t="s">
        <v>94</v>
      </c>
      <c r="I1206" s="2" t="s">
        <v>95</v>
      </c>
      <c r="J1206" s="2">
        <v>5</v>
      </c>
      <c r="K1206" s="8">
        <v>399</v>
      </c>
      <c r="L1206" s="3">
        <v>0.15</v>
      </c>
      <c r="M1206" s="12">
        <f>K1206*L1206</f>
        <v>59.849999999999994</v>
      </c>
      <c r="N1206" s="12">
        <f>K1206*J1206</f>
        <v>1995</v>
      </c>
      <c r="O1206" s="12">
        <f>N1206-M1206</f>
        <v>1935.15</v>
      </c>
      <c r="P1206" s="2" t="s">
        <v>17</v>
      </c>
      <c r="Q1206" s="2" t="s">
        <v>18</v>
      </c>
      <c r="R1206" s="2">
        <v>80</v>
      </c>
      <c r="S1206" s="20">
        <f>Table1[[#This Row],[Net_revenue]]/Table1[[#This Row],[Gross_revenue]]*100%</f>
        <v>0.97000000000000008</v>
      </c>
      <c r="T1206" s="18">
        <f>COUNTIFS(Table1[Customer ID], "&gt;1", Table1[Customer ID], 1)</f>
        <v>0</v>
      </c>
    </row>
    <row r="1207" spans="1:20" hidden="1" x14ac:dyDescent="0.3">
      <c r="A1207" s="2" t="s">
        <v>1859</v>
      </c>
      <c r="B1207" s="5">
        <v>45721</v>
      </c>
      <c r="C1207" s="5" t="str">
        <f>TEXT(B1207,"mmm")</f>
        <v>Mar</v>
      </c>
      <c r="D1207" s="2" t="s">
        <v>1089</v>
      </c>
      <c r="E1207" s="2" t="s">
        <v>195</v>
      </c>
      <c r="F1207" s="2" t="str" cm="1">
        <f t="array" ref="F12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07" s="2" t="str" cm="1">
        <f t="array" ref="G12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07" s="2" t="s">
        <v>94</v>
      </c>
      <c r="I1207" s="2" t="s">
        <v>95</v>
      </c>
      <c r="J1207" s="2">
        <v>1</v>
      </c>
      <c r="K1207" s="8">
        <v>399</v>
      </c>
      <c r="L1207" s="3">
        <v>0.05</v>
      </c>
      <c r="M1207" s="12">
        <f>K1207*L1207</f>
        <v>19.950000000000003</v>
      </c>
      <c r="N1207" s="12">
        <f>K1207*J1207</f>
        <v>399</v>
      </c>
      <c r="O1207" s="12">
        <f>N1207-M1207</f>
        <v>379.05</v>
      </c>
      <c r="P1207" s="2" t="s">
        <v>17</v>
      </c>
      <c r="Q1207" s="2" t="s">
        <v>18</v>
      </c>
      <c r="R1207" s="2">
        <v>60</v>
      </c>
      <c r="S1207" s="20">
        <f>Table1[[#This Row],[Net_revenue]]/Table1[[#This Row],[Gross_revenue]]*100%</f>
        <v>0.95000000000000007</v>
      </c>
      <c r="T1207" s="18">
        <f>COUNTIFS(Table1[Customer ID], "&gt;1", Table1[Customer ID], 1)</f>
        <v>0</v>
      </c>
    </row>
    <row r="1208" spans="1:20" hidden="1" x14ac:dyDescent="0.3">
      <c r="A1208" s="2" t="s">
        <v>1860</v>
      </c>
      <c r="B1208" s="5">
        <v>45861</v>
      </c>
      <c r="C1208" s="5" t="str">
        <f>TEXT(B1208,"mmm")</f>
        <v>Jul</v>
      </c>
      <c r="D1208" s="2" t="s">
        <v>383</v>
      </c>
      <c r="E1208" s="2" t="s">
        <v>21</v>
      </c>
      <c r="F1208" s="2" t="str" cm="1">
        <f t="array" ref="F12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08" s="2" t="str" cm="1">
        <f t="array" ref="G12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08" s="2" t="s">
        <v>63</v>
      </c>
      <c r="I1208" s="2" t="s">
        <v>23</v>
      </c>
      <c r="J1208" s="2">
        <v>1</v>
      </c>
      <c r="K1208" s="8">
        <v>2499</v>
      </c>
      <c r="L1208" s="3">
        <v>0.1</v>
      </c>
      <c r="M1208" s="12">
        <f>K1208*L1208</f>
        <v>249.9</v>
      </c>
      <c r="N1208" s="12">
        <f>K1208*J1208</f>
        <v>2499</v>
      </c>
      <c r="O1208" s="12">
        <f>N1208-M1208</f>
        <v>2249.1</v>
      </c>
      <c r="P1208" s="2" t="s">
        <v>30</v>
      </c>
      <c r="Q1208" s="2" t="s">
        <v>18</v>
      </c>
      <c r="R1208" s="2">
        <v>60</v>
      </c>
      <c r="S1208" s="20">
        <f>Table1[[#This Row],[Net_revenue]]/Table1[[#This Row],[Gross_revenue]]*100%</f>
        <v>0.89999999999999991</v>
      </c>
      <c r="T1208" s="18">
        <f>COUNTIFS(Table1[Customer ID], "&gt;1", Table1[Customer ID], 1)</f>
        <v>0</v>
      </c>
    </row>
    <row r="1209" spans="1:20" hidden="1" x14ac:dyDescent="0.3">
      <c r="A1209" s="2" t="s">
        <v>1861</v>
      </c>
      <c r="B1209" s="5">
        <v>45707</v>
      </c>
      <c r="C1209" s="5" t="str">
        <f>TEXT(B1209,"mmm")</f>
        <v>Feb</v>
      </c>
      <c r="D1209" s="2" t="s">
        <v>1026</v>
      </c>
      <c r="E1209" s="2" t="s">
        <v>120</v>
      </c>
      <c r="F1209" s="2" t="str" cm="1">
        <f t="array" ref="F12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09" s="2" t="str" cm="1">
        <f t="array" ref="G12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09" s="2" t="s">
        <v>217</v>
      </c>
      <c r="I1209" s="2" t="s">
        <v>29</v>
      </c>
      <c r="J1209" s="2">
        <v>2</v>
      </c>
      <c r="K1209" s="8">
        <v>3299</v>
      </c>
      <c r="L1209" s="3">
        <v>0.05</v>
      </c>
      <c r="M1209" s="12">
        <f>K1209*L1209</f>
        <v>164.95000000000002</v>
      </c>
      <c r="N1209" s="12">
        <f>K1209*J1209</f>
        <v>6598</v>
      </c>
      <c r="O1209" s="12">
        <f>N1209-M1209</f>
        <v>6433.05</v>
      </c>
      <c r="P1209" s="2" t="s">
        <v>30</v>
      </c>
      <c r="Q1209" s="2" t="s">
        <v>18</v>
      </c>
      <c r="R1209" s="2">
        <v>40</v>
      </c>
      <c r="S1209" s="20">
        <f>Table1[[#This Row],[Net_revenue]]/Table1[[#This Row],[Gross_revenue]]*100%</f>
        <v>0.97499999999999998</v>
      </c>
      <c r="T1209" s="18">
        <f>COUNTIFS(Table1[Customer ID], "&gt;1", Table1[Customer ID], 1)</f>
        <v>0</v>
      </c>
    </row>
    <row r="1210" spans="1:20" hidden="1" x14ac:dyDescent="0.3">
      <c r="A1210" s="2" t="s">
        <v>1862</v>
      </c>
      <c r="B1210" s="5">
        <v>45785</v>
      </c>
      <c r="C1210" s="5" t="str">
        <f>TEXT(B1210,"mmm")</f>
        <v>May</v>
      </c>
      <c r="D1210" s="2" t="s">
        <v>138</v>
      </c>
      <c r="E1210" s="2" t="s">
        <v>48</v>
      </c>
      <c r="F1210" s="2" t="str" cm="1">
        <f t="array" ref="F12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10" s="2" t="str" cm="1">
        <f t="array" ref="G12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10" s="2" t="s">
        <v>15</v>
      </c>
      <c r="I1210" s="2" t="s">
        <v>16</v>
      </c>
      <c r="J1210" s="2">
        <v>1</v>
      </c>
      <c r="K1210" s="8">
        <v>1799</v>
      </c>
      <c r="L1210" s="3">
        <v>0.05</v>
      </c>
      <c r="M1210" s="12">
        <f>K1210*L1210</f>
        <v>89.95</v>
      </c>
      <c r="N1210" s="12">
        <f>K1210*J1210</f>
        <v>1799</v>
      </c>
      <c r="O1210" s="12">
        <f>N1210-M1210</f>
        <v>1709.05</v>
      </c>
      <c r="P1210" s="2" t="s">
        <v>30</v>
      </c>
      <c r="Q1210" s="2" t="s">
        <v>18</v>
      </c>
      <c r="R1210" s="2">
        <v>80</v>
      </c>
      <c r="S1210" s="20">
        <f>Table1[[#This Row],[Net_revenue]]/Table1[[#This Row],[Gross_revenue]]*100%</f>
        <v>0.95</v>
      </c>
      <c r="T1210" s="18">
        <f>COUNTIFS(Table1[Customer ID], "&gt;1", Table1[Customer ID], 1)</f>
        <v>0</v>
      </c>
    </row>
    <row r="1211" spans="1:20" hidden="1" x14ac:dyDescent="0.3">
      <c r="A1211" s="2" t="s">
        <v>1863</v>
      </c>
      <c r="B1211" s="5">
        <v>45910</v>
      </c>
      <c r="C1211" s="5" t="str">
        <f>TEXT(B1211,"mmm")</f>
        <v>Sep</v>
      </c>
      <c r="D1211" s="2" t="s">
        <v>375</v>
      </c>
      <c r="E1211" s="2" t="s">
        <v>14</v>
      </c>
      <c r="F1211" s="2" t="str" cm="1">
        <f t="array" ref="F12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11" s="2" t="str" cm="1">
        <f t="array" ref="G12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11" s="2" t="s">
        <v>33</v>
      </c>
      <c r="I1211" s="2" t="s">
        <v>16</v>
      </c>
      <c r="J1211" s="2">
        <v>2</v>
      </c>
      <c r="K1211" s="8">
        <v>899</v>
      </c>
      <c r="L1211" s="3">
        <v>0.05</v>
      </c>
      <c r="M1211" s="12">
        <f>K1211*L1211</f>
        <v>44.95</v>
      </c>
      <c r="N1211" s="12">
        <f>K1211*J1211</f>
        <v>1798</v>
      </c>
      <c r="O1211" s="12">
        <f>N1211-M1211</f>
        <v>1753.05</v>
      </c>
      <c r="P1211" s="2" t="s">
        <v>45</v>
      </c>
      <c r="Q1211" s="2" t="s">
        <v>18</v>
      </c>
      <c r="R1211" s="2">
        <v>40</v>
      </c>
      <c r="S1211" s="20">
        <f>Table1[[#This Row],[Net_revenue]]/Table1[[#This Row],[Gross_revenue]]*100%</f>
        <v>0.97499999999999998</v>
      </c>
      <c r="T1211" s="18">
        <f>COUNTIFS(Table1[Customer ID], "&gt;1", Table1[Customer ID], 1)</f>
        <v>0</v>
      </c>
    </row>
    <row r="1212" spans="1:20" hidden="1" x14ac:dyDescent="0.3">
      <c r="A1212" s="2" t="s">
        <v>1864</v>
      </c>
      <c r="B1212" s="5">
        <v>45927</v>
      </c>
      <c r="C1212" s="5" t="str">
        <f>TEXT(B1212,"mmm")</f>
        <v>Sep</v>
      </c>
      <c r="D1212" s="2" t="s">
        <v>109</v>
      </c>
      <c r="E1212" s="2" t="s">
        <v>195</v>
      </c>
      <c r="F1212" s="2" t="str" cm="1">
        <f t="array" ref="F12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12" s="2" t="str" cm="1">
        <f t="array" ref="G12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12" s="2" t="s">
        <v>22</v>
      </c>
      <c r="I1212" s="2" t="s">
        <v>23</v>
      </c>
      <c r="J1212" s="2">
        <v>2</v>
      </c>
      <c r="K1212" s="8">
        <v>3999</v>
      </c>
      <c r="L1212" s="3">
        <v>0.05</v>
      </c>
      <c r="M1212" s="12">
        <f>K1212*L1212</f>
        <v>199.95000000000002</v>
      </c>
      <c r="N1212" s="12">
        <f>K1212*J1212</f>
        <v>7998</v>
      </c>
      <c r="O1212" s="12">
        <f>N1212-M1212</f>
        <v>7798.05</v>
      </c>
      <c r="P1212" s="2" t="s">
        <v>24</v>
      </c>
      <c r="Q1212" s="2" t="s">
        <v>18</v>
      </c>
      <c r="R1212" s="2">
        <v>40</v>
      </c>
      <c r="S1212" s="20">
        <f>Table1[[#This Row],[Net_revenue]]/Table1[[#This Row],[Gross_revenue]]*100%</f>
        <v>0.97499999999999998</v>
      </c>
      <c r="T1212" s="18">
        <f>COUNTIFS(Table1[Customer ID], "&gt;1", Table1[Customer ID], 1)</f>
        <v>0</v>
      </c>
    </row>
    <row r="1213" spans="1:20" hidden="1" x14ac:dyDescent="0.3">
      <c r="A1213" s="2" t="s">
        <v>1865</v>
      </c>
      <c r="B1213" s="5">
        <v>45865</v>
      </c>
      <c r="C1213" s="5" t="str">
        <f>TEXT(B1213,"mmm")</f>
        <v>Jul</v>
      </c>
      <c r="D1213" s="2" t="s">
        <v>1866</v>
      </c>
      <c r="E1213" s="2" t="s">
        <v>27</v>
      </c>
      <c r="F1213" s="2" t="str" cm="1">
        <f t="array" ref="F12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13" s="2" t="str" cm="1">
        <f t="array" ref="G12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13" s="2" t="s">
        <v>94</v>
      </c>
      <c r="I1213" s="2" t="s">
        <v>95</v>
      </c>
      <c r="J1213" s="2">
        <v>1</v>
      </c>
      <c r="K1213" s="8">
        <v>399</v>
      </c>
      <c r="L1213" s="3">
        <v>0.1</v>
      </c>
      <c r="M1213" s="12">
        <f>K1213*L1213</f>
        <v>39.900000000000006</v>
      </c>
      <c r="N1213" s="12">
        <f>K1213*J1213</f>
        <v>399</v>
      </c>
      <c r="O1213" s="12">
        <f>N1213-M1213</f>
        <v>359.1</v>
      </c>
      <c r="P1213" s="2" t="s">
        <v>30</v>
      </c>
      <c r="Q1213" s="2" t="s">
        <v>18</v>
      </c>
      <c r="R1213" s="2">
        <v>40</v>
      </c>
      <c r="S1213" s="20">
        <f>Table1[[#This Row],[Net_revenue]]/Table1[[#This Row],[Gross_revenue]]*100%</f>
        <v>0.9</v>
      </c>
      <c r="T1213" s="18">
        <f>COUNTIFS(Table1[Customer ID], "&gt;1", Table1[Customer ID], 1)</f>
        <v>0</v>
      </c>
    </row>
    <row r="1214" spans="1:20" hidden="1" x14ac:dyDescent="0.3">
      <c r="A1214" s="2" t="s">
        <v>1867</v>
      </c>
      <c r="B1214" s="5">
        <v>45732</v>
      </c>
      <c r="C1214" s="5" t="str">
        <f>TEXT(B1214,"mmm")</f>
        <v>Mar</v>
      </c>
      <c r="D1214" s="2" t="s">
        <v>836</v>
      </c>
      <c r="E1214" s="2" t="s">
        <v>75</v>
      </c>
      <c r="F1214" s="2" t="str" cm="1">
        <f t="array" ref="F12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214" s="2" t="str" cm="1">
        <f t="array" ref="G12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14" s="2" t="s">
        <v>71</v>
      </c>
      <c r="I1214" s="2" t="s">
        <v>29</v>
      </c>
      <c r="J1214" s="2">
        <v>1</v>
      </c>
      <c r="K1214" s="8">
        <v>5499</v>
      </c>
      <c r="L1214" s="3">
        <v>0</v>
      </c>
      <c r="M1214" s="12">
        <f>K1214*L1214</f>
        <v>0</v>
      </c>
      <c r="N1214" s="12">
        <f>K1214*J1214</f>
        <v>5499</v>
      </c>
      <c r="O1214" s="12">
        <f>N1214-M1214</f>
        <v>5499</v>
      </c>
      <c r="P1214" s="2" t="s">
        <v>17</v>
      </c>
      <c r="Q1214" s="2" t="s">
        <v>18</v>
      </c>
      <c r="R1214" s="2">
        <v>40</v>
      </c>
      <c r="S1214" s="20">
        <f>Table1[[#This Row],[Net_revenue]]/Table1[[#This Row],[Gross_revenue]]*100%</f>
        <v>1</v>
      </c>
      <c r="T1214" s="18">
        <f>COUNTIFS(Table1[Customer ID], "&gt;1", Table1[Customer ID], 1)</f>
        <v>0</v>
      </c>
    </row>
    <row r="1215" spans="1:20" hidden="1" x14ac:dyDescent="0.3">
      <c r="A1215" s="2" t="s">
        <v>1868</v>
      </c>
      <c r="B1215" s="5">
        <v>45829</v>
      </c>
      <c r="C1215" s="5" t="str">
        <f>TEXT(B1215,"mmm")</f>
        <v>Jun</v>
      </c>
      <c r="D1215" s="2" t="s">
        <v>405</v>
      </c>
      <c r="E1215" s="2" t="s">
        <v>14</v>
      </c>
      <c r="F1215" s="2" t="str" cm="1">
        <f t="array" ref="F12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15" s="2" t="str" cm="1">
        <f t="array" ref="G12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15" s="2" t="s">
        <v>121</v>
      </c>
      <c r="I1215" s="2" t="s">
        <v>95</v>
      </c>
      <c r="J1215" s="2">
        <v>2</v>
      </c>
      <c r="K1215" s="8">
        <v>1299</v>
      </c>
      <c r="L1215" s="3">
        <v>0</v>
      </c>
      <c r="M1215" s="12">
        <f>K1215*L1215</f>
        <v>0</v>
      </c>
      <c r="N1215" s="12">
        <f>K1215*J1215</f>
        <v>2598</v>
      </c>
      <c r="O1215" s="12">
        <f>N1215-M1215</f>
        <v>2598</v>
      </c>
      <c r="P1215" s="2" t="s">
        <v>30</v>
      </c>
      <c r="Q1215" s="2" t="s">
        <v>18</v>
      </c>
      <c r="R1215" s="2">
        <v>40</v>
      </c>
      <c r="S1215" s="20">
        <f>Table1[[#This Row],[Net_revenue]]/Table1[[#This Row],[Gross_revenue]]*100%</f>
        <v>1</v>
      </c>
      <c r="T1215" s="18">
        <f>COUNTIFS(Table1[Customer ID], "&gt;1", Table1[Customer ID], 1)</f>
        <v>0</v>
      </c>
    </row>
    <row r="1216" spans="1:20" hidden="1" x14ac:dyDescent="0.3">
      <c r="A1216" s="2" t="s">
        <v>1869</v>
      </c>
      <c r="B1216" s="5">
        <v>45677</v>
      </c>
      <c r="C1216" s="5" t="str">
        <f>TEXT(B1216,"mmm")</f>
        <v>Jan</v>
      </c>
      <c r="D1216" s="2" t="s">
        <v>1442</v>
      </c>
      <c r="E1216" s="2" t="s">
        <v>195</v>
      </c>
      <c r="F1216" s="2" t="str" cm="1">
        <f t="array" ref="F12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16" s="2" t="str" cm="1">
        <f t="array" ref="G12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16" s="2" t="s">
        <v>121</v>
      </c>
      <c r="I1216" s="2" t="s">
        <v>95</v>
      </c>
      <c r="J1216" s="2">
        <v>3</v>
      </c>
      <c r="K1216" s="8">
        <v>1299</v>
      </c>
      <c r="L1216" s="3">
        <v>0.1</v>
      </c>
      <c r="M1216" s="12">
        <f>K1216*L1216</f>
        <v>129.9</v>
      </c>
      <c r="N1216" s="12">
        <f>K1216*J1216</f>
        <v>3897</v>
      </c>
      <c r="O1216" s="12">
        <f>N1216-M1216</f>
        <v>3767.1</v>
      </c>
      <c r="P1216" s="2" t="s">
        <v>17</v>
      </c>
      <c r="Q1216" s="2" t="s">
        <v>18</v>
      </c>
      <c r="R1216" s="2">
        <v>0</v>
      </c>
      <c r="S1216" s="20">
        <f>Table1[[#This Row],[Net_revenue]]/Table1[[#This Row],[Gross_revenue]]*100%</f>
        <v>0.96666666666666667</v>
      </c>
      <c r="T1216" s="18">
        <f>COUNTIFS(Table1[Customer ID], "&gt;1", Table1[Customer ID], 1)</f>
        <v>0</v>
      </c>
    </row>
    <row r="1217" spans="1:20" hidden="1" x14ac:dyDescent="0.3">
      <c r="A1217" s="2" t="s">
        <v>1870</v>
      </c>
      <c r="B1217" s="5">
        <v>45822</v>
      </c>
      <c r="C1217" s="5" t="str">
        <f>TEXT(B1217,"mmm")</f>
        <v>Jun</v>
      </c>
      <c r="D1217" s="2" t="s">
        <v>160</v>
      </c>
      <c r="E1217" s="2" t="s">
        <v>75</v>
      </c>
      <c r="F1217" s="2" t="str" cm="1">
        <f t="array" ref="F12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217" s="2" t="str" cm="1">
        <f t="array" ref="G12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17" s="2" t="s">
        <v>15</v>
      </c>
      <c r="I1217" s="2" t="s">
        <v>16</v>
      </c>
      <c r="J1217" s="2">
        <v>1</v>
      </c>
      <c r="K1217" s="8">
        <v>1799</v>
      </c>
      <c r="L1217" s="3">
        <v>0.1</v>
      </c>
      <c r="M1217" s="12">
        <f>K1217*L1217</f>
        <v>179.9</v>
      </c>
      <c r="N1217" s="12">
        <f>K1217*J1217</f>
        <v>1799</v>
      </c>
      <c r="O1217" s="12">
        <f>N1217-M1217</f>
        <v>1619.1</v>
      </c>
      <c r="P1217" s="2" t="s">
        <v>45</v>
      </c>
      <c r="Q1217" s="2" t="s">
        <v>50</v>
      </c>
      <c r="R1217" s="2">
        <v>40</v>
      </c>
      <c r="S1217" s="20">
        <f>Table1[[#This Row],[Net_revenue]]/Table1[[#This Row],[Gross_revenue]]*100%</f>
        <v>0.89999999999999991</v>
      </c>
      <c r="T1217" s="18">
        <f>COUNTIFS(Table1[Customer ID], "&gt;1", Table1[Customer ID], 1)</f>
        <v>0</v>
      </c>
    </row>
    <row r="1218" spans="1:20" hidden="1" x14ac:dyDescent="0.3">
      <c r="A1218" s="2" t="s">
        <v>1871</v>
      </c>
      <c r="B1218" s="5">
        <v>45796</v>
      </c>
      <c r="C1218" s="5" t="str">
        <f>TEXT(B1218,"mmm")</f>
        <v>May</v>
      </c>
      <c r="D1218" s="2" t="s">
        <v>1287</v>
      </c>
      <c r="E1218" s="2" t="s">
        <v>14</v>
      </c>
      <c r="F1218" s="2" t="str" cm="1">
        <f t="array" ref="F12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18" s="2" t="str" cm="1">
        <f t="array" ref="G12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18" s="2" t="s">
        <v>22</v>
      </c>
      <c r="I1218" s="2" t="s">
        <v>23</v>
      </c>
      <c r="J1218" s="2">
        <v>5</v>
      </c>
      <c r="K1218" s="8">
        <v>3999</v>
      </c>
      <c r="L1218" s="3">
        <v>0.25</v>
      </c>
      <c r="M1218" s="12">
        <f>K1218*L1218</f>
        <v>999.75</v>
      </c>
      <c r="N1218" s="12">
        <f>K1218*J1218</f>
        <v>19995</v>
      </c>
      <c r="O1218" s="12">
        <f>N1218-M1218</f>
        <v>18995.25</v>
      </c>
      <c r="P1218" s="2" t="s">
        <v>17</v>
      </c>
      <c r="Q1218" s="2" t="s">
        <v>18</v>
      </c>
      <c r="R1218" s="2">
        <v>0</v>
      </c>
      <c r="S1218" s="20">
        <f>Table1[[#This Row],[Net_revenue]]/Table1[[#This Row],[Gross_revenue]]*100%</f>
        <v>0.95</v>
      </c>
      <c r="T1218" s="18">
        <f>COUNTIFS(Table1[Customer ID], "&gt;1", Table1[Customer ID], 1)</f>
        <v>0</v>
      </c>
    </row>
    <row r="1219" spans="1:20" hidden="1" x14ac:dyDescent="0.3">
      <c r="A1219" s="2" t="s">
        <v>1872</v>
      </c>
      <c r="B1219" s="5">
        <v>45925</v>
      </c>
      <c r="C1219" s="5" t="str">
        <f>TEXT(B1219,"mmm")</f>
        <v>Sep</v>
      </c>
      <c r="D1219" s="2" t="s">
        <v>174</v>
      </c>
      <c r="E1219" s="2" t="s">
        <v>75</v>
      </c>
      <c r="F1219" s="2" t="str" cm="1">
        <f t="array" ref="F12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219" s="2" t="str" cm="1">
        <f t="array" ref="G12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19" s="2" t="s">
        <v>68</v>
      </c>
      <c r="I1219" s="2" t="s">
        <v>16</v>
      </c>
      <c r="J1219" s="2">
        <v>2</v>
      </c>
      <c r="K1219" s="8">
        <v>599</v>
      </c>
      <c r="L1219" s="3">
        <v>0.1</v>
      </c>
      <c r="M1219" s="12">
        <f>K1219*L1219</f>
        <v>59.900000000000006</v>
      </c>
      <c r="N1219" s="12">
        <f>K1219*J1219</f>
        <v>1198</v>
      </c>
      <c r="O1219" s="12">
        <f>N1219-M1219</f>
        <v>1138.0999999999999</v>
      </c>
      <c r="P1219" s="2" t="s">
        <v>45</v>
      </c>
      <c r="Q1219" s="2" t="s">
        <v>18</v>
      </c>
      <c r="R1219" s="2">
        <v>80</v>
      </c>
      <c r="S1219" s="20">
        <f>Table1[[#This Row],[Net_revenue]]/Table1[[#This Row],[Gross_revenue]]*100%</f>
        <v>0.95</v>
      </c>
      <c r="T1219" s="18">
        <f>COUNTIFS(Table1[Customer ID], "&gt;1", Table1[Customer ID], 1)</f>
        <v>0</v>
      </c>
    </row>
    <row r="1220" spans="1:20" hidden="1" x14ac:dyDescent="0.3">
      <c r="A1220" s="2" t="s">
        <v>1873</v>
      </c>
      <c r="B1220" s="5">
        <v>45746</v>
      </c>
      <c r="C1220" s="5" t="str">
        <f>TEXT(B1220,"mmm")</f>
        <v>Mar</v>
      </c>
      <c r="D1220" s="2" t="s">
        <v>579</v>
      </c>
      <c r="E1220" s="2" t="s">
        <v>120</v>
      </c>
      <c r="F1220" s="2" t="str" cm="1">
        <f t="array" ref="F12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20" s="2" t="str" cm="1">
        <f t="array" ref="G12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20" s="2" t="s">
        <v>28</v>
      </c>
      <c r="I1220" s="2" t="s">
        <v>29</v>
      </c>
      <c r="J1220" s="2">
        <v>1</v>
      </c>
      <c r="K1220" s="8">
        <v>2799</v>
      </c>
      <c r="L1220" s="3">
        <v>0.05</v>
      </c>
      <c r="M1220" s="12">
        <f>K1220*L1220</f>
        <v>139.95000000000002</v>
      </c>
      <c r="N1220" s="12">
        <f>K1220*J1220</f>
        <v>2799</v>
      </c>
      <c r="O1220" s="12">
        <f>N1220-M1220</f>
        <v>2659.05</v>
      </c>
      <c r="P1220" s="2" t="s">
        <v>17</v>
      </c>
      <c r="Q1220" s="2" t="s">
        <v>18</v>
      </c>
      <c r="R1220" s="2">
        <v>60</v>
      </c>
      <c r="S1220" s="20">
        <f>Table1[[#This Row],[Net_revenue]]/Table1[[#This Row],[Gross_revenue]]*100%</f>
        <v>0.95000000000000007</v>
      </c>
      <c r="T1220" s="18">
        <f>COUNTIFS(Table1[Customer ID], "&gt;1", Table1[Customer ID], 1)</f>
        <v>0</v>
      </c>
    </row>
    <row r="1221" spans="1:20" hidden="1" x14ac:dyDescent="0.3">
      <c r="A1221" s="2" t="s">
        <v>1874</v>
      </c>
      <c r="B1221" s="5">
        <v>45942</v>
      </c>
      <c r="C1221" s="5" t="str">
        <f>TEXT(B1221,"mmm")</f>
        <v>Oct</v>
      </c>
      <c r="D1221" s="2" t="s">
        <v>970</v>
      </c>
      <c r="E1221" s="2" t="s">
        <v>53</v>
      </c>
      <c r="F1221" s="2" t="str" cm="1">
        <f t="array" ref="F12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221" s="2" t="str" cm="1">
        <f t="array" ref="G12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21" s="2" t="s">
        <v>80</v>
      </c>
      <c r="I1221" s="2" t="s">
        <v>23</v>
      </c>
      <c r="J1221" s="2">
        <v>1</v>
      </c>
      <c r="K1221" s="8">
        <v>799</v>
      </c>
      <c r="L1221" s="3">
        <v>0.1</v>
      </c>
      <c r="M1221" s="12">
        <f>K1221*L1221</f>
        <v>79.900000000000006</v>
      </c>
      <c r="N1221" s="12">
        <f>K1221*J1221</f>
        <v>799</v>
      </c>
      <c r="O1221" s="12">
        <f>N1221-M1221</f>
        <v>719.1</v>
      </c>
      <c r="P1221" s="2" t="s">
        <v>17</v>
      </c>
      <c r="Q1221" s="2" t="s">
        <v>18</v>
      </c>
      <c r="R1221" s="2">
        <v>0</v>
      </c>
      <c r="S1221" s="20">
        <f>Table1[[#This Row],[Net_revenue]]/Table1[[#This Row],[Gross_revenue]]*100%</f>
        <v>0.9</v>
      </c>
      <c r="T1221" s="18">
        <f>COUNTIFS(Table1[Customer ID], "&gt;1", Table1[Customer ID], 1)</f>
        <v>0</v>
      </c>
    </row>
    <row r="1222" spans="1:20" hidden="1" x14ac:dyDescent="0.3">
      <c r="A1222" s="2" t="s">
        <v>1875</v>
      </c>
      <c r="B1222" s="5">
        <v>45906</v>
      </c>
      <c r="C1222" s="5" t="str">
        <f>TEXT(B1222,"mmm")</f>
        <v>Sep</v>
      </c>
      <c r="D1222" s="2" t="s">
        <v>1089</v>
      </c>
      <c r="E1222" s="2" t="s">
        <v>53</v>
      </c>
      <c r="F1222" s="2" t="str" cm="1">
        <f t="array" ref="F12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222" s="2" t="str" cm="1">
        <f t="array" ref="G12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22" s="2" t="s">
        <v>121</v>
      </c>
      <c r="I1222" s="2" t="s">
        <v>95</v>
      </c>
      <c r="J1222" s="2">
        <v>1</v>
      </c>
      <c r="K1222" s="8">
        <v>1299</v>
      </c>
      <c r="L1222" s="3">
        <v>0.2</v>
      </c>
      <c r="M1222" s="12">
        <f>K1222*L1222</f>
        <v>259.8</v>
      </c>
      <c r="N1222" s="12">
        <f>K1222*J1222</f>
        <v>1299</v>
      </c>
      <c r="O1222" s="12">
        <f>N1222-M1222</f>
        <v>1039.2</v>
      </c>
      <c r="P1222" s="2" t="s">
        <v>30</v>
      </c>
      <c r="Q1222" s="2" t="s">
        <v>18</v>
      </c>
      <c r="R1222" s="2">
        <v>0</v>
      </c>
      <c r="S1222" s="20">
        <f>Table1[[#This Row],[Net_revenue]]/Table1[[#This Row],[Gross_revenue]]*100%</f>
        <v>0.8</v>
      </c>
      <c r="T1222" s="18">
        <f>COUNTIFS(Table1[Customer ID], "&gt;1", Table1[Customer ID], 1)</f>
        <v>0</v>
      </c>
    </row>
    <row r="1223" spans="1:20" hidden="1" x14ac:dyDescent="0.3">
      <c r="A1223" s="2" t="s">
        <v>1876</v>
      </c>
      <c r="B1223" s="5">
        <v>45975</v>
      </c>
      <c r="C1223" s="5" t="str">
        <f>TEXT(B1223,"mmm")</f>
        <v>Nov</v>
      </c>
      <c r="D1223" s="2" t="s">
        <v>761</v>
      </c>
      <c r="E1223" s="2" t="s">
        <v>56</v>
      </c>
      <c r="F1223" s="2" t="str" cm="1">
        <f t="array" ref="F12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23" s="2" t="str" cm="1">
        <f t="array" ref="G12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23" s="2" t="s">
        <v>217</v>
      </c>
      <c r="I1223" s="2" t="s">
        <v>29</v>
      </c>
      <c r="J1223" s="2">
        <v>4</v>
      </c>
      <c r="K1223" s="8">
        <v>3299</v>
      </c>
      <c r="L1223" s="3">
        <v>0.15</v>
      </c>
      <c r="M1223" s="12">
        <f>K1223*L1223</f>
        <v>494.84999999999997</v>
      </c>
      <c r="N1223" s="12">
        <f>K1223*J1223</f>
        <v>13196</v>
      </c>
      <c r="O1223" s="12">
        <f>N1223-M1223</f>
        <v>12701.15</v>
      </c>
      <c r="P1223" s="2" t="s">
        <v>30</v>
      </c>
      <c r="Q1223" s="2" t="s">
        <v>18</v>
      </c>
      <c r="R1223" s="2">
        <v>80</v>
      </c>
      <c r="S1223" s="20">
        <f>Table1[[#This Row],[Net_revenue]]/Table1[[#This Row],[Gross_revenue]]*100%</f>
        <v>0.96250000000000002</v>
      </c>
      <c r="T1223" s="18">
        <f>COUNTIFS(Table1[Customer ID], "&gt;1", Table1[Customer ID], 1)</f>
        <v>0</v>
      </c>
    </row>
    <row r="1224" spans="1:20" hidden="1" x14ac:dyDescent="0.3">
      <c r="A1224" s="2" t="s">
        <v>1877</v>
      </c>
      <c r="B1224" s="5">
        <v>45749</v>
      </c>
      <c r="C1224" s="5" t="str">
        <f>TEXT(B1224,"mmm")</f>
        <v>Apr</v>
      </c>
      <c r="D1224" s="2" t="s">
        <v>725</v>
      </c>
      <c r="E1224" s="2" t="s">
        <v>53</v>
      </c>
      <c r="F1224" s="2" t="str" cm="1">
        <f t="array" ref="F12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224" s="2" t="str" cm="1">
        <f t="array" ref="G12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24" s="2" t="s">
        <v>22</v>
      </c>
      <c r="I1224" s="2" t="s">
        <v>23</v>
      </c>
      <c r="J1224" s="2">
        <v>1</v>
      </c>
      <c r="K1224" s="8">
        <v>3999</v>
      </c>
      <c r="L1224" s="3">
        <v>0.15</v>
      </c>
      <c r="M1224" s="12">
        <f>K1224*L1224</f>
        <v>599.85</v>
      </c>
      <c r="N1224" s="12">
        <f>K1224*J1224</f>
        <v>3999</v>
      </c>
      <c r="O1224" s="12">
        <f>N1224-M1224</f>
        <v>3399.15</v>
      </c>
      <c r="P1224" s="2" t="s">
        <v>45</v>
      </c>
      <c r="Q1224" s="2" t="s">
        <v>18</v>
      </c>
      <c r="R1224" s="2">
        <v>80</v>
      </c>
      <c r="S1224" s="20">
        <f>Table1[[#This Row],[Net_revenue]]/Table1[[#This Row],[Gross_revenue]]*100%</f>
        <v>0.85</v>
      </c>
      <c r="T1224" s="18">
        <f>COUNTIFS(Table1[Customer ID], "&gt;1", Table1[Customer ID], 1)</f>
        <v>0</v>
      </c>
    </row>
    <row r="1225" spans="1:20" hidden="1" x14ac:dyDescent="0.3">
      <c r="A1225" s="2" t="s">
        <v>1878</v>
      </c>
      <c r="B1225" s="5">
        <v>45666</v>
      </c>
      <c r="C1225" s="5" t="str">
        <f>TEXT(B1225,"mmm")</f>
        <v>Jan</v>
      </c>
      <c r="D1225" s="2" t="s">
        <v>1879</v>
      </c>
      <c r="E1225" s="2" t="s">
        <v>21</v>
      </c>
      <c r="F1225" s="2" t="str" cm="1">
        <f t="array" ref="F12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25" s="2" t="str" cm="1">
        <f t="array" ref="G12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25" s="2" t="s">
        <v>98</v>
      </c>
      <c r="I1225" s="2" t="s">
        <v>37</v>
      </c>
      <c r="J1225" s="2">
        <v>1</v>
      </c>
      <c r="K1225" s="8">
        <v>299</v>
      </c>
      <c r="L1225" s="3">
        <v>0.1</v>
      </c>
      <c r="M1225" s="12">
        <f>K1225*L1225</f>
        <v>29.900000000000002</v>
      </c>
      <c r="N1225" s="12">
        <f>K1225*J1225</f>
        <v>299</v>
      </c>
      <c r="O1225" s="12">
        <f>N1225-M1225</f>
        <v>269.10000000000002</v>
      </c>
      <c r="P1225" s="2" t="s">
        <v>30</v>
      </c>
      <c r="Q1225" s="2" t="s">
        <v>18</v>
      </c>
      <c r="R1225" s="2">
        <v>0</v>
      </c>
      <c r="S1225" s="20">
        <f>Table1[[#This Row],[Net_revenue]]/Table1[[#This Row],[Gross_revenue]]*100%</f>
        <v>0.9</v>
      </c>
      <c r="T1225" s="18">
        <f>COUNTIFS(Table1[Customer ID], "&gt;1", Table1[Customer ID], 1)</f>
        <v>0</v>
      </c>
    </row>
    <row r="1226" spans="1:20" hidden="1" x14ac:dyDescent="0.3">
      <c r="A1226" s="2" t="s">
        <v>1880</v>
      </c>
      <c r="B1226" s="5">
        <v>45782</v>
      </c>
      <c r="C1226" s="5" t="str">
        <f>TEXT(B1226,"mmm")</f>
        <v>May</v>
      </c>
      <c r="D1226" s="2" t="s">
        <v>430</v>
      </c>
      <c r="E1226" s="2" t="s">
        <v>14</v>
      </c>
      <c r="F1226" s="2" t="str" cm="1">
        <f t="array" ref="F12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26" s="2" t="str" cm="1">
        <f t="array" ref="G12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26" s="2" t="s">
        <v>65</v>
      </c>
      <c r="I1226" s="2" t="s">
        <v>23</v>
      </c>
      <c r="J1226" s="2">
        <v>4</v>
      </c>
      <c r="K1226" s="8">
        <v>1899</v>
      </c>
      <c r="L1226" s="3">
        <v>0</v>
      </c>
      <c r="M1226" s="12">
        <f>K1226*L1226</f>
        <v>0</v>
      </c>
      <c r="N1226" s="12">
        <f>K1226*J1226</f>
        <v>7596</v>
      </c>
      <c r="O1226" s="12">
        <f>N1226-M1226</f>
        <v>7596</v>
      </c>
      <c r="P1226" s="2" t="s">
        <v>30</v>
      </c>
      <c r="Q1226" s="2" t="s">
        <v>18</v>
      </c>
      <c r="R1226" s="2">
        <v>80</v>
      </c>
      <c r="S1226" s="20">
        <f>Table1[[#This Row],[Net_revenue]]/Table1[[#This Row],[Gross_revenue]]*100%</f>
        <v>1</v>
      </c>
      <c r="T1226" s="18">
        <f>COUNTIFS(Table1[Customer ID], "&gt;1", Table1[Customer ID], 1)</f>
        <v>0</v>
      </c>
    </row>
    <row r="1227" spans="1:20" hidden="1" x14ac:dyDescent="0.3">
      <c r="A1227" s="2" t="s">
        <v>1881</v>
      </c>
      <c r="B1227" s="5">
        <v>45726</v>
      </c>
      <c r="C1227" s="5" t="str">
        <f>TEXT(B1227,"mmm")</f>
        <v>Mar</v>
      </c>
      <c r="D1227" s="2" t="s">
        <v>634</v>
      </c>
      <c r="E1227" s="2" t="s">
        <v>21</v>
      </c>
      <c r="F1227" s="2" t="str" cm="1">
        <f t="array" ref="F12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27" s="2" t="str" cm="1">
        <f t="array" ref="G12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27" s="2" t="s">
        <v>28</v>
      </c>
      <c r="I1227" s="2" t="s">
        <v>29</v>
      </c>
      <c r="J1227" s="2">
        <v>3</v>
      </c>
      <c r="K1227" s="8">
        <v>2799</v>
      </c>
      <c r="L1227" s="3">
        <v>0.1</v>
      </c>
      <c r="M1227" s="12">
        <f>K1227*L1227</f>
        <v>279.90000000000003</v>
      </c>
      <c r="N1227" s="12">
        <f>K1227*J1227</f>
        <v>8397</v>
      </c>
      <c r="O1227" s="12">
        <f>N1227-M1227</f>
        <v>8117.1</v>
      </c>
      <c r="P1227" s="2" t="s">
        <v>30</v>
      </c>
      <c r="Q1227" s="2" t="s">
        <v>18</v>
      </c>
      <c r="R1227" s="2">
        <v>40</v>
      </c>
      <c r="S1227" s="20">
        <f>Table1[[#This Row],[Net_revenue]]/Table1[[#This Row],[Gross_revenue]]*100%</f>
        <v>0.96666666666666667</v>
      </c>
      <c r="T1227" s="18">
        <f>COUNTIFS(Table1[Customer ID], "&gt;1", Table1[Customer ID], 1)</f>
        <v>0</v>
      </c>
    </row>
    <row r="1228" spans="1:20" hidden="1" x14ac:dyDescent="0.3">
      <c r="A1228" s="2" t="s">
        <v>1882</v>
      </c>
      <c r="B1228" s="5">
        <v>45839</v>
      </c>
      <c r="C1228" s="5" t="str">
        <f>TEXT(B1228,"mmm")</f>
        <v>Jul</v>
      </c>
      <c r="D1228" s="2" t="s">
        <v>1632</v>
      </c>
      <c r="E1228" s="2" t="s">
        <v>40</v>
      </c>
      <c r="F1228" s="2" t="str" cm="1">
        <f t="array" ref="F12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28" s="2" t="str" cm="1">
        <f t="array" ref="G12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28" s="2" t="s">
        <v>49</v>
      </c>
      <c r="I1228" s="2" t="s">
        <v>23</v>
      </c>
      <c r="J1228" s="2">
        <v>2</v>
      </c>
      <c r="K1228" s="8">
        <v>1299</v>
      </c>
      <c r="L1228" s="3">
        <v>0.1</v>
      </c>
      <c r="M1228" s="12">
        <f>K1228*L1228</f>
        <v>129.9</v>
      </c>
      <c r="N1228" s="12">
        <f>K1228*J1228</f>
        <v>2598</v>
      </c>
      <c r="O1228" s="12">
        <f>N1228-M1228</f>
        <v>2468.1</v>
      </c>
      <c r="P1228" s="2" t="s">
        <v>45</v>
      </c>
      <c r="Q1228" s="2" t="s">
        <v>18</v>
      </c>
      <c r="R1228" s="2">
        <v>60</v>
      </c>
      <c r="S1228" s="20">
        <f>Table1[[#This Row],[Net_revenue]]/Table1[[#This Row],[Gross_revenue]]*100%</f>
        <v>0.95</v>
      </c>
      <c r="T1228" s="18">
        <f>COUNTIFS(Table1[Customer ID], "&gt;1", Table1[Customer ID], 1)</f>
        <v>0</v>
      </c>
    </row>
    <row r="1229" spans="1:20" hidden="1" x14ac:dyDescent="0.3">
      <c r="A1229" s="2" t="s">
        <v>1883</v>
      </c>
      <c r="B1229" s="5">
        <v>45719</v>
      </c>
      <c r="C1229" s="5" t="str">
        <f>TEXT(B1229,"mmm")</f>
        <v>Mar</v>
      </c>
      <c r="D1229" s="2" t="s">
        <v>1707</v>
      </c>
      <c r="E1229" s="2" t="s">
        <v>21</v>
      </c>
      <c r="F1229" s="2" t="str" cm="1">
        <f t="array" ref="F12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29" s="2" t="str" cm="1">
        <f t="array" ref="G12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29" s="2" t="s">
        <v>63</v>
      </c>
      <c r="I1229" s="2" t="s">
        <v>23</v>
      </c>
      <c r="J1229" s="2">
        <v>2</v>
      </c>
      <c r="K1229" s="8">
        <v>2499</v>
      </c>
      <c r="L1229" s="3">
        <v>0.1</v>
      </c>
      <c r="M1229" s="12">
        <f>K1229*L1229</f>
        <v>249.9</v>
      </c>
      <c r="N1229" s="12">
        <f>K1229*J1229</f>
        <v>4998</v>
      </c>
      <c r="O1229" s="12">
        <f>N1229-M1229</f>
        <v>4748.1000000000004</v>
      </c>
      <c r="P1229" s="2" t="s">
        <v>45</v>
      </c>
      <c r="Q1229" s="2" t="s">
        <v>18</v>
      </c>
      <c r="R1229" s="2">
        <v>0</v>
      </c>
      <c r="S1229" s="20">
        <f>Table1[[#This Row],[Net_revenue]]/Table1[[#This Row],[Gross_revenue]]*100%</f>
        <v>0.95000000000000007</v>
      </c>
      <c r="T1229" s="18">
        <f>COUNTIFS(Table1[Customer ID], "&gt;1", Table1[Customer ID], 1)</f>
        <v>0</v>
      </c>
    </row>
    <row r="1230" spans="1:20" hidden="1" x14ac:dyDescent="0.3">
      <c r="A1230" s="2" t="s">
        <v>1884</v>
      </c>
      <c r="B1230" s="5">
        <v>45837</v>
      </c>
      <c r="C1230" s="5" t="str">
        <f>TEXT(B1230,"mmm")</f>
        <v>Jun</v>
      </c>
      <c r="D1230" s="2" t="s">
        <v>759</v>
      </c>
      <c r="E1230" s="2" t="s">
        <v>27</v>
      </c>
      <c r="F1230" s="2" t="str" cm="1">
        <f t="array" ref="F12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30" s="2" t="str" cm="1">
        <f t="array" ref="G12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30" s="2" t="s">
        <v>134</v>
      </c>
      <c r="I1230" s="2" t="s">
        <v>29</v>
      </c>
      <c r="J1230" s="2">
        <v>3</v>
      </c>
      <c r="K1230" s="8">
        <v>1499</v>
      </c>
      <c r="L1230" s="3">
        <v>0</v>
      </c>
      <c r="M1230" s="12">
        <f>K1230*L1230</f>
        <v>0</v>
      </c>
      <c r="N1230" s="12">
        <f>K1230*J1230</f>
        <v>4497</v>
      </c>
      <c r="O1230" s="12">
        <f>N1230-M1230</f>
        <v>4497</v>
      </c>
      <c r="P1230" s="2" t="s">
        <v>30</v>
      </c>
      <c r="Q1230" s="2" t="s">
        <v>18</v>
      </c>
      <c r="R1230" s="2">
        <v>0</v>
      </c>
      <c r="S1230" s="20">
        <f>Table1[[#This Row],[Net_revenue]]/Table1[[#This Row],[Gross_revenue]]*100%</f>
        <v>1</v>
      </c>
      <c r="T1230" s="18">
        <f>COUNTIFS(Table1[Customer ID], "&gt;1", Table1[Customer ID], 1)</f>
        <v>0</v>
      </c>
    </row>
    <row r="1231" spans="1:20" hidden="1" x14ac:dyDescent="0.3">
      <c r="A1231" s="2" t="s">
        <v>1885</v>
      </c>
      <c r="B1231" s="5">
        <v>45762</v>
      </c>
      <c r="C1231" s="5" t="str">
        <f>TEXT(B1231,"mmm")</f>
        <v>Apr</v>
      </c>
      <c r="D1231" s="2" t="s">
        <v>290</v>
      </c>
      <c r="E1231" s="2" t="s">
        <v>56</v>
      </c>
      <c r="F1231" s="2" t="str" cm="1">
        <f t="array" ref="F12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31" s="2" t="str" cm="1">
        <f t="array" ref="G12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31" s="2" t="s">
        <v>121</v>
      </c>
      <c r="I1231" s="2" t="s">
        <v>95</v>
      </c>
      <c r="J1231" s="2">
        <v>1</v>
      </c>
      <c r="K1231" s="8">
        <v>1299</v>
      </c>
      <c r="L1231" s="3">
        <v>0.1</v>
      </c>
      <c r="M1231" s="12">
        <f>K1231*L1231</f>
        <v>129.9</v>
      </c>
      <c r="N1231" s="12">
        <f>K1231*J1231</f>
        <v>1299</v>
      </c>
      <c r="O1231" s="12">
        <f>N1231-M1231</f>
        <v>1169.0999999999999</v>
      </c>
      <c r="P1231" s="2" t="s">
        <v>30</v>
      </c>
      <c r="Q1231" s="2" t="s">
        <v>18</v>
      </c>
      <c r="R1231" s="2">
        <v>80</v>
      </c>
      <c r="S1231" s="20">
        <f>Table1[[#This Row],[Net_revenue]]/Table1[[#This Row],[Gross_revenue]]*100%</f>
        <v>0.89999999999999991</v>
      </c>
      <c r="T1231" s="18">
        <f>COUNTIFS(Table1[Customer ID], "&gt;1", Table1[Customer ID], 1)</f>
        <v>0</v>
      </c>
    </row>
    <row r="1232" spans="1:20" hidden="1" x14ac:dyDescent="0.3">
      <c r="A1232" s="2" t="s">
        <v>1886</v>
      </c>
      <c r="B1232" s="5">
        <v>45856</v>
      </c>
      <c r="C1232" s="5" t="str">
        <f>TEXT(B1232,"mmm")</f>
        <v>Jul</v>
      </c>
      <c r="D1232" s="2" t="s">
        <v>133</v>
      </c>
      <c r="E1232" s="2" t="s">
        <v>56</v>
      </c>
      <c r="F1232" s="2" t="str" cm="1">
        <f t="array" ref="F12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32" s="2" t="str" cm="1">
        <f t="array" ref="G12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32" s="2" t="s">
        <v>98</v>
      </c>
      <c r="I1232" s="2" t="s">
        <v>37</v>
      </c>
      <c r="J1232" s="2">
        <v>1</v>
      </c>
      <c r="K1232" s="8">
        <v>299</v>
      </c>
      <c r="L1232" s="3">
        <v>0.1</v>
      </c>
      <c r="M1232" s="12">
        <f>K1232*L1232</f>
        <v>29.900000000000002</v>
      </c>
      <c r="N1232" s="12">
        <f>K1232*J1232</f>
        <v>299</v>
      </c>
      <c r="O1232" s="12">
        <f>N1232-M1232</f>
        <v>269.10000000000002</v>
      </c>
      <c r="P1232" s="2" t="s">
        <v>45</v>
      </c>
      <c r="Q1232" s="2" t="s">
        <v>18</v>
      </c>
      <c r="R1232" s="2">
        <v>80</v>
      </c>
      <c r="S1232" s="20">
        <f>Table1[[#This Row],[Net_revenue]]/Table1[[#This Row],[Gross_revenue]]*100%</f>
        <v>0.9</v>
      </c>
      <c r="T1232" s="18">
        <f>COUNTIFS(Table1[Customer ID], "&gt;1", Table1[Customer ID], 1)</f>
        <v>0</v>
      </c>
    </row>
    <row r="1233" spans="1:20" hidden="1" x14ac:dyDescent="0.3">
      <c r="A1233" s="2" t="s">
        <v>1887</v>
      </c>
      <c r="B1233" s="5">
        <v>45941</v>
      </c>
      <c r="C1233" s="5" t="str">
        <f>TEXT(B1233,"mmm")</f>
        <v>Oct</v>
      </c>
      <c r="D1233" s="2" t="s">
        <v>1888</v>
      </c>
      <c r="E1233" s="2" t="s">
        <v>21</v>
      </c>
      <c r="F1233" s="2" t="str" cm="1">
        <f t="array" ref="F12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33" s="2" t="str" cm="1">
        <f t="array" ref="G12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33" s="2" t="s">
        <v>65</v>
      </c>
      <c r="I1233" s="2" t="s">
        <v>23</v>
      </c>
      <c r="J1233" s="2">
        <v>1</v>
      </c>
      <c r="K1233" s="8">
        <v>1899</v>
      </c>
      <c r="L1233" s="3">
        <v>0.25</v>
      </c>
      <c r="M1233" s="12">
        <f>K1233*L1233</f>
        <v>474.75</v>
      </c>
      <c r="N1233" s="12">
        <f>K1233*J1233</f>
        <v>1899</v>
      </c>
      <c r="O1233" s="12">
        <f>N1233-M1233</f>
        <v>1424.25</v>
      </c>
      <c r="P1233" s="2" t="s">
        <v>17</v>
      </c>
      <c r="Q1233" s="2" t="s">
        <v>18</v>
      </c>
      <c r="R1233" s="2">
        <v>60</v>
      </c>
      <c r="S1233" s="20">
        <f>Table1[[#This Row],[Net_revenue]]/Table1[[#This Row],[Gross_revenue]]*100%</f>
        <v>0.75</v>
      </c>
      <c r="T1233" s="18">
        <f>COUNTIFS(Table1[Customer ID], "&gt;1", Table1[Customer ID], 1)</f>
        <v>0</v>
      </c>
    </row>
    <row r="1234" spans="1:20" hidden="1" x14ac:dyDescent="0.3">
      <c r="A1234" s="2" t="s">
        <v>1889</v>
      </c>
      <c r="B1234" s="5">
        <v>45990</v>
      </c>
      <c r="C1234" s="5" t="str">
        <f>TEXT(B1234,"mmm")</f>
        <v>Nov</v>
      </c>
      <c r="D1234" s="2" t="s">
        <v>1681</v>
      </c>
      <c r="E1234" s="2" t="s">
        <v>40</v>
      </c>
      <c r="F1234" s="2" t="str" cm="1">
        <f t="array" ref="F12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34" s="2" t="str" cm="1">
        <f t="array" ref="G12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34" s="2" t="s">
        <v>49</v>
      </c>
      <c r="I1234" s="2" t="s">
        <v>23</v>
      </c>
      <c r="J1234" s="2">
        <v>1</v>
      </c>
      <c r="K1234" s="8">
        <v>1299</v>
      </c>
      <c r="L1234" s="3">
        <v>0</v>
      </c>
      <c r="M1234" s="12">
        <f>K1234*L1234</f>
        <v>0</v>
      </c>
      <c r="N1234" s="12">
        <f>K1234*J1234</f>
        <v>1299</v>
      </c>
      <c r="O1234" s="12">
        <f>N1234-M1234</f>
        <v>1299</v>
      </c>
      <c r="P1234" s="2" t="s">
        <v>17</v>
      </c>
      <c r="Q1234" s="2" t="s">
        <v>18</v>
      </c>
      <c r="R1234" s="2">
        <v>0</v>
      </c>
      <c r="S1234" s="20">
        <f>Table1[[#This Row],[Net_revenue]]/Table1[[#This Row],[Gross_revenue]]*100%</f>
        <v>1</v>
      </c>
      <c r="T1234" s="18">
        <f>COUNTIFS(Table1[Customer ID], "&gt;1", Table1[Customer ID], 1)</f>
        <v>0</v>
      </c>
    </row>
    <row r="1235" spans="1:20" hidden="1" x14ac:dyDescent="0.3">
      <c r="A1235" s="2" t="s">
        <v>1890</v>
      </c>
      <c r="B1235" s="5">
        <v>45878</v>
      </c>
      <c r="C1235" s="5" t="str">
        <f>TEXT(B1235,"mmm")</f>
        <v>Aug</v>
      </c>
      <c r="D1235" s="2" t="s">
        <v>1045</v>
      </c>
      <c r="E1235" s="2" t="s">
        <v>40</v>
      </c>
      <c r="F1235" s="2" t="str" cm="1">
        <f t="array" ref="F12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35" s="2" t="str" cm="1">
        <f t="array" ref="G12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35" s="2" t="s">
        <v>121</v>
      </c>
      <c r="I1235" s="2" t="s">
        <v>95</v>
      </c>
      <c r="J1235" s="2">
        <v>1</v>
      </c>
      <c r="K1235" s="8">
        <v>1299</v>
      </c>
      <c r="L1235" s="3">
        <v>0.15</v>
      </c>
      <c r="M1235" s="12">
        <f>K1235*L1235</f>
        <v>194.85</v>
      </c>
      <c r="N1235" s="12">
        <f>K1235*J1235</f>
        <v>1299</v>
      </c>
      <c r="O1235" s="12">
        <f>N1235-M1235</f>
        <v>1104.1500000000001</v>
      </c>
      <c r="P1235" s="2" t="s">
        <v>45</v>
      </c>
      <c r="Q1235" s="2" t="s">
        <v>18</v>
      </c>
      <c r="R1235" s="2">
        <v>60</v>
      </c>
      <c r="S1235" s="20">
        <f>Table1[[#This Row],[Net_revenue]]/Table1[[#This Row],[Gross_revenue]]*100%</f>
        <v>0.85000000000000009</v>
      </c>
      <c r="T1235" s="18">
        <f>COUNTIFS(Table1[Customer ID], "&gt;1", Table1[Customer ID], 1)</f>
        <v>0</v>
      </c>
    </row>
    <row r="1236" spans="1:20" hidden="1" x14ac:dyDescent="0.3">
      <c r="A1236" s="2" t="s">
        <v>1891</v>
      </c>
      <c r="B1236" s="5">
        <v>45849</v>
      </c>
      <c r="C1236" s="5" t="str">
        <f>TEXT(B1236,"mmm")</f>
        <v>Jul</v>
      </c>
      <c r="D1236" s="2" t="s">
        <v>761</v>
      </c>
      <c r="E1236" s="2" t="s">
        <v>120</v>
      </c>
      <c r="F1236" s="2" t="str" cm="1">
        <f t="array" ref="F12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36" s="2" t="str" cm="1">
        <f t="array" ref="G12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36" s="2" t="s">
        <v>80</v>
      </c>
      <c r="I1236" s="2" t="s">
        <v>23</v>
      </c>
      <c r="J1236" s="2">
        <v>2</v>
      </c>
      <c r="K1236" s="8">
        <v>799</v>
      </c>
      <c r="L1236" s="3">
        <v>0.2</v>
      </c>
      <c r="M1236" s="12">
        <f>K1236*L1236</f>
        <v>159.80000000000001</v>
      </c>
      <c r="N1236" s="12">
        <f>K1236*J1236</f>
        <v>1598</v>
      </c>
      <c r="O1236" s="12">
        <f>N1236-M1236</f>
        <v>1438.2</v>
      </c>
      <c r="P1236" s="2" t="s">
        <v>30</v>
      </c>
      <c r="Q1236" s="2" t="s">
        <v>18</v>
      </c>
      <c r="R1236" s="2">
        <v>40</v>
      </c>
      <c r="S1236" s="20">
        <f>Table1[[#This Row],[Net_revenue]]/Table1[[#This Row],[Gross_revenue]]*100%</f>
        <v>0.9</v>
      </c>
      <c r="T1236" s="18">
        <f>COUNTIFS(Table1[Customer ID], "&gt;1", Table1[Customer ID], 1)</f>
        <v>0</v>
      </c>
    </row>
    <row r="1237" spans="1:20" hidden="1" x14ac:dyDescent="0.3">
      <c r="A1237" s="2" t="s">
        <v>1892</v>
      </c>
      <c r="B1237" s="5">
        <v>45784</v>
      </c>
      <c r="C1237" s="5" t="str">
        <f>TEXT(B1237,"mmm")</f>
        <v>May</v>
      </c>
      <c r="D1237" s="2" t="s">
        <v>768</v>
      </c>
      <c r="E1237" s="2" t="s">
        <v>195</v>
      </c>
      <c r="F1237" s="2" t="str" cm="1">
        <f t="array" ref="F12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37" s="2" t="str" cm="1">
        <f t="array" ref="G12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37" s="2" t="s">
        <v>68</v>
      </c>
      <c r="I1237" s="2" t="s">
        <v>16</v>
      </c>
      <c r="J1237" s="2">
        <v>2</v>
      </c>
      <c r="K1237" s="8">
        <v>599</v>
      </c>
      <c r="L1237" s="3">
        <v>0.1</v>
      </c>
      <c r="M1237" s="12">
        <f>K1237*L1237</f>
        <v>59.900000000000006</v>
      </c>
      <c r="N1237" s="12">
        <f>K1237*J1237</f>
        <v>1198</v>
      </c>
      <c r="O1237" s="12">
        <f>N1237-M1237</f>
        <v>1138.0999999999999</v>
      </c>
      <c r="P1237" s="2" t="s">
        <v>17</v>
      </c>
      <c r="Q1237" s="2" t="s">
        <v>18</v>
      </c>
      <c r="R1237" s="2">
        <v>40</v>
      </c>
      <c r="S1237" s="20">
        <f>Table1[[#This Row],[Net_revenue]]/Table1[[#This Row],[Gross_revenue]]*100%</f>
        <v>0.95</v>
      </c>
      <c r="T1237" s="18">
        <f>COUNTIFS(Table1[Customer ID], "&gt;1", Table1[Customer ID], 1)</f>
        <v>0</v>
      </c>
    </row>
    <row r="1238" spans="1:20" hidden="1" x14ac:dyDescent="0.3">
      <c r="A1238" s="2" t="s">
        <v>1893</v>
      </c>
      <c r="B1238" s="5">
        <v>45877</v>
      </c>
      <c r="C1238" s="5" t="str">
        <f>TEXT(B1238,"mmm")</f>
        <v>Aug</v>
      </c>
      <c r="D1238" s="2" t="s">
        <v>1043</v>
      </c>
      <c r="E1238" s="2" t="s">
        <v>56</v>
      </c>
      <c r="F1238" s="2" t="str" cm="1">
        <f t="array" ref="F12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38" s="2" t="str" cm="1">
        <f t="array" ref="G12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38" s="2" t="s">
        <v>36</v>
      </c>
      <c r="I1238" s="2" t="s">
        <v>37</v>
      </c>
      <c r="J1238" s="2">
        <v>3</v>
      </c>
      <c r="K1238" s="8">
        <v>349</v>
      </c>
      <c r="L1238" s="3">
        <v>0</v>
      </c>
      <c r="M1238" s="12">
        <f>K1238*L1238</f>
        <v>0</v>
      </c>
      <c r="N1238" s="12">
        <f>K1238*J1238</f>
        <v>1047</v>
      </c>
      <c r="O1238" s="12">
        <f>N1238-M1238</f>
        <v>1047</v>
      </c>
      <c r="P1238" s="2" t="s">
        <v>17</v>
      </c>
      <c r="Q1238" s="2" t="s">
        <v>18</v>
      </c>
      <c r="R1238" s="2">
        <v>0</v>
      </c>
      <c r="S1238" s="20">
        <f>Table1[[#This Row],[Net_revenue]]/Table1[[#This Row],[Gross_revenue]]*100%</f>
        <v>1</v>
      </c>
      <c r="T1238" s="18">
        <f>COUNTIFS(Table1[Customer ID], "&gt;1", Table1[Customer ID], 1)</f>
        <v>0</v>
      </c>
    </row>
    <row r="1239" spans="1:20" hidden="1" x14ac:dyDescent="0.3">
      <c r="A1239" s="2" t="s">
        <v>1894</v>
      </c>
      <c r="B1239" s="5">
        <v>45845</v>
      </c>
      <c r="C1239" s="5" t="str">
        <f>TEXT(B1239,"mmm")</f>
        <v>Jul</v>
      </c>
      <c r="D1239" s="2" t="s">
        <v>1594</v>
      </c>
      <c r="E1239" s="2" t="s">
        <v>21</v>
      </c>
      <c r="F1239" s="2" t="str" cm="1">
        <f t="array" ref="F12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39" s="2" t="str" cm="1">
        <f t="array" ref="G12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39" s="2" t="s">
        <v>63</v>
      </c>
      <c r="I1239" s="2" t="s">
        <v>23</v>
      </c>
      <c r="J1239" s="2">
        <v>1</v>
      </c>
      <c r="K1239" s="8">
        <v>2499</v>
      </c>
      <c r="L1239" s="3">
        <v>0.25</v>
      </c>
      <c r="M1239" s="12">
        <f>K1239*L1239</f>
        <v>624.75</v>
      </c>
      <c r="N1239" s="12">
        <f>K1239*J1239</f>
        <v>2499</v>
      </c>
      <c r="O1239" s="12">
        <f>N1239-M1239</f>
        <v>1874.25</v>
      </c>
      <c r="P1239" s="2" t="s">
        <v>45</v>
      </c>
      <c r="Q1239" s="2" t="s">
        <v>18</v>
      </c>
      <c r="R1239" s="2">
        <v>40</v>
      </c>
      <c r="S1239" s="20">
        <f>Table1[[#This Row],[Net_revenue]]/Table1[[#This Row],[Gross_revenue]]*100%</f>
        <v>0.75</v>
      </c>
      <c r="T1239" s="18">
        <f>COUNTIFS(Table1[Customer ID], "&gt;1", Table1[Customer ID], 1)</f>
        <v>0</v>
      </c>
    </row>
    <row r="1240" spans="1:20" hidden="1" x14ac:dyDescent="0.3">
      <c r="A1240" s="2" t="s">
        <v>1895</v>
      </c>
      <c r="B1240" s="5">
        <v>46002</v>
      </c>
      <c r="C1240" s="5" t="str">
        <f>TEXT(B1240,"mmm")</f>
        <v>Dec</v>
      </c>
      <c r="D1240" s="2" t="s">
        <v>681</v>
      </c>
      <c r="E1240" s="2" t="s">
        <v>56</v>
      </c>
      <c r="F1240" s="2" t="str" cm="1">
        <f t="array" ref="F12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40" s="2" t="str" cm="1">
        <f t="array" ref="G12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40" s="2" t="s">
        <v>65</v>
      </c>
      <c r="I1240" s="2" t="s">
        <v>23</v>
      </c>
      <c r="J1240" s="2">
        <v>2</v>
      </c>
      <c r="K1240" s="8">
        <v>1899</v>
      </c>
      <c r="L1240" s="3">
        <v>0</v>
      </c>
      <c r="M1240" s="12">
        <f>K1240*L1240</f>
        <v>0</v>
      </c>
      <c r="N1240" s="12">
        <f>K1240*J1240</f>
        <v>3798</v>
      </c>
      <c r="O1240" s="12">
        <f>N1240-M1240</f>
        <v>3798</v>
      </c>
      <c r="P1240" s="2" t="s">
        <v>45</v>
      </c>
      <c r="Q1240" s="2" t="s">
        <v>18</v>
      </c>
      <c r="R1240" s="2">
        <v>0</v>
      </c>
      <c r="S1240" s="20">
        <f>Table1[[#This Row],[Net_revenue]]/Table1[[#This Row],[Gross_revenue]]*100%</f>
        <v>1</v>
      </c>
      <c r="T1240" s="18">
        <f>COUNTIFS(Table1[Customer ID], "&gt;1", Table1[Customer ID], 1)</f>
        <v>0</v>
      </c>
    </row>
    <row r="1241" spans="1:20" hidden="1" x14ac:dyDescent="0.3">
      <c r="A1241" s="2" t="s">
        <v>1896</v>
      </c>
      <c r="B1241" s="5">
        <v>45670</v>
      </c>
      <c r="C1241" s="5" t="str">
        <f>TEXT(B1241,"mmm")</f>
        <v>Jan</v>
      </c>
      <c r="D1241" s="2" t="s">
        <v>714</v>
      </c>
      <c r="E1241" s="2" t="s">
        <v>48</v>
      </c>
      <c r="F1241" s="2" t="str" cm="1">
        <f t="array" ref="F12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41" s="2" t="str" cm="1">
        <f t="array" ref="G12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41" s="2" t="s">
        <v>63</v>
      </c>
      <c r="I1241" s="2" t="s">
        <v>23</v>
      </c>
      <c r="J1241" s="2">
        <v>3</v>
      </c>
      <c r="K1241" s="8">
        <v>2499</v>
      </c>
      <c r="L1241" s="3">
        <v>0.25</v>
      </c>
      <c r="M1241" s="12">
        <f>K1241*L1241</f>
        <v>624.75</v>
      </c>
      <c r="N1241" s="12">
        <f>K1241*J1241</f>
        <v>7497</v>
      </c>
      <c r="O1241" s="12">
        <f>N1241-M1241</f>
        <v>6872.25</v>
      </c>
      <c r="P1241" s="2" t="s">
        <v>45</v>
      </c>
      <c r="Q1241" s="2" t="s">
        <v>18</v>
      </c>
      <c r="R1241" s="2">
        <v>80</v>
      </c>
      <c r="S1241" s="20">
        <f>Table1[[#This Row],[Net_revenue]]/Table1[[#This Row],[Gross_revenue]]*100%</f>
        <v>0.91666666666666663</v>
      </c>
      <c r="T1241" s="18">
        <f>COUNTIFS(Table1[Customer ID], "&gt;1", Table1[Customer ID], 1)</f>
        <v>0</v>
      </c>
    </row>
    <row r="1242" spans="1:20" hidden="1" x14ac:dyDescent="0.3">
      <c r="A1242" s="2" t="s">
        <v>1897</v>
      </c>
      <c r="B1242" s="5">
        <v>45841</v>
      </c>
      <c r="C1242" s="5" t="str">
        <f>TEXT(B1242,"mmm")</f>
        <v>Jul</v>
      </c>
      <c r="D1242" s="2" t="s">
        <v>1300</v>
      </c>
      <c r="E1242" s="2" t="s">
        <v>48</v>
      </c>
      <c r="F1242" s="2" t="str" cm="1">
        <f t="array" ref="F12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42" s="2" t="str" cm="1">
        <f t="array" ref="G12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42" s="2" t="s">
        <v>22</v>
      </c>
      <c r="I1242" s="2" t="s">
        <v>23</v>
      </c>
      <c r="J1242" s="2">
        <v>2</v>
      </c>
      <c r="K1242" s="8">
        <v>3999</v>
      </c>
      <c r="L1242" s="3">
        <v>0.05</v>
      </c>
      <c r="M1242" s="12">
        <f>K1242*L1242</f>
        <v>199.95000000000002</v>
      </c>
      <c r="N1242" s="12">
        <f>K1242*J1242</f>
        <v>7998</v>
      </c>
      <c r="O1242" s="12">
        <f>N1242-M1242</f>
        <v>7798.05</v>
      </c>
      <c r="P1242" s="2" t="s">
        <v>45</v>
      </c>
      <c r="Q1242" s="2" t="s">
        <v>18</v>
      </c>
      <c r="R1242" s="2">
        <v>80</v>
      </c>
      <c r="S1242" s="20">
        <f>Table1[[#This Row],[Net_revenue]]/Table1[[#This Row],[Gross_revenue]]*100%</f>
        <v>0.97499999999999998</v>
      </c>
      <c r="T1242" s="18">
        <f>COUNTIFS(Table1[Customer ID], "&gt;1", Table1[Customer ID], 1)</f>
        <v>0</v>
      </c>
    </row>
    <row r="1243" spans="1:20" hidden="1" x14ac:dyDescent="0.3">
      <c r="A1243" s="2" t="s">
        <v>1898</v>
      </c>
      <c r="B1243" s="5">
        <v>45980</v>
      </c>
      <c r="C1243" s="5" t="str">
        <f>TEXT(B1243,"mmm")</f>
        <v>Nov</v>
      </c>
      <c r="D1243" s="2" t="s">
        <v>902</v>
      </c>
      <c r="E1243" s="2" t="s">
        <v>21</v>
      </c>
      <c r="F1243" s="2" t="str" cm="1">
        <f t="array" ref="F12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43" s="2" t="str" cm="1">
        <f t="array" ref="G12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43" s="2" t="s">
        <v>41</v>
      </c>
      <c r="I1243" s="2" t="s">
        <v>16</v>
      </c>
      <c r="J1243" s="2">
        <v>1</v>
      </c>
      <c r="K1243" s="8">
        <v>2299</v>
      </c>
      <c r="L1243" s="3">
        <v>0</v>
      </c>
      <c r="M1243" s="12">
        <f>K1243*L1243</f>
        <v>0</v>
      </c>
      <c r="N1243" s="12">
        <f>K1243*J1243</f>
        <v>2299</v>
      </c>
      <c r="O1243" s="12">
        <f>N1243-M1243</f>
        <v>2299</v>
      </c>
      <c r="P1243" s="2" t="s">
        <v>45</v>
      </c>
      <c r="Q1243" s="2" t="s">
        <v>18</v>
      </c>
      <c r="R1243" s="2">
        <v>60</v>
      </c>
      <c r="S1243" s="20">
        <f>Table1[[#This Row],[Net_revenue]]/Table1[[#This Row],[Gross_revenue]]*100%</f>
        <v>1</v>
      </c>
      <c r="T1243" s="18">
        <f>COUNTIFS(Table1[Customer ID], "&gt;1", Table1[Customer ID], 1)</f>
        <v>0</v>
      </c>
    </row>
    <row r="1244" spans="1:20" hidden="1" x14ac:dyDescent="0.3">
      <c r="A1244" s="2" t="s">
        <v>1899</v>
      </c>
      <c r="B1244" s="5">
        <v>45924</v>
      </c>
      <c r="C1244" s="5" t="str">
        <f>TEXT(B1244,"mmm")</f>
        <v>Sep</v>
      </c>
      <c r="D1244" s="2" t="s">
        <v>1900</v>
      </c>
      <c r="E1244" s="2" t="s">
        <v>48</v>
      </c>
      <c r="F1244" s="2" t="str" cm="1">
        <f t="array" ref="F12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44" s="2" t="str" cm="1">
        <f t="array" ref="G12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44" s="2" t="s">
        <v>121</v>
      </c>
      <c r="I1244" s="2" t="s">
        <v>95</v>
      </c>
      <c r="J1244" s="2">
        <v>2</v>
      </c>
      <c r="K1244" s="8">
        <v>1299</v>
      </c>
      <c r="L1244" s="3">
        <v>0.1</v>
      </c>
      <c r="M1244" s="12">
        <f>K1244*L1244</f>
        <v>129.9</v>
      </c>
      <c r="N1244" s="12">
        <f>K1244*J1244</f>
        <v>2598</v>
      </c>
      <c r="O1244" s="12">
        <f>N1244-M1244</f>
        <v>2468.1</v>
      </c>
      <c r="P1244" s="2" t="s">
        <v>30</v>
      </c>
      <c r="Q1244" s="2" t="s">
        <v>18</v>
      </c>
      <c r="R1244" s="2">
        <v>40</v>
      </c>
      <c r="S1244" s="20">
        <f>Table1[[#This Row],[Net_revenue]]/Table1[[#This Row],[Gross_revenue]]*100%</f>
        <v>0.95</v>
      </c>
      <c r="T1244" s="18">
        <f>COUNTIFS(Table1[Customer ID], "&gt;1", Table1[Customer ID], 1)</f>
        <v>0</v>
      </c>
    </row>
    <row r="1245" spans="1:20" hidden="1" x14ac:dyDescent="0.3">
      <c r="A1245" s="2" t="s">
        <v>1901</v>
      </c>
      <c r="B1245" s="5">
        <v>46020</v>
      </c>
      <c r="C1245" s="5" t="str">
        <f>TEXT(B1245,"mmm")</f>
        <v>Dec</v>
      </c>
      <c r="D1245" s="2" t="s">
        <v>323</v>
      </c>
      <c r="E1245" s="2" t="s">
        <v>21</v>
      </c>
      <c r="F1245" s="2" t="str" cm="1">
        <f t="array" ref="F12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45" s="2" t="str" cm="1">
        <f t="array" ref="G12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45" s="2" t="s">
        <v>89</v>
      </c>
      <c r="I1245" s="2" t="s">
        <v>29</v>
      </c>
      <c r="J1245" s="2">
        <v>1</v>
      </c>
      <c r="K1245" s="8">
        <v>449</v>
      </c>
      <c r="L1245" s="3">
        <v>0.1</v>
      </c>
      <c r="M1245" s="12">
        <f>K1245*L1245</f>
        <v>44.900000000000006</v>
      </c>
      <c r="N1245" s="12">
        <f>K1245*J1245</f>
        <v>449</v>
      </c>
      <c r="O1245" s="12">
        <f>N1245-M1245</f>
        <v>404.1</v>
      </c>
      <c r="P1245" s="2" t="s">
        <v>17</v>
      </c>
      <c r="Q1245" s="2" t="s">
        <v>18</v>
      </c>
      <c r="R1245" s="2">
        <v>0</v>
      </c>
      <c r="S1245" s="20">
        <f>Table1[[#This Row],[Net_revenue]]/Table1[[#This Row],[Gross_revenue]]*100%</f>
        <v>0.9</v>
      </c>
      <c r="T1245" s="18">
        <f>COUNTIFS(Table1[Customer ID], "&gt;1", Table1[Customer ID], 1)</f>
        <v>0</v>
      </c>
    </row>
    <row r="1246" spans="1:20" hidden="1" x14ac:dyDescent="0.3">
      <c r="A1246" s="2" t="s">
        <v>1902</v>
      </c>
      <c r="B1246" s="5">
        <v>45819</v>
      </c>
      <c r="C1246" s="5" t="str">
        <f>TEXT(B1246,"mmm")</f>
        <v>Jun</v>
      </c>
      <c r="D1246" s="2" t="s">
        <v>1903</v>
      </c>
      <c r="E1246" s="2" t="s">
        <v>120</v>
      </c>
      <c r="F1246" s="2" t="str" cm="1">
        <f t="array" ref="F12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46" s="2" t="str" cm="1">
        <f t="array" ref="G12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46" s="2" t="s">
        <v>44</v>
      </c>
      <c r="I1246" s="2" t="s">
        <v>16</v>
      </c>
      <c r="J1246" s="2">
        <v>5</v>
      </c>
      <c r="K1246" s="8">
        <v>1599</v>
      </c>
      <c r="L1246" s="3">
        <v>0</v>
      </c>
      <c r="M1246" s="12">
        <f>K1246*L1246</f>
        <v>0</v>
      </c>
      <c r="N1246" s="12">
        <f>K1246*J1246</f>
        <v>7995</v>
      </c>
      <c r="O1246" s="12">
        <f>N1246-M1246</f>
        <v>7995</v>
      </c>
      <c r="P1246" s="2" t="s">
        <v>45</v>
      </c>
      <c r="Q1246" s="2" t="s">
        <v>18</v>
      </c>
      <c r="R1246" s="2">
        <v>80</v>
      </c>
      <c r="S1246" s="20">
        <f>Table1[[#This Row],[Net_revenue]]/Table1[[#This Row],[Gross_revenue]]*100%</f>
        <v>1</v>
      </c>
      <c r="T1246" s="18">
        <f>COUNTIFS(Table1[Customer ID], "&gt;1", Table1[Customer ID], 1)</f>
        <v>0</v>
      </c>
    </row>
    <row r="1247" spans="1:20" hidden="1" x14ac:dyDescent="0.3">
      <c r="A1247" s="2" t="s">
        <v>1904</v>
      </c>
      <c r="B1247" s="5">
        <v>45831</v>
      </c>
      <c r="C1247" s="5" t="str">
        <f>TEXT(B1247,"mmm")</f>
        <v>Jun</v>
      </c>
      <c r="D1247" s="2" t="s">
        <v>93</v>
      </c>
      <c r="E1247" s="2" t="s">
        <v>40</v>
      </c>
      <c r="F1247" s="2" t="str" cm="1">
        <f t="array" ref="F12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47" s="2" t="str" cm="1">
        <f t="array" ref="G12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47" s="2" t="s">
        <v>49</v>
      </c>
      <c r="I1247" s="2" t="s">
        <v>23</v>
      </c>
      <c r="J1247" s="2">
        <v>1</v>
      </c>
      <c r="K1247" s="8">
        <v>1299</v>
      </c>
      <c r="L1247" s="3">
        <v>0.1</v>
      </c>
      <c r="M1247" s="12">
        <f>K1247*L1247</f>
        <v>129.9</v>
      </c>
      <c r="N1247" s="12">
        <f>K1247*J1247</f>
        <v>1299</v>
      </c>
      <c r="O1247" s="12">
        <f>N1247-M1247</f>
        <v>1169.0999999999999</v>
      </c>
      <c r="P1247" s="2" t="s">
        <v>30</v>
      </c>
      <c r="Q1247" s="2" t="s">
        <v>18</v>
      </c>
      <c r="R1247" s="2">
        <v>80</v>
      </c>
      <c r="S1247" s="20">
        <f>Table1[[#This Row],[Net_revenue]]/Table1[[#This Row],[Gross_revenue]]*100%</f>
        <v>0.89999999999999991</v>
      </c>
      <c r="T1247" s="18">
        <f>COUNTIFS(Table1[Customer ID], "&gt;1", Table1[Customer ID], 1)</f>
        <v>0</v>
      </c>
    </row>
    <row r="1248" spans="1:20" hidden="1" x14ac:dyDescent="0.3">
      <c r="A1248" s="2" t="s">
        <v>1905</v>
      </c>
      <c r="B1248" s="5">
        <v>45918</v>
      </c>
      <c r="C1248" s="5" t="str">
        <f>TEXT(B1248,"mmm")</f>
        <v>Sep</v>
      </c>
      <c r="D1248" s="2" t="s">
        <v>970</v>
      </c>
      <c r="E1248" s="2" t="s">
        <v>40</v>
      </c>
      <c r="F1248" s="2" t="str" cm="1">
        <f t="array" ref="F12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48" s="2" t="str" cm="1">
        <f t="array" ref="G12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48" s="2" t="s">
        <v>63</v>
      </c>
      <c r="I1248" s="2" t="s">
        <v>23</v>
      </c>
      <c r="J1248" s="2">
        <v>2</v>
      </c>
      <c r="K1248" s="8">
        <v>2499</v>
      </c>
      <c r="L1248" s="3">
        <v>0.25</v>
      </c>
      <c r="M1248" s="12">
        <f>K1248*L1248</f>
        <v>624.75</v>
      </c>
      <c r="N1248" s="12">
        <f>K1248*J1248</f>
        <v>4998</v>
      </c>
      <c r="O1248" s="12">
        <f>N1248-M1248</f>
        <v>4373.25</v>
      </c>
      <c r="P1248" s="2" t="s">
        <v>45</v>
      </c>
      <c r="Q1248" s="2" t="s">
        <v>18</v>
      </c>
      <c r="R1248" s="2">
        <v>40</v>
      </c>
      <c r="S1248" s="20">
        <f>Table1[[#This Row],[Net_revenue]]/Table1[[#This Row],[Gross_revenue]]*100%</f>
        <v>0.875</v>
      </c>
      <c r="T1248" s="18">
        <f>COUNTIFS(Table1[Customer ID], "&gt;1", Table1[Customer ID], 1)</f>
        <v>0</v>
      </c>
    </row>
    <row r="1249" spans="1:20" hidden="1" x14ac:dyDescent="0.3">
      <c r="A1249" s="2" t="s">
        <v>1906</v>
      </c>
      <c r="B1249" s="5">
        <v>45957</v>
      </c>
      <c r="C1249" s="5" t="str">
        <f>TEXT(B1249,"mmm")</f>
        <v>Oct</v>
      </c>
      <c r="D1249" s="2" t="s">
        <v>331</v>
      </c>
      <c r="E1249" s="2" t="s">
        <v>53</v>
      </c>
      <c r="F1249" s="2" t="str" cm="1">
        <f t="array" ref="F12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249" s="2" t="str" cm="1">
        <f t="array" ref="G12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49" s="2" t="s">
        <v>41</v>
      </c>
      <c r="I1249" s="2" t="s">
        <v>16</v>
      </c>
      <c r="J1249" s="2">
        <v>1</v>
      </c>
      <c r="K1249" s="8">
        <v>2299</v>
      </c>
      <c r="L1249" s="3">
        <v>0.15</v>
      </c>
      <c r="M1249" s="12">
        <f>K1249*L1249</f>
        <v>344.84999999999997</v>
      </c>
      <c r="N1249" s="12">
        <f>K1249*J1249</f>
        <v>2299</v>
      </c>
      <c r="O1249" s="12">
        <f>N1249-M1249</f>
        <v>1954.15</v>
      </c>
      <c r="P1249" s="2" t="s">
        <v>24</v>
      </c>
      <c r="Q1249" s="2" t="s">
        <v>18</v>
      </c>
      <c r="R1249" s="2">
        <v>80</v>
      </c>
      <c r="S1249" s="20">
        <f>Table1[[#This Row],[Net_revenue]]/Table1[[#This Row],[Gross_revenue]]*100%</f>
        <v>0.85000000000000009</v>
      </c>
      <c r="T1249" s="18">
        <f>COUNTIFS(Table1[Customer ID], "&gt;1", Table1[Customer ID], 1)</f>
        <v>0</v>
      </c>
    </row>
    <row r="1250" spans="1:20" hidden="1" x14ac:dyDescent="0.3">
      <c r="A1250" s="2" t="s">
        <v>1907</v>
      </c>
      <c r="B1250" s="5">
        <v>45678</v>
      </c>
      <c r="C1250" s="5" t="str">
        <f>TEXT(B1250,"mmm")</f>
        <v>Jan</v>
      </c>
      <c r="D1250" s="2" t="s">
        <v>1341</v>
      </c>
      <c r="E1250" s="2" t="s">
        <v>40</v>
      </c>
      <c r="F1250" s="2" t="str" cm="1">
        <f t="array" ref="F12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50" s="2" t="str" cm="1">
        <f t="array" ref="G12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50" s="2" t="s">
        <v>41</v>
      </c>
      <c r="I1250" s="2" t="s">
        <v>16</v>
      </c>
      <c r="J1250" s="2">
        <v>1</v>
      </c>
      <c r="K1250" s="8">
        <v>2299</v>
      </c>
      <c r="L1250" s="3">
        <v>0.25</v>
      </c>
      <c r="M1250" s="12">
        <f>K1250*L1250</f>
        <v>574.75</v>
      </c>
      <c r="N1250" s="12">
        <f>K1250*J1250</f>
        <v>2299</v>
      </c>
      <c r="O1250" s="12">
        <f>N1250-M1250</f>
        <v>1724.25</v>
      </c>
      <c r="P1250" s="2" t="s">
        <v>45</v>
      </c>
      <c r="Q1250" s="2" t="s">
        <v>18</v>
      </c>
      <c r="R1250" s="2">
        <v>0</v>
      </c>
      <c r="S1250" s="20">
        <f>Table1[[#This Row],[Net_revenue]]/Table1[[#This Row],[Gross_revenue]]*100%</f>
        <v>0.75</v>
      </c>
      <c r="T1250" s="18">
        <f>COUNTIFS(Table1[Customer ID], "&gt;1", Table1[Customer ID], 1)</f>
        <v>0</v>
      </c>
    </row>
    <row r="1251" spans="1:20" hidden="1" x14ac:dyDescent="0.3">
      <c r="A1251" s="2" t="s">
        <v>1908</v>
      </c>
      <c r="B1251" s="5">
        <v>45915</v>
      </c>
      <c r="C1251" s="5" t="str">
        <f>TEXT(B1251,"mmm")</f>
        <v>Sep</v>
      </c>
      <c r="D1251" s="2" t="s">
        <v>1291</v>
      </c>
      <c r="E1251" s="2" t="s">
        <v>14</v>
      </c>
      <c r="F1251" s="2" t="str" cm="1">
        <f t="array" ref="F12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51" s="2" t="str" cm="1">
        <f t="array" ref="G12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51" s="2" t="s">
        <v>134</v>
      </c>
      <c r="I1251" s="2" t="s">
        <v>29</v>
      </c>
      <c r="J1251" s="2">
        <v>3</v>
      </c>
      <c r="K1251" s="8">
        <v>1499</v>
      </c>
      <c r="L1251" s="3">
        <v>0</v>
      </c>
      <c r="M1251" s="12">
        <f>K1251*L1251</f>
        <v>0</v>
      </c>
      <c r="N1251" s="12">
        <f>K1251*J1251</f>
        <v>4497</v>
      </c>
      <c r="O1251" s="12">
        <f>N1251-M1251</f>
        <v>4497</v>
      </c>
      <c r="P1251" s="2" t="s">
        <v>45</v>
      </c>
      <c r="Q1251" s="2" t="s">
        <v>18</v>
      </c>
      <c r="R1251" s="2">
        <v>80</v>
      </c>
      <c r="S1251" s="20">
        <f>Table1[[#This Row],[Net_revenue]]/Table1[[#This Row],[Gross_revenue]]*100%</f>
        <v>1</v>
      </c>
      <c r="T1251" s="18">
        <f>COUNTIFS(Table1[Customer ID], "&gt;1", Table1[Customer ID], 1)</f>
        <v>0</v>
      </c>
    </row>
    <row r="1252" spans="1:20" hidden="1" x14ac:dyDescent="0.3">
      <c r="A1252" s="2" t="s">
        <v>1909</v>
      </c>
      <c r="B1252" s="5">
        <v>45754</v>
      </c>
      <c r="C1252" s="5" t="str">
        <f>TEXT(B1252,"mmm")</f>
        <v>Apr</v>
      </c>
      <c r="D1252" s="2" t="s">
        <v>114</v>
      </c>
      <c r="E1252" s="2" t="s">
        <v>120</v>
      </c>
      <c r="F1252" s="2" t="str" cm="1">
        <f t="array" ref="F12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52" s="2" t="str" cm="1">
        <f t="array" ref="G12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52" s="2" t="s">
        <v>63</v>
      </c>
      <c r="I1252" s="2" t="s">
        <v>23</v>
      </c>
      <c r="J1252" s="2">
        <v>1</v>
      </c>
      <c r="K1252" s="8">
        <v>2499</v>
      </c>
      <c r="L1252" s="3">
        <v>0.05</v>
      </c>
      <c r="M1252" s="12">
        <f>K1252*L1252</f>
        <v>124.95</v>
      </c>
      <c r="N1252" s="12">
        <f>K1252*J1252</f>
        <v>2499</v>
      </c>
      <c r="O1252" s="12">
        <f>N1252-M1252</f>
        <v>2374.0500000000002</v>
      </c>
      <c r="P1252" s="2" t="s">
        <v>30</v>
      </c>
      <c r="Q1252" s="2" t="s">
        <v>72</v>
      </c>
      <c r="R1252" s="2">
        <v>80</v>
      </c>
      <c r="S1252" s="20">
        <f>Table1[[#This Row],[Net_revenue]]/Table1[[#This Row],[Gross_revenue]]*100%</f>
        <v>0.95000000000000007</v>
      </c>
      <c r="T1252" s="18">
        <f>COUNTIFS(Table1[Customer ID], "&gt;1", Table1[Customer ID], 1)</f>
        <v>0</v>
      </c>
    </row>
    <row r="1253" spans="1:20" hidden="1" x14ac:dyDescent="0.3">
      <c r="A1253" s="2" t="s">
        <v>1910</v>
      </c>
      <c r="B1253" s="5">
        <v>46002</v>
      </c>
      <c r="C1253" s="5" t="str">
        <f>TEXT(B1253,"mmm")</f>
        <v>Dec</v>
      </c>
      <c r="D1253" s="2" t="s">
        <v>821</v>
      </c>
      <c r="E1253" s="2" t="s">
        <v>48</v>
      </c>
      <c r="F1253" s="2" t="str" cm="1">
        <f t="array" ref="F12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53" s="2" t="str" cm="1">
        <f t="array" ref="G12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53" s="2" t="s">
        <v>107</v>
      </c>
      <c r="I1253" s="2" t="s">
        <v>95</v>
      </c>
      <c r="J1253" s="2">
        <v>1</v>
      </c>
      <c r="K1253" s="8">
        <v>1599</v>
      </c>
      <c r="L1253" s="3">
        <v>0.05</v>
      </c>
      <c r="M1253" s="12">
        <f>K1253*L1253</f>
        <v>79.95</v>
      </c>
      <c r="N1253" s="12">
        <f>K1253*J1253</f>
        <v>1599</v>
      </c>
      <c r="O1253" s="12">
        <f>N1253-M1253</f>
        <v>1519.05</v>
      </c>
      <c r="P1253" s="2" t="s">
        <v>45</v>
      </c>
      <c r="Q1253" s="2" t="s">
        <v>18</v>
      </c>
      <c r="R1253" s="2">
        <v>60</v>
      </c>
      <c r="S1253" s="20">
        <f>Table1[[#This Row],[Net_revenue]]/Table1[[#This Row],[Gross_revenue]]*100%</f>
        <v>0.95</v>
      </c>
      <c r="T1253" s="18">
        <f>COUNTIFS(Table1[Customer ID], "&gt;1", Table1[Customer ID], 1)</f>
        <v>0</v>
      </c>
    </row>
    <row r="1254" spans="1:20" hidden="1" x14ac:dyDescent="0.3">
      <c r="A1254" s="2" t="s">
        <v>1911</v>
      </c>
      <c r="B1254" s="5">
        <v>45845</v>
      </c>
      <c r="C1254" s="5" t="str">
        <f>TEXT(B1254,"mmm")</f>
        <v>Jul</v>
      </c>
      <c r="D1254" s="2" t="s">
        <v>773</v>
      </c>
      <c r="E1254" s="2" t="s">
        <v>120</v>
      </c>
      <c r="F1254" s="2" t="str" cm="1">
        <f t="array" ref="F12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54" s="2" t="str" cm="1">
        <f t="array" ref="G12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54" s="2" t="s">
        <v>49</v>
      </c>
      <c r="I1254" s="2" t="s">
        <v>23</v>
      </c>
      <c r="J1254" s="2">
        <v>1</v>
      </c>
      <c r="K1254" s="8">
        <v>1299</v>
      </c>
      <c r="L1254" s="3">
        <v>0</v>
      </c>
      <c r="M1254" s="12">
        <f>K1254*L1254</f>
        <v>0</v>
      </c>
      <c r="N1254" s="12">
        <f>K1254*J1254</f>
        <v>1299</v>
      </c>
      <c r="O1254" s="12">
        <f>N1254-M1254</f>
        <v>1299</v>
      </c>
      <c r="P1254" s="2" t="s">
        <v>17</v>
      </c>
      <c r="Q1254" s="2" t="s">
        <v>18</v>
      </c>
      <c r="R1254" s="2">
        <v>0</v>
      </c>
      <c r="S1254" s="20">
        <f>Table1[[#This Row],[Net_revenue]]/Table1[[#This Row],[Gross_revenue]]*100%</f>
        <v>1</v>
      </c>
      <c r="T1254" s="18">
        <f>COUNTIFS(Table1[Customer ID], "&gt;1", Table1[Customer ID], 1)</f>
        <v>0</v>
      </c>
    </row>
    <row r="1255" spans="1:20" hidden="1" x14ac:dyDescent="0.3">
      <c r="A1255" s="2" t="s">
        <v>1912</v>
      </c>
      <c r="B1255" s="5">
        <v>46017</v>
      </c>
      <c r="C1255" s="5" t="str">
        <f>TEXT(B1255,"mmm")</f>
        <v>Dec</v>
      </c>
      <c r="D1255" s="2" t="s">
        <v>781</v>
      </c>
      <c r="E1255" s="2" t="s">
        <v>27</v>
      </c>
      <c r="F1255" s="2" t="str" cm="1">
        <f t="array" ref="F12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55" s="2" t="str" cm="1">
        <f t="array" ref="G12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55" s="2" t="s">
        <v>98</v>
      </c>
      <c r="I1255" s="2" t="s">
        <v>37</v>
      </c>
      <c r="J1255" s="2">
        <v>2</v>
      </c>
      <c r="K1255" s="8">
        <v>299</v>
      </c>
      <c r="L1255" s="3">
        <v>0</v>
      </c>
      <c r="M1255" s="12">
        <f>K1255*L1255</f>
        <v>0</v>
      </c>
      <c r="N1255" s="12">
        <f>K1255*J1255</f>
        <v>598</v>
      </c>
      <c r="O1255" s="12">
        <f>N1255-M1255</f>
        <v>598</v>
      </c>
      <c r="P1255" s="2" t="s">
        <v>45</v>
      </c>
      <c r="Q1255" s="2" t="s">
        <v>18</v>
      </c>
      <c r="R1255" s="2">
        <v>0</v>
      </c>
      <c r="S1255" s="20">
        <f>Table1[[#This Row],[Net_revenue]]/Table1[[#This Row],[Gross_revenue]]*100%</f>
        <v>1</v>
      </c>
      <c r="T1255" s="18">
        <f>COUNTIFS(Table1[Customer ID], "&gt;1", Table1[Customer ID], 1)</f>
        <v>0</v>
      </c>
    </row>
    <row r="1256" spans="1:20" hidden="1" x14ac:dyDescent="0.3">
      <c r="A1256" s="2" t="s">
        <v>1913</v>
      </c>
      <c r="B1256" s="5">
        <v>45808</v>
      </c>
      <c r="C1256" s="5" t="str">
        <f>TEXT(B1256,"mmm")</f>
        <v>May</v>
      </c>
      <c r="D1256" s="2" t="s">
        <v>1300</v>
      </c>
      <c r="E1256" s="2" t="s">
        <v>120</v>
      </c>
      <c r="F1256" s="2" t="str" cm="1">
        <f t="array" ref="F12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56" s="2" t="str" cm="1">
        <f t="array" ref="G12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56" s="2" t="s">
        <v>71</v>
      </c>
      <c r="I1256" s="2" t="s">
        <v>29</v>
      </c>
      <c r="J1256" s="2">
        <v>1</v>
      </c>
      <c r="K1256" s="8">
        <v>5499</v>
      </c>
      <c r="L1256" s="3">
        <v>0.1</v>
      </c>
      <c r="M1256" s="12">
        <f>K1256*L1256</f>
        <v>549.9</v>
      </c>
      <c r="N1256" s="12">
        <f>K1256*J1256</f>
        <v>5499</v>
      </c>
      <c r="O1256" s="12">
        <f>N1256-M1256</f>
        <v>4949.1000000000004</v>
      </c>
      <c r="P1256" s="2" t="s">
        <v>45</v>
      </c>
      <c r="Q1256" s="2" t="s">
        <v>18</v>
      </c>
      <c r="R1256" s="2">
        <v>80</v>
      </c>
      <c r="S1256" s="20">
        <f>Table1[[#This Row],[Net_revenue]]/Table1[[#This Row],[Gross_revenue]]*100%</f>
        <v>0.9</v>
      </c>
      <c r="T1256" s="18">
        <f>COUNTIFS(Table1[Customer ID], "&gt;1", Table1[Customer ID], 1)</f>
        <v>0</v>
      </c>
    </row>
    <row r="1257" spans="1:20" hidden="1" x14ac:dyDescent="0.3">
      <c r="A1257" s="2" t="s">
        <v>1914</v>
      </c>
      <c r="B1257" s="5">
        <v>45680</v>
      </c>
      <c r="C1257" s="5" t="str">
        <f>TEXT(B1257,"mmm")</f>
        <v>Jan</v>
      </c>
      <c r="D1257" s="2" t="s">
        <v>1788</v>
      </c>
      <c r="E1257" s="2" t="s">
        <v>27</v>
      </c>
      <c r="F1257" s="2" t="str" cm="1">
        <f t="array" ref="F12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57" s="2" t="str" cm="1">
        <f t="array" ref="G12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57" s="2" t="s">
        <v>63</v>
      </c>
      <c r="I1257" s="2" t="s">
        <v>23</v>
      </c>
      <c r="J1257" s="2">
        <v>3</v>
      </c>
      <c r="K1257" s="8">
        <v>2499</v>
      </c>
      <c r="L1257" s="3">
        <v>0.25</v>
      </c>
      <c r="M1257" s="12">
        <f>K1257*L1257</f>
        <v>624.75</v>
      </c>
      <c r="N1257" s="12">
        <f>K1257*J1257</f>
        <v>7497</v>
      </c>
      <c r="O1257" s="12">
        <f>N1257-M1257</f>
        <v>6872.25</v>
      </c>
      <c r="P1257" s="2" t="s">
        <v>45</v>
      </c>
      <c r="Q1257" s="2" t="s">
        <v>18</v>
      </c>
      <c r="R1257" s="2">
        <v>40</v>
      </c>
      <c r="S1257" s="20">
        <f>Table1[[#This Row],[Net_revenue]]/Table1[[#This Row],[Gross_revenue]]*100%</f>
        <v>0.91666666666666663</v>
      </c>
      <c r="T1257" s="18">
        <f>COUNTIFS(Table1[Customer ID], "&gt;1", Table1[Customer ID], 1)</f>
        <v>0</v>
      </c>
    </row>
    <row r="1258" spans="1:20" hidden="1" x14ac:dyDescent="0.3">
      <c r="A1258" s="2" t="s">
        <v>1915</v>
      </c>
      <c r="B1258" s="5">
        <v>45900</v>
      </c>
      <c r="C1258" s="5" t="str">
        <f>TEXT(B1258,"mmm")</f>
        <v>Aug</v>
      </c>
      <c r="D1258" s="2" t="s">
        <v>1439</v>
      </c>
      <c r="E1258" s="2" t="s">
        <v>56</v>
      </c>
      <c r="F1258" s="2" t="str" cm="1">
        <f t="array" ref="F12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58" s="2" t="str" cm="1">
        <f t="array" ref="G12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58" s="2" t="s">
        <v>117</v>
      </c>
      <c r="I1258" s="2" t="s">
        <v>23</v>
      </c>
      <c r="J1258" s="2">
        <v>1</v>
      </c>
      <c r="K1258" s="8">
        <v>2199</v>
      </c>
      <c r="L1258" s="3">
        <v>0.15</v>
      </c>
      <c r="M1258" s="12">
        <f>K1258*L1258</f>
        <v>329.84999999999997</v>
      </c>
      <c r="N1258" s="12">
        <f>K1258*J1258</f>
        <v>2199</v>
      </c>
      <c r="O1258" s="12">
        <f>N1258-M1258</f>
        <v>1869.15</v>
      </c>
      <c r="P1258" s="2" t="s">
        <v>45</v>
      </c>
      <c r="Q1258" s="2" t="s">
        <v>50</v>
      </c>
      <c r="R1258" s="2">
        <v>60</v>
      </c>
      <c r="S1258" s="20">
        <f>Table1[[#This Row],[Net_revenue]]/Table1[[#This Row],[Gross_revenue]]*100%</f>
        <v>0.85000000000000009</v>
      </c>
      <c r="T1258" s="18">
        <f>COUNTIFS(Table1[Customer ID], "&gt;1", Table1[Customer ID], 1)</f>
        <v>0</v>
      </c>
    </row>
    <row r="1259" spans="1:20" hidden="1" x14ac:dyDescent="0.3">
      <c r="A1259" s="2" t="s">
        <v>1916</v>
      </c>
      <c r="B1259" s="5">
        <v>45854</v>
      </c>
      <c r="C1259" s="5" t="str">
        <f>TEXT(B1259,"mmm")</f>
        <v>Jul</v>
      </c>
      <c r="D1259" s="2" t="s">
        <v>1445</v>
      </c>
      <c r="E1259" s="2" t="s">
        <v>120</v>
      </c>
      <c r="F1259" s="2" t="str" cm="1">
        <f t="array" ref="F12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59" s="2" t="str" cm="1">
        <f t="array" ref="G12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59" s="2" t="s">
        <v>188</v>
      </c>
      <c r="I1259" s="2" t="s">
        <v>95</v>
      </c>
      <c r="J1259" s="2">
        <v>1</v>
      </c>
      <c r="K1259" s="8">
        <v>699</v>
      </c>
      <c r="L1259" s="3">
        <v>0.1</v>
      </c>
      <c r="M1259" s="12">
        <f>K1259*L1259</f>
        <v>69.900000000000006</v>
      </c>
      <c r="N1259" s="12">
        <f>K1259*J1259</f>
        <v>699</v>
      </c>
      <c r="O1259" s="12">
        <f>N1259-M1259</f>
        <v>629.1</v>
      </c>
      <c r="P1259" s="2" t="s">
        <v>17</v>
      </c>
      <c r="Q1259" s="2" t="s">
        <v>18</v>
      </c>
      <c r="R1259" s="2">
        <v>40</v>
      </c>
      <c r="S1259" s="20">
        <f>Table1[[#This Row],[Net_revenue]]/Table1[[#This Row],[Gross_revenue]]*100%</f>
        <v>0.9</v>
      </c>
      <c r="T1259" s="18">
        <f>COUNTIFS(Table1[Customer ID], "&gt;1", Table1[Customer ID], 1)</f>
        <v>0</v>
      </c>
    </row>
    <row r="1260" spans="1:20" hidden="1" x14ac:dyDescent="0.3">
      <c r="A1260" s="2" t="s">
        <v>1917</v>
      </c>
      <c r="B1260" s="5">
        <v>45947</v>
      </c>
      <c r="C1260" s="5" t="str">
        <f>TEXT(B1260,"mmm")</f>
        <v>Oct</v>
      </c>
      <c r="D1260" s="2" t="s">
        <v>1343</v>
      </c>
      <c r="E1260" s="2" t="s">
        <v>21</v>
      </c>
      <c r="F1260" s="2" t="str" cm="1">
        <f t="array" ref="F12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60" s="2" t="str" cm="1">
        <f t="array" ref="G12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60" s="2" t="s">
        <v>89</v>
      </c>
      <c r="I1260" s="2" t="s">
        <v>29</v>
      </c>
      <c r="J1260" s="2">
        <v>5</v>
      </c>
      <c r="K1260" s="8">
        <v>449</v>
      </c>
      <c r="L1260" s="3">
        <v>0.05</v>
      </c>
      <c r="M1260" s="12">
        <f>K1260*L1260</f>
        <v>22.450000000000003</v>
      </c>
      <c r="N1260" s="12">
        <f>K1260*J1260</f>
        <v>2245</v>
      </c>
      <c r="O1260" s="12">
        <f>N1260-M1260</f>
        <v>2222.5500000000002</v>
      </c>
      <c r="P1260" s="2" t="s">
        <v>17</v>
      </c>
      <c r="Q1260" s="2" t="s">
        <v>18</v>
      </c>
      <c r="R1260" s="2">
        <v>80</v>
      </c>
      <c r="S1260" s="20">
        <f>Table1[[#This Row],[Net_revenue]]/Table1[[#This Row],[Gross_revenue]]*100%</f>
        <v>0.9900000000000001</v>
      </c>
      <c r="T1260" s="18">
        <f>COUNTIFS(Table1[Customer ID], "&gt;1", Table1[Customer ID], 1)</f>
        <v>0</v>
      </c>
    </row>
    <row r="1261" spans="1:20" hidden="1" x14ac:dyDescent="0.3">
      <c r="A1261" s="2" t="s">
        <v>1918</v>
      </c>
      <c r="B1261" s="5">
        <v>45923</v>
      </c>
      <c r="C1261" s="5" t="str">
        <f>TEXT(B1261,"mmm")</f>
        <v>Sep</v>
      </c>
      <c r="D1261" s="2" t="s">
        <v>840</v>
      </c>
      <c r="E1261" s="2" t="s">
        <v>48</v>
      </c>
      <c r="F1261" s="2" t="str" cm="1">
        <f t="array" ref="F12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61" s="2" t="str" cm="1">
        <f t="array" ref="G12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61" s="2" t="s">
        <v>36</v>
      </c>
      <c r="I1261" s="2" t="s">
        <v>37</v>
      </c>
      <c r="J1261" s="2">
        <v>1</v>
      </c>
      <c r="K1261" s="8">
        <v>349</v>
      </c>
      <c r="L1261" s="3">
        <v>0.1</v>
      </c>
      <c r="M1261" s="12">
        <f>K1261*L1261</f>
        <v>34.9</v>
      </c>
      <c r="N1261" s="12">
        <f>K1261*J1261</f>
        <v>349</v>
      </c>
      <c r="O1261" s="12">
        <f>N1261-M1261</f>
        <v>314.10000000000002</v>
      </c>
      <c r="P1261" s="2" t="s">
        <v>30</v>
      </c>
      <c r="Q1261" s="2" t="s">
        <v>18</v>
      </c>
      <c r="R1261" s="2">
        <v>80</v>
      </c>
      <c r="S1261" s="20">
        <f>Table1[[#This Row],[Net_revenue]]/Table1[[#This Row],[Gross_revenue]]*100%</f>
        <v>0.9</v>
      </c>
      <c r="T1261" s="18">
        <f>COUNTIFS(Table1[Customer ID], "&gt;1", Table1[Customer ID], 1)</f>
        <v>0</v>
      </c>
    </row>
    <row r="1262" spans="1:20" hidden="1" x14ac:dyDescent="0.3">
      <c r="A1262" s="2" t="s">
        <v>1919</v>
      </c>
      <c r="B1262" s="5">
        <v>45790</v>
      </c>
      <c r="C1262" s="5" t="str">
        <f>TEXT(B1262,"mmm")</f>
        <v>May</v>
      </c>
      <c r="D1262" s="2" t="s">
        <v>613</v>
      </c>
      <c r="E1262" s="2" t="s">
        <v>21</v>
      </c>
      <c r="F1262" s="2" t="str" cm="1">
        <f t="array" ref="F12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62" s="2" t="str" cm="1">
        <f t="array" ref="G12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62" s="2" t="s">
        <v>22</v>
      </c>
      <c r="I1262" s="2" t="s">
        <v>23</v>
      </c>
      <c r="J1262" s="2">
        <v>1</v>
      </c>
      <c r="K1262" s="8">
        <v>3999</v>
      </c>
      <c r="L1262" s="3">
        <v>0.15</v>
      </c>
      <c r="M1262" s="12">
        <f>K1262*L1262</f>
        <v>599.85</v>
      </c>
      <c r="N1262" s="12">
        <f>K1262*J1262</f>
        <v>3999</v>
      </c>
      <c r="O1262" s="12">
        <f>N1262-M1262</f>
        <v>3399.15</v>
      </c>
      <c r="P1262" s="2" t="s">
        <v>24</v>
      </c>
      <c r="Q1262" s="2" t="s">
        <v>18</v>
      </c>
      <c r="R1262" s="2">
        <v>40</v>
      </c>
      <c r="S1262" s="20">
        <f>Table1[[#This Row],[Net_revenue]]/Table1[[#This Row],[Gross_revenue]]*100%</f>
        <v>0.85</v>
      </c>
      <c r="T1262" s="18">
        <f>COUNTIFS(Table1[Customer ID], "&gt;1", Table1[Customer ID], 1)</f>
        <v>0</v>
      </c>
    </row>
    <row r="1263" spans="1:20" hidden="1" x14ac:dyDescent="0.3">
      <c r="A1263" s="2" t="s">
        <v>1920</v>
      </c>
      <c r="B1263" s="5">
        <v>45928</v>
      </c>
      <c r="C1263" s="5" t="str">
        <f>TEXT(B1263,"mmm")</f>
        <v>Sep</v>
      </c>
      <c r="D1263" s="2" t="s">
        <v>166</v>
      </c>
      <c r="E1263" s="2" t="s">
        <v>27</v>
      </c>
      <c r="F1263" s="2" t="str" cm="1">
        <f t="array" ref="F12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63" s="2" t="str" cm="1">
        <f t="array" ref="G12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63" s="2" t="s">
        <v>49</v>
      </c>
      <c r="I1263" s="2" t="s">
        <v>23</v>
      </c>
      <c r="J1263" s="2">
        <v>2</v>
      </c>
      <c r="K1263" s="8">
        <v>1299</v>
      </c>
      <c r="L1263" s="3">
        <v>0.2</v>
      </c>
      <c r="M1263" s="12">
        <f>K1263*L1263</f>
        <v>259.8</v>
      </c>
      <c r="N1263" s="12">
        <f>K1263*J1263</f>
        <v>2598</v>
      </c>
      <c r="O1263" s="12">
        <f>N1263-M1263</f>
        <v>2338.1999999999998</v>
      </c>
      <c r="P1263" s="2" t="s">
        <v>24</v>
      </c>
      <c r="Q1263" s="2" t="s">
        <v>18</v>
      </c>
      <c r="R1263" s="2">
        <v>0</v>
      </c>
      <c r="S1263" s="20">
        <f>Table1[[#This Row],[Net_revenue]]/Table1[[#This Row],[Gross_revenue]]*100%</f>
        <v>0.89999999999999991</v>
      </c>
      <c r="T1263" s="18">
        <f>COUNTIFS(Table1[Customer ID], "&gt;1", Table1[Customer ID], 1)</f>
        <v>0</v>
      </c>
    </row>
    <row r="1264" spans="1:20" hidden="1" x14ac:dyDescent="0.3">
      <c r="A1264" s="2" t="s">
        <v>1921</v>
      </c>
      <c r="B1264" s="5">
        <v>45834</v>
      </c>
      <c r="C1264" s="5" t="str">
        <f>TEXT(B1264,"mmm")</f>
        <v>Jun</v>
      </c>
      <c r="D1264" s="2" t="s">
        <v>532</v>
      </c>
      <c r="E1264" s="2" t="s">
        <v>195</v>
      </c>
      <c r="F1264" s="2" t="str" cm="1">
        <f t="array" ref="F12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64" s="2" t="str" cm="1">
        <f t="array" ref="G12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64" s="2" t="s">
        <v>183</v>
      </c>
      <c r="I1264" s="2" t="s">
        <v>37</v>
      </c>
      <c r="J1264" s="2">
        <v>1</v>
      </c>
      <c r="K1264" s="8">
        <v>499</v>
      </c>
      <c r="L1264" s="3">
        <v>0.1</v>
      </c>
      <c r="M1264" s="12">
        <f>K1264*L1264</f>
        <v>49.900000000000006</v>
      </c>
      <c r="N1264" s="12">
        <f>K1264*J1264</f>
        <v>499</v>
      </c>
      <c r="O1264" s="12">
        <f>N1264-M1264</f>
        <v>449.1</v>
      </c>
      <c r="P1264" s="2" t="s">
        <v>45</v>
      </c>
      <c r="Q1264" s="2" t="s">
        <v>18</v>
      </c>
      <c r="R1264" s="2">
        <v>40</v>
      </c>
      <c r="S1264" s="20">
        <f>Table1[[#This Row],[Net_revenue]]/Table1[[#This Row],[Gross_revenue]]*100%</f>
        <v>0.9</v>
      </c>
      <c r="T1264" s="18">
        <f>COUNTIFS(Table1[Customer ID], "&gt;1", Table1[Customer ID], 1)</f>
        <v>0</v>
      </c>
    </row>
    <row r="1265" spans="1:20" hidden="1" x14ac:dyDescent="0.3">
      <c r="A1265" s="2" t="s">
        <v>1922</v>
      </c>
      <c r="B1265" s="5">
        <v>46016</v>
      </c>
      <c r="C1265" s="5" t="str">
        <f>TEXT(B1265,"mmm")</f>
        <v>Dec</v>
      </c>
      <c r="D1265" s="2" t="s">
        <v>174</v>
      </c>
      <c r="E1265" s="2" t="s">
        <v>21</v>
      </c>
      <c r="F1265" s="2" t="str" cm="1">
        <f t="array" ref="F12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65" s="2" t="str" cm="1">
        <f t="array" ref="G12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65" s="2" t="s">
        <v>65</v>
      </c>
      <c r="I1265" s="2" t="s">
        <v>23</v>
      </c>
      <c r="J1265" s="2">
        <v>1</v>
      </c>
      <c r="K1265" s="8">
        <v>1899</v>
      </c>
      <c r="L1265" s="3">
        <v>0.25</v>
      </c>
      <c r="M1265" s="12">
        <f>K1265*L1265</f>
        <v>474.75</v>
      </c>
      <c r="N1265" s="12">
        <f>K1265*J1265</f>
        <v>1899</v>
      </c>
      <c r="O1265" s="12">
        <f>N1265-M1265</f>
        <v>1424.25</v>
      </c>
      <c r="P1265" s="2" t="s">
        <v>45</v>
      </c>
      <c r="Q1265" s="2" t="s">
        <v>72</v>
      </c>
      <c r="R1265" s="2">
        <v>80</v>
      </c>
      <c r="S1265" s="20">
        <f>Table1[[#This Row],[Net_revenue]]/Table1[[#This Row],[Gross_revenue]]*100%</f>
        <v>0.75</v>
      </c>
      <c r="T1265" s="18">
        <f>COUNTIFS(Table1[Customer ID], "&gt;1", Table1[Customer ID], 1)</f>
        <v>0</v>
      </c>
    </row>
    <row r="1266" spans="1:20" hidden="1" x14ac:dyDescent="0.3">
      <c r="A1266" s="2" t="s">
        <v>1923</v>
      </c>
      <c r="B1266" s="5">
        <v>45804</v>
      </c>
      <c r="C1266" s="5" t="str">
        <f>TEXT(B1266,"mmm")</f>
        <v>May</v>
      </c>
      <c r="D1266" s="2" t="s">
        <v>1588</v>
      </c>
      <c r="E1266" s="2" t="s">
        <v>195</v>
      </c>
      <c r="F1266" s="2" t="str" cm="1">
        <f t="array" ref="F12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66" s="2" t="str" cm="1">
        <f t="array" ref="G12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66" s="2" t="s">
        <v>15</v>
      </c>
      <c r="I1266" s="2" t="s">
        <v>16</v>
      </c>
      <c r="J1266" s="2">
        <v>1</v>
      </c>
      <c r="K1266" s="8">
        <v>1799</v>
      </c>
      <c r="L1266" s="3">
        <v>0.2</v>
      </c>
      <c r="M1266" s="12">
        <f>K1266*L1266</f>
        <v>359.8</v>
      </c>
      <c r="N1266" s="12">
        <f>K1266*J1266</f>
        <v>1799</v>
      </c>
      <c r="O1266" s="12">
        <f>N1266-M1266</f>
        <v>1439.2</v>
      </c>
      <c r="P1266" s="2" t="s">
        <v>30</v>
      </c>
      <c r="Q1266" s="2" t="s">
        <v>18</v>
      </c>
      <c r="R1266" s="2">
        <v>0</v>
      </c>
      <c r="S1266" s="20">
        <f>Table1[[#This Row],[Net_revenue]]/Table1[[#This Row],[Gross_revenue]]*100%</f>
        <v>0.8</v>
      </c>
      <c r="T1266" s="18">
        <f>COUNTIFS(Table1[Customer ID], "&gt;1", Table1[Customer ID], 1)</f>
        <v>0</v>
      </c>
    </row>
    <row r="1267" spans="1:20" hidden="1" x14ac:dyDescent="0.3">
      <c r="A1267" s="2" t="s">
        <v>1924</v>
      </c>
      <c r="B1267" s="5">
        <v>45708</v>
      </c>
      <c r="C1267" s="5" t="str">
        <f>TEXT(B1267,"mmm")</f>
        <v>Feb</v>
      </c>
      <c r="D1267" s="2" t="s">
        <v>1925</v>
      </c>
      <c r="E1267" s="2" t="s">
        <v>14</v>
      </c>
      <c r="F1267" s="2" t="str" cm="1">
        <f t="array" ref="F12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67" s="2" t="str" cm="1">
        <f t="array" ref="G12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67" s="2" t="s">
        <v>63</v>
      </c>
      <c r="I1267" s="2" t="s">
        <v>23</v>
      </c>
      <c r="J1267" s="2">
        <v>1</v>
      </c>
      <c r="K1267" s="8">
        <v>2499</v>
      </c>
      <c r="L1267" s="3">
        <v>0.1</v>
      </c>
      <c r="M1267" s="12">
        <f>K1267*L1267</f>
        <v>249.9</v>
      </c>
      <c r="N1267" s="12">
        <f>K1267*J1267</f>
        <v>2499</v>
      </c>
      <c r="O1267" s="12">
        <f>N1267-M1267</f>
        <v>2249.1</v>
      </c>
      <c r="P1267" s="2" t="s">
        <v>45</v>
      </c>
      <c r="Q1267" s="2" t="s">
        <v>18</v>
      </c>
      <c r="R1267" s="2">
        <v>40</v>
      </c>
      <c r="S1267" s="20">
        <f>Table1[[#This Row],[Net_revenue]]/Table1[[#This Row],[Gross_revenue]]*100%</f>
        <v>0.89999999999999991</v>
      </c>
      <c r="T1267" s="18">
        <f>COUNTIFS(Table1[Customer ID], "&gt;1", Table1[Customer ID], 1)</f>
        <v>0</v>
      </c>
    </row>
    <row r="1268" spans="1:20" hidden="1" x14ac:dyDescent="0.3">
      <c r="A1268" s="2" t="s">
        <v>1926</v>
      </c>
      <c r="B1268" s="5">
        <v>45716</v>
      </c>
      <c r="C1268" s="5" t="str">
        <f>TEXT(B1268,"mmm")</f>
        <v>Feb</v>
      </c>
      <c r="D1268" s="2" t="s">
        <v>1825</v>
      </c>
      <c r="E1268" s="2" t="s">
        <v>21</v>
      </c>
      <c r="F1268" s="2" t="str" cm="1">
        <f t="array" ref="F12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68" s="2" t="str" cm="1">
        <f t="array" ref="G12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68" s="2" t="s">
        <v>41</v>
      </c>
      <c r="I1268" s="2" t="s">
        <v>16</v>
      </c>
      <c r="J1268" s="2">
        <v>1</v>
      </c>
      <c r="K1268" s="8">
        <v>2299</v>
      </c>
      <c r="L1268" s="3">
        <v>0.15</v>
      </c>
      <c r="M1268" s="12">
        <f>K1268*L1268</f>
        <v>344.84999999999997</v>
      </c>
      <c r="N1268" s="12">
        <f>K1268*J1268</f>
        <v>2299</v>
      </c>
      <c r="O1268" s="12">
        <f>N1268-M1268</f>
        <v>1954.15</v>
      </c>
      <c r="P1268" s="2" t="s">
        <v>45</v>
      </c>
      <c r="Q1268" s="2" t="s">
        <v>18</v>
      </c>
      <c r="R1268" s="2">
        <v>80</v>
      </c>
      <c r="S1268" s="20">
        <f>Table1[[#This Row],[Net_revenue]]/Table1[[#This Row],[Gross_revenue]]*100%</f>
        <v>0.85000000000000009</v>
      </c>
      <c r="T1268" s="18">
        <f>COUNTIFS(Table1[Customer ID], "&gt;1", Table1[Customer ID], 1)</f>
        <v>0</v>
      </c>
    </row>
    <row r="1269" spans="1:20" hidden="1" x14ac:dyDescent="0.3">
      <c r="A1269" s="2" t="s">
        <v>1927</v>
      </c>
      <c r="B1269" s="5">
        <v>45708</v>
      </c>
      <c r="C1269" s="5" t="str">
        <f>TEXT(B1269,"mmm")</f>
        <v>Feb</v>
      </c>
      <c r="D1269" s="2" t="s">
        <v>1495</v>
      </c>
      <c r="E1269" s="2" t="s">
        <v>48</v>
      </c>
      <c r="F1269" s="2" t="str" cm="1">
        <f t="array" ref="F12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69" s="2" t="str" cm="1">
        <f t="array" ref="G12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69" s="2" t="s">
        <v>217</v>
      </c>
      <c r="I1269" s="2" t="s">
        <v>29</v>
      </c>
      <c r="J1269" s="2">
        <v>2</v>
      </c>
      <c r="K1269" s="8">
        <v>3299</v>
      </c>
      <c r="L1269" s="3">
        <v>0.05</v>
      </c>
      <c r="M1269" s="12">
        <f>K1269*L1269</f>
        <v>164.95000000000002</v>
      </c>
      <c r="N1269" s="12">
        <f>K1269*J1269</f>
        <v>6598</v>
      </c>
      <c r="O1269" s="12">
        <f>N1269-M1269</f>
        <v>6433.05</v>
      </c>
      <c r="P1269" s="2" t="s">
        <v>30</v>
      </c>
      <c r="Q1269" s="2" t="s">
        <v>18</v>
      </c>
      <c r="R1269" s="2">
        <v>80</v>
      </c>
      <c r="S1269" s="20">
        <f>Table1[[#This Row],[Net_revenue]]/Table1[[#This Row],[Gross_revenue]]*100%</f>
        <v>0.97499999999999998</v>
      </c>
      <c r="T1269" s="18">
        <f>COUNTIFS(Table1[Customer ID], "&gt;1", Table1[Customer ID], 1)</f>
        <v>0</v>
      </c>
    </row>
    <row r="1270" spans="1:20" hidden="1" x14ac:dyDescent="0.3">
      <c r="A1270" s="2" t="s">
        <v>1928</v>
      </c>
      <c r="B1270" s="5">
        <v>45740</v>
      </c>
      <c r="C1270" s="5" t="str">
        <f>TEXT(B1270,"mmm")</f>
        <v>Mar</v>
      </c>
      <c r="D1270" s="2" t="s">
        <v>174</v>
      </c>
      <c r="E1270" s="2" t="s">
        <v>40</v>
      </c>
      <c r="F1270" s="2" t="str" cm="1">
        <f t="array" ref="F12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70" s="2" t="str" cm="1">
        <f t="array" ref="G12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70" s="2" t="s">
        <v>36</v>
      </c>
      <c r="I1270" s="2" t="s">
        <v>37</v>
      </c>
      <c r="J1270" s="2">
        <v>1</v>
      </c>
      <c r="K1270" s="8">
        <v>349</v>
      </c>
      <c r="L1270" s="3">
        <v>0.15</v>
      </c>
      <c r="M1270" s="12">
        <f>K1270*L1270</f>
        <v>52.35</v>
      </c>
      <c r="N1270" s="12">
        <f>K1270*J1270</f>
        <v>349</v>
      </c>
      <c r="O1270" s="12">
        <f>N1270-M1270</f>
        <v>296.64999999999998</v>
      </c>
      <c r="P1270" s="2" t="s">
        <v>45</v>
      </c>
      <c r="Q1270" s="2" t="s">
        <v>18</v>
      </c>
      <c r="R1270" s="2">
        <v>40</v>
      </c>
      <c r="S1270" s="20">
        <f>Table1[[#This Row],[Net_revenue]]/Table1[[#This Row],[Gross_revenue]]*100%</f>
        <v>0.85</v>
      </c>
      <c r="T1270" s="18">
        <f>COUNTIFS(Table1[Customer ID], "&gt;1", Table1[Customer ID], 1)</f>
        <v>0</v>
      </c>
    </row>
    <row r="1271" spans="1:20" hidden="1" x14ac:dyDescent="0.3">
      <c r="A1271" s="2" t="s">
        <v>1929</v>
      </c>
      <c r="B1271" s="5">
        <v>46008</v>
      </c>
      <c r="C1271" s="5" t="str">
        <f>TEXT(B1271,"mmm")</f>
        <v>Dec</v>
      </c>
      <c r="D1271" s="2" t="s">
        <v>942</v>
      </c>
      <c r="E1271" s="2" t="s">
        <v>120</v>
      </c>
      <c r="F1271" s="2" t="str" cm="1">
        <f t="array" ref="F12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71" s="2" t="str" cm="1">
        <f t="array" ref="G12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71" s="2" t="s">
        <v>80</v>
      </c>
      <c r="I1271" s="2" t="s">
        <v>23</v>
      </c>
      <c r="J1271" s="2">
        <v>4</v>
      </c>
      <c r="K1271" s="8">
        <v>799</v>
      </c>
      <c r="L1271" s="3">
        <v>0.2</v>
      </c>
      <c r="M1271" s="12">
        <f>K1271*L1271</f>
        <v>159.80000000000001</v>
      </c>
      <c r="N1271" s="12">
        <f>K1271*J1271</f>
        <v>3196</v>
      </c>
      <c r="O1271" s="12">
        <f>N1271-M1271</f>
        <v>3036.2</v>
      </c>
      <c r="P1271" s="2" t="s">
        <v>24</v>
      </c>
      <c r="Q1271" s="2" t="s">
        <v>18</v>
      </c>
      <c r="R1271" s="2">
        <v>40</v>
      </c>
      <c r="S1271" s="20">
        <f>Table1[[#This Row],[Net_revenue]]/Table1[[#This Row],[Gross_revenue]]*100%</f>
        <v>0.95</v>
      </c>
      <c r="T1271" s="18">
        <f>COUNTIFS(Table1[Customer ID], "&gt;1", Table1[Customer ID], 1)</f>
        <v>0</v>
      </c>
    </row>
    <row r="1272" spans="1:20" hidden="1" x14ac:dyDescent="0.3">
      <c r="A1272" s="2" t="s">
        <v>1930</v>
      </c>
      <c r="B1272" s="5">
        <v>45881</v>
      </c>
      <c r="C1272" s="5" t="str">
        <f>TEXT(B1272,"mmm")</f>
        <v>Aug</v>
      </c>
      <c r="D1272" s="2" t="s">
        <v>1329</v>
      </c>
      <c r="E1272" s="2" t="s">
        <v>195</v>
      </c>
      <c r="F1272" s="2" t="str" cm="1">
        <f t="array" ref="F12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72" s="2" t="str" cm="1">
        <f t="array" ref="G12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72" s="2" t="s">
        <v>22</v>
      </c>
      <c r="I1272" s="2" t="s">
        <v>23</v>
      </c>
      <c r="J1272" s="2">
        <v>3</v>
      </c>
      <c r="K1272" s="8">
        <v>3999</v>
      </c>
      <c r="L1272" s="3">
        <v>0.1</v>
      </c>
      <c r="M1272" s="12">
        <f>K1272*L1272</f>
        <v>399.90000000000003</v>
      </c>
      <c r="N1272" s="12">
        <f>K1272*J1272</f>
        <v>11997</v>
      </c>
      <c r="O1272" s="12">
        <f>N1272-M1272</f>
        <v>11597.1</v>
      </c>
      <c r="P1272" s="2" t="s">
        <v>30</v>
      </c>
      <c r="Q1272" s="2" t="s">
        <v>18</v>
      </c>
      <c r="R1272" s="2">
        <v>60</v>
      </c>
      <c r="S1272" s="20">
        <f>Table1[[#This Row],[Net_revenue]]/Table1[[#This Row],[Gross_revenue]]*100%</f>
        <v>0.96666666666666667</v>
      </c>
      <c r="T1272" s="18">
        <f>COUNTIFS(Table1[Customer ID], "&gt;1", Table1[Customer ID], 1)</f>
        <v>0</v>
      </c>
    </row>
    <row r="1273" spans="1:20" hidden="1" x14ac:dyDescent="0.3">
      <c r="A1273" s="2" t="s">
        <v>1931</v>
      </c>
      <c r="B1273" s="5">
        <v>45798</v>
      </c>
      <c r="C1273" s="5" t="str">
        <f>TEXT(B1273,"mmm")</f>
        <v>May</v>
      </c>
      <c r="D1273" s="2" t="s">
        <v>761</v>
      </c>
      <c r="E1273" s="2" t="s">
        <v>14</v>
      </c>
      <c r="F1273" s="2" t="str" cm="1">
        <f t="array" ref="F12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73" s="2" t="str" cm="1">
        <f t="array" ref="G12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73" s="2" t="s">
        <v>98</v>
      </c>
      <c r="I1273" s="2" t="s">
        <v>37</v>
      </c>
      <c r="J1273" s="2">
        <v>3</v>
      </c>
      <c r="K1273" s="8">
        <v>299</v>
      </c>
      <c r="L1273" s="3">
        <v>0</v>
      </c>
      <c r="M1273" s="12">
        <f>K1273*L1273</f>
        <v>0</v>
      </c>
      <c r="N1273" s="12">
        <f>K1273*J1273</f>
        <v>897</v>
      </c>
      <c r="O1273" s="12">
        <f>N1273-M1273</f>
        <v>897</v>
      </c>
      <c r="P1273" s="2" t="s">
        <v>24</v>
      </c>
      <c r="Q1273" s="2" t="s">
        <v>18</v>
      </c>
      <c r="R1273" s="2">
        <v>40</v>
      </c>
      <c r="S1273" s="20">
        <f>Table1[[#This Row],[Net_revenue]]/Table1[[#This Row],[Gross_revenue]]*100%</f>
        <v>1</v>
      </c>
      <c r="T1273" s="18">
        <f>COUNTIFS(Table1[Customer ID], "&gt;1", Table1[Customer ID], 1)</f>
        <v>0</v>
      </c>
    </row>
    <row r="1274" spans="1:20" hidden="1" x14ac:dyDescent="0.3">
      <c r="A1274" s="2" t="s">
        <v>1932</v>
      </c>
      <c r="B1274" s="5">
        <v>45949</v>
      </c>
      <c r="C1274" s="5" t="str">
        <f>TEXT(B1274,"mmm")</f>
        <v>Oct</v>
      </c>
      <c r="D1274" s="2" t="s">
        <v>260</v>
      </c>
      <c r="E1274" s="2" t="s">
        <v>48</v>
      </c>
      <c r="F1274" s="2" t="str" cm="1">
        <f t="array" ref="F12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74" s="2" t="str" cm="1">
        <f t="array" ref="G12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74" s="2" t="s">
        <v>28</v>
      </c>
      <c r="I1274" s="2" t="s">
        <v>29</v>
      </c>
      <c r="J1274" s="2">
        <v>3</v>
      </c>
      <c r="K1274" s="8">
        <v>2799</v>
      </c>
      <c r="L1274" s="3">
        <v>0.25</v>
      </c>
      <c r="M1274" s="12">
        <f>K1274*L1274</f>
        <v>699.75</v>
      </c>
      <c r="N1274" s="12">
        <f>K1274*J1274</f>
        <v>8397</v>
      </c>
      <c r="O1274" s="12">
        <f>N1274-M1274</f>
        <v>7697.25</v>
      </c>
      <c r="P1274" s="2" t="s">
        <v>45</v>
      </c>
      <c r="Q1274" s="2" t="s">
        <v>18</v>
      </c>
      <c r="R1274" s="2">
        <v>40</v>
      </c>
      <c r="S1274" s="20">
        <f>Table1[[#This Row],[Net_revenue]]/Table1[[#This Row],[Gross_revenue]]*100%</f>
        <v>0.91666666666666663</v>
      </c>
      <c r="T1274" s="18">
        <f>COUNTIFS(Table1[Customer ID], "&gt;1", Table1[Customer ID], 1)</f>
        <v>0</v>
      </c>
    </row>
    <row r="1275" spans="1:20" hidden="1" x14ac:dyDescent="0.3">
      <c r="A1275" s="2" t="s">
        <v>1933</v>
      </c>
      <c r="B1275" s="5">
        <v>45914</v>
      </c>
      <c r="C1275" s="5" t="str">
        <f>TEXT(B1275,"mmm")</f>
        <v>Sep</v>
      </c>
      <c r="D1275" s="2" t="s">
        <v>1934</v>
      </c>
      <c r="E1275" s="2" t="s">
        <v>14</v>
      </c>
      <c r="F1275" s="2" t="str" cm="1">
        <f t="array" ref="F12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75" s="2" t="str" cm="1">
        <f t="array" ref="G12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75" s="2" t="s">
        <v>80</v>
      </c>
      <c r="I1275" s="2" t="s">
        <v>23</v>
      </c>
      <c r="J1275" s="2">
        <v>2</v>
      </c>
      <c r="K1275" s="8">
        <v>799</v>
      </c>
      <c r="L1275" s="3">
        <v>0.15</v>
      </c>
      <c r="M1275" s="12">
        <f>K1275*L1275</f>
        <v>119.85</v>
      </c>
      <c r="N1275" s="12">
        <f>K1275*J1275</f>
        <v>1598</v>
      </c>
      <c r="O1275" s="12">
        <f>N1275-M1275</f>
        <v>1478.15</v>
      </c>
      <c r="P1275" s="2" t="s">
        <v>45</v>
      </c>
      <c r="Q1275" s="2" t="s">
        <v>18</v>
      </c>
      <c r="R1275" s="2">
        <v>60</v>
      </c>
      <c r="S1275" s="20">
        <f>Table1[[#This Row],[Net_revenue]]/Table1[[#This Row],[Gross_revenue]]*100%</f>
        <v>0.92500000000000004</v>
      </c>
      <c r="T1275" s="18">
        <f>COUNTIFS(Table1[Customer ID], "&gt;1", Table1[Customer ID], 1)</f>
        <v>0</v>
      </c>
    </row>
    <row r="1276" spans="1:20" hidden="1" x14ac:dyDescent="0.3">
      <c r="A1276" s="2" t="s">
        <v>1935</v>
      </c>
      <c r="B1276" s="5">
        <v>45708</v>
      </c>
      <c r="C1276" s="5" t="str">
        <f>TEXT(B1276,"mmm")</f>
        <v>Feb</v>
      </c>
      <c r="D1276" s="2" t="s">
        <v>1934</v>
      </c>
      <c r="E1276" s="2" t="s">
        <v>56</v>
      </c>
      <c r="F1276" s="2" t="str" cm="1">
        <f t="array" ref="F12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76" s="2" t="str" cm="1">
        <f t="array" ref="G12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76" s="2" t="s">
        <v>68</v>
      </c>
      <c r="I1276" s="2" t="s">
        <v>16</v>
      </c>
      <c r="J1276" s="2">
        <v>1</v>
      </c>
      <c r="K1276" s="8">
        <v>599</v>
      </c>
      <c r="L1276" s="3">
        <v>0</v>
      </c>
      <c r="M1276" s="12">
        <f>K1276*L1276</f>
        <v>0</v>
      </c>
      <c r="N1276" s="12">
        <f>K1276*J1276</f>
        <v>599</v>
      </c>
      <c r="O1276" s="12">
        <f>N1276-M1276</f>
        <v>599</v>
      </c>
      <c r="P1276" s="2" t="s">
        <v>30</v>
      </c>
      <c r="Q1276" s="2" t="s">
        <v>18</v>
      </c>
      <c r="R1276" s="2">
        <v>40</v>
      </c>
      <c r="S1276" s="20">
        <f>Table1[[#This Row],[Net_revenue]]/Table1[[#This Row],[Gross_revenue]]*100%</f>
        <v>1</v>
      </c>
      <c r="T1276" s="18">
        <f>COUNTIFS(Table1[Customer ID], "&gt;1", Table1[Customer ID], 1)</f>
        <v>0</v>
      </c>
    </row>
    <row r="1277" spans="1:20" hidden="1" x14ac:dyDescent="0.3">
      <c r="A1277" s="2" t="s">
        <v>1936</v>
      </c>
      <c r="B1277" s="5">
        <v>45679</v>
      </c>
      <c r="C1277" s="5" t="str">
        <f>TEXT(B1277,"mmm")</f>
        <v>Jan</v>
      </c>
      <c r="D1277" s="2" t="s">
        <v>539</v>
      </c>
      <c r="E1277" s="2" t="s">
        <v>120</v>
      </c>
      <c r="F1277" s="2" t="str" cm="1">
        <f t="array" ref="F12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77" s="2" t="str" cm="1">
        <f t="array" ref="G12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77" s="2" t="s">
        <v>80</v>
      </c>
      <c r="I1277" s="2" t="s">
        <v>23</v>
      </c>
      <c r="J1277" s="2">
        <v>2</v>
      </c>
      <c r="K1277" s="8">
        <v>799</v>
      </c>
      <c r="L1277" s="3">
        <v>0</v>
      </c>
      <c r="M1277" s="12">
        <f>K1277*L1277</f>
        <v>0</v>
      </c>
      <c r="N1277" s="12">
        <f>K1277*J1277</f>
        <v>1598</v>
      </c>
      <c r="O1277" s="12">
        <f>N1277-M1277</f>
        <v>1598</v>
      </c>
      <c r="P1277" s="2" t="s">
        <v>45</v>
      </c>
      <c r="Q1277" s="2" t="s">
        <v>18</v>
      </c>
      <c r="R1277" s="2">
        <v>60</v>
      </c>
      <c r="S1277" s="20">
        <f>Table1[[#This Row],[Net_revenue]]/Table1[[#This Row],[Gross_revenue]]*100%</f>
        <v>1</v>
      </c>
      <c r="T1277" s="18">
        <f>COUNTIFS(Table1[Customer ID], "&gt;1", Table1[Customer ID], 1)</f>
        <v>0</v>
      </c>
    </row>
    <row r="1278" spans="1:20" hidden="1" x14ac:dyDescent="0.3">
      <c r="A1278" s="2" t="s">
        <v>1937</v>
      </c>
      <c r="B1278" s="5">
        <v>45976</v>
      </c>
      <c r="C1278" s="5" t="str">
        <f>TEXT(B1278,"mmm")</f>
        <v>Nov</v>
      </c>
      <c r="D1278" s="2" t="s">
        <v>1457</v>
      </c>
      <c r="E1278" s="2" t="s">
        <v>56</v>
      </c>
      <c r="F1278" s="2" t="str" cm="1">
        <f t="array" ref="F12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78" s="2" t="str" cm="1">
        <f t="array" ref="G12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78" s="2" t="s">
        <v>80</v>
      </c>
      <c r="I1278" s="2" t="s">
        <v>23</v>
      </c>
      <c r="J1278" s="2">
        <v>1</v>
      </c>
      <c r="K1278" s="8">
        <v>799</v>
      </c>
      <c r="L1278" s="3">
        <v>0.2</v>
      </c>
      <c r="M1278" s="12">
        <f>K1278*L1278</f>
        <v>159.80000000000001</v>
      </c>
      <c r="N1278" s="12">
        <f>K1278*J1278</f>
        <v>799</v>
      </c>
      <c r="O1278" s="12">
        <f>N1278-M1278</f>
        <v>639.20000000000005</v>
      </c>
      <c r="P1278" s="2" t="s">
        <v>45</v>
      </c>
      <c r="Q1278" s="2" t="s">
        <v>18</v>
      </c>
      <c r="R1278" s="2">
        <v>60</v>
      </c>
      <c r="S1278" s="20">
        <f>Table1[[#This Row],[Net_revenue]]/Table1[[#This Row],[Gross_revenue]]*100%</f>
        <v>0.8</v>
      </c>
      <c r="T1278" s="18">
        <f>COUNTIFS(Table1[Customer ID], "&gt;1", Table1[Customer ID], 1)</f>
        <v>0</v>
      </c>
    </row>
    <row r="1279" spans="1:20" hidden="1" x14ac:dyDescent="0.3">
      <c r="A1279" s="2" t="s">
        <v>1938</v>
      </c>
      <c r="B1279" s="5">
        <v>45984</v>
      </c>
      <c r="C1279" s="5" t="str">
        <f>TEXT(B1279,"mmm")</f>
        <v>Nov</v>
      </c>
      <c r="D1279" s="2" t="s">
        <v>1939</v>
      </c>
      <c r="E1279" s="2" t="s">
        <v>120</v>
      </c>
      <c r="F1279" s="2" t="str" cm="1">
        <f t="array" ref="F12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79" s="2" t="str" cm="1">
        <f t="array" ref="G12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79" s="2" t="s">
        <v>188</v>
      </c>
      <c r="I1279" s="2" t="s">
        <v>95</v>
      </c>
      <c r="J1279" s="2">
        <v>1</v>
      </c>
      <c r="K1279" s="8">
        <v>699</v>
      </c>
      <c r="L1279" s="3">
        <v>0.2</v>
      </c>
      <c r="M1279" s="12">
        <f>K1279*L1279</f>
        <v>139.80000000000001</v>
      </c>
      <c r="N1279" s="12">
        <f>K1279*J1279</f>
        <v>699</v>
      </c>
      <c r="O1279" s="12">
        <f>N1279-M1279</f>
        <v>559.20000000000005</v>
      </c>
      <c r="P1279" s="2" t="s">
        <v>30</v>
      </c>
      <c r="Q1279" s="2" t="s">
        <v>18</v>
      </c>
      <c r="R1279" s="2">
        <v>0</v>
      </c>
      <c r="S1279" s="20">
        <f>Table1[[#This Row],[Net_revenue]]/Table1[[#This Row],[Gross_revenue]]*100%</f>
        <v>0.8</v>
      </c>
      <c r="T1279" s="18">
        <f>COUNTIFS(Table1[Customer ID], "&gt;1", Table1[Customer ID], 1)</f>
        <v>0</v>
      </c>
    </row>
    <row r="1280" spans="1:20" hidden="1" x14ac:dyDescent="0.3">
      <c r="A1280" s="2" t="s">
        <v>1940</v>
      </c>
      <c r="B1280" s="5">
        <v>45822</v>
      </c>
      <c r="C1280" s="5" t="str">
        <f>TEXT(B1280,"mmm")</f>
        <v>Jun</v>
      </c>
      <c r="D1280" s="2" t="s">
        <v>47</v>
      </c>
      <c r="E1280" s="2" t="s">
        <v>75</v>
      </c>
      <c r="F1280" s="2" t="str" cm="1">
        <f t="array" ref="F12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280" s="2" t="str" cm="1">
        <f t="array" ref="G12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80" s="2" t="s">
        <v>134</v>
      </c>
      <c r="I1280" s="2" t="s">
        <v>29</v>
      </c>
      <c r="J1280" s="2">
        <v>1</v>
      </c>
      <c r="K1280" s="8">
        <v>1499</v>
      </c>
      <c r="L1280" s="3">
        <v>0.15</v>
      </c>
      <c r="M1280" s="12">
        <f>K1280*L1280</f>
        <v>224.85</v>
      </c>
      <c r="N1280" s="12">
        <f>K1280*J1280</f>
        <v>1499</v>
      </c>
      <c r="O1280" s="12">
        <f>N1280-M1280</f>
        <v>1274.1500000000001</v>
      </c>
      <c r="P1280" s="2" t="s">
        <v>30</v>
      </c>
      <c r="Q1280" s="2" t="s">
        <v>18</v>
      </c>
      <c r="R1280" s="2">
        <v>80</v>
      </c>
      <c r="S1280" s="20">
        <f>Table1[[#This Row],[Net_revenue]]/Table1[[#This Row],[Gross_revenue]]*100%</f>
        <v>0.85000000000000009</v>
      </c>
      <c r="T1280" s="18">
        <f>COUNTIFS(Table1[Customer ID], "&gt;1", Table1[Customer ID], 1)</f>
        <v>0</v>
      </c>
    </row>
    <row r="1281" spans="1:20" hidden="1" x14ac:dyDescent="0.3">
      <c r="A1281" s="2" t="s">
        <v>1941</v>
      </c>
      <c r="B1281" s="5">
        <v>45958</v>
      </c>
      <c r="C1281" s="5" t="str">
        <f>TEXT(B1281,"mmm")</f>
        <v>Oct</v>
      </c>
      <c r="D1281" s="2" t="s">
        <v>1829</v>
      </c>
      <c r="E1281" s="2" t="s">
        <v>48</v>
      </c>
      <c r="F1281" s="2" t="str" cm="1">
        <f t="array" ref="F12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81" s="2" t="str" cm="1">
        <f t="array" ref="G12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1" s="2" t="s">
        <v>22</v>
      </c>
      <c r="I1281" s="2" t="s">
        <v>23</v>
      </c>
      <c r="J1281" s="2">
        <v>5</v>
      </c>
      <c r="K1281" s="8">
        <v>3999</v>
      </c>
      <c r="L1281" s="3">
        <v>0.2</v>
      </c>
      <c r="M1281" s="12">
        <f>K1281*L1281</f>
        <v>799.80000000000007</v>
      </c>
      <c r="N1281" s="12">
        <f>K1281*J1281</f>
        <v>19995</v>
      </c>
      <c r="O1281" s="12">
        <f>N1281-M1281</f>
        <v>19195.2</v>
      </c>
      <c r="P1281" s="2" t="s">
        <v>30</v>
      </c>
      <c r="Q1281" s="2" t="s">
        <v>18</v>
      </c>
      <c r="R1281" s="2">
        <v>80</v>
      </c>
      <c r="S1281" s="20">
        <f>Table1[[#This Row],[Net_revenue]]/Table1[[#This Row],[Gross_revenue]]*100%</f>
        <v>0.96000000000000008</v>
      </c>
      <c r="T1281" s="18">
        <f>COUNTIFS(Table1[Customer ID], "&gt;1", Table1[Customer ID], 1)</f>
        <v>0</v>
      </c>
    </row>
    <row r="1282" spans="1:20" hidden="1" x14ac:dyDescent="0.3">
      <c r="A1282" s="2" t="s">
        <v>1942</v>
      </c>
      <c r="B1282" s="5">
        <v>45835</v>
      </c>
      <c r="C1282" s="5" t="str">
        <f>TEXT(B1282,"mmm")</f>
        <v>Jun</v>
      </c>
      <c r="D1282" s="2" t="s">
        <v>1778</v>
      </c>
      <c r="E1282" s="2" t="s">
        <v>14</v>
      </c>
      <c r="F1282" s="2" t="str" cm="1">
        <f t="array" ref="F12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82" s="2" t="str" cm="1">
        <f t="array" ref="G12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82" s="2" t="s">
        <v>63</v>
      </c>
      <c r="I1282" s="2" t="s">
        <v>23</v>
      </c>
      <c r="J1282" s="2">
        <v>1</v>
      </c>
      <c r="K1282" s="8">
        <v>2499</v>
      </c>
      <c r="L1282" s="3">
        <v>0</v>
      </c>
      <c r="M1282" s="12">
        <f>K1282*L1282</f>
        <v>0</v>
      </c>
      <c r="N1282" s="12">
        <f>K1282*J1282</f>
        <v>2499</v>
      </c>
      <c r="O1282" s="12">
        <f>N1282-M1282</f>
        <v>2499</v>
      </c>
      <c r="P1282" s="2" t="s">
        <v>30</v>
      </c>
      <c r="Q1282" s="2" t="s">
        <v>18</v>
      </c>
      <c r="R1282" s="2">
        <v>0</v>
      </c>
      <c r="S1282" s="20">
        <f>Table1[[#This Row],[Net_revenue]]/Table1[[#This Row],[Gross_revenue]]*100%</f>
        <v>1</v>
      </c>
      <c r="T1282" s="18">
        <f>COUNTIFS(Table1[Customer ID], "&gt;1", Table1[Customer ID], 1)</f>
        <v>0</v>
      </c>
    </row>
    <row r="1283" spans="1:20" hidden="1" x14ac:dyDescent="0.3">
      <c r="A1283" s="2" t="s">
        <v>1943</v>
      </c>
      <c r="B1283" s="5">
        <v>45967</v>
      </c>
      <c r="C1283" s="5" t="str">
        <f>TEXT(B1283,"mmm")</f>
        <v>Nov</v>
      </c>
      <c r="D1283" s="2" t="s">
        <v>1089</v>
      </c>
      <c r="E1283" s="2" t="s">
        <v>53</v>
      </c>
      <c r="F1283" s="2" t="str" cm="1">
        <f t="array" ref="F12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283" s="2" t="str" cm="1">
        <f t="array" ref="G12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83" s="2" t="s">
        <v>117</v>
      </c>
      <c r="I1283" s="2" t="s">
        <v>23</v>
      </c>
      <c r="J1283" s="2">
        <v>1</v>
      </c>
      <c r="K1283" s="8">
        <v>2199</v>
      </c>
      <c r="L1283" s="3">
        <v>0.2</v>
      </c>
      <c r="M1283" s="12">
        <f>K1283*L1283</f>
        <v>439.8</v>
      </c>
      <c r="N1283" s="12">
        <f>K1283*J1283</f>
        <v>2199</v>
      </c>
      <c r="O1283" s="12">
        <f>N1283-M1283</f>
        <v>1759.2</v>
      </c>
      <c r="P1283" s="2" t="s">
        <v>17</v>
      </c>
      <c r="Q1283" s="2" t="s">
        <v>18</v>
      </c>
      <c r="R1283" s="2">
        <v>80</v>
      </c>
      <c r="S1283" s="20">
        <f>Table1[[#This Row],[Net_revenue]]/Table1[[#This Row],[Gross_revenue]]*100%</f>
        <v>0.8</v>
      </c>
      <c r="T1283" s="18">
        <f>COUNTIFS(Table1[Customer ID], "&gt;1", Table1[Customer ID], 1)</f>
        <v>0</v>
      </c>
    </row>
    <row r="1284" spans="1:20" hidden="1" x14ac:dyDescent="0.3">
      <c r="A1284" s="2" t="s">
        <v>1944</v>
      </c>
      <c r="B1284" s="5">
        <v>45711</v>
      </c>
      <c r="C1284" s="5" t="str">
        <f>TEXT(B1284,"mmm")</f>
        <v>Feb</v>
      </c>
      <c r="D1284" s="2" t="s">
        <v>754</v>
      </c>
      <c r="E1284" s="2" t="s">
        <v>48</v>
      </c>
      <c r="F1284" s="2" t="str" cm="1">
        <f t="array" ref="F12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84" s="2" t="str" cm="1">
        <f t="array" ref="G12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4" s="2" t="s">
        <v>44</v>
      </c>
      <c r="I1284" s="2" t="s">
        <v>16</v>
      </c>
      <c r="J1284" s="2">
        <v>1</v>
      </c>
      <c r="K1284" s="8">
        <v>1599</v>
      </c>
      <c r="L1284" s="3">
        <v>0.05</v>
      </c>
      <c r="M1284" s="12">
        <f>K1284*L1284</f>
        <v>79.95</v>
      </c>
      <c r="N1284" s="12">
        <f>K1284*J1284</f>
        <v>1599</v>
      </c>
      <c r="O1284" s="12">
        <f>N1284-M1284</f>
        <v>1519.05</v>
      </c>
      <c r="P1284" s="2" t="s">
        <v>30</v>
      </c>
      <c r="Q1284" s="2" t="s">
        <v>50</v>
      </c>
      <c r="R1284" s="2">
        <v>0</v>
      </c>
      <c r="S1284" s="20">
        <f>Table1[[#This Row],[Net_revenue]]/Table1[[#This Row],[Gross_revenue]]*100%</f>
        <v>0.95</v>
      </c>
      <c r="T1284" s="18">
        <f>COUNTIFS(Table1[Customer ID], "&gt;1", Table1[Customer ID], 1)</f>
        <v>0</v>
      </c>
    </row>
    <row r="1285" spans="1:20" hidden="1" x14ac:dyDescent="0.3">
      <c r="A1285" s="2" t="s">
        <v>1945</v>
      </c>
      <c r="B1285" s="5">
        <v>45844</v>
      </c>
      <c r="C1285" s="5" t="str">
        <f>TEXT(B1285,"mmm")</f>
        <v>Jul</v>
      </c>
      <c r="D1285" s="2" t="s">
        <v>1946</v>
      </c>
      <c r="E1285" s="2" t="s">
        <v>21</v>
      </c>
      <c r="F1285" s="2" t="str" cm="1">
        <f t="array" ref="F12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85" s="2" t="str" cm="1">
        <f t="array" ref="G12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85" s="2" t="s">
        <v>22</v>
      </c>
      <c r="I1285" s="2" t="s">
        <v>23</v>
      </c>
      <c r="J1285" s="2">
        <v>1</v>
      </c>
      <c r="K1285" s="8">
        <v>3999</v>
      </c>
      <c r="L1285" s="3">
        <v>0.25</v>
      </c>
      <c r="M1285" s="12">
        <f>K1285*L1285</f>
        <v>999.75</v>
      </c>
      <c r="N1285" s="12">
        <f>K1285*J1285</f>
        <v>3999</v>
      </c>
      <c r="O1285" s="12">
        <f>N1285-M1285</f>
        <v>2999.25</v>
      </c>
      <c r="P1285" s="2" t="s">
        <v>17</v>
      </c>
      <c r="Q1285" s="2" t="s">
        <v>18</v>
      </c>
      <c r="R1285" s="2">
        <v>40</v>
      </c>
      <c r="S1285" s="20">
        <f>Table1[[#This Row],[Net_revenue]]/Table1[[#This Row],[Gross_revenue]]*100%</f>
        <v>0.75</v>
      </c>
      <c r="T1285" s="18">
        <f>COUNTIFS(Table1[Customer ID], "&gt;1", Table1[Customer ID], 1)</f>
        <v>0</v>
      </c>
    </row>
    <row r="1286" spans="1:20" hidden="1" x14ac:dyDescent="0.3">
      <c r="A1286" s="2" t="s">
        <v>1947</v>
      </c>
      <c r="B1286" s="5">
        <v>45833</v>
      </c>
      <c r="C1286" s="5" t="str">
        <f>TEXT(B1286,"mmm")</f>
        <v>Jun</v>
      </c>
      <c r="D1286" s="2" t="s">
        <v>232</v>
      </c>
      <c r="E1286" s="2" t="s">
        <v>48</v>
      </c>
      <c r="F1286" s="2" t="str" cm="1">
        <f t="array" ref="F12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86" s="2" t="str" cm="1">
        <f t="array" ref="G12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6" s="2" t="s">
        <v>63</v>
      </c>
      <c r="I1286" s="2" t="s">
        <v>23</v>
      </c>
      <c r="J1286" s="2">
        <v>1</v>
      </c>
      <c r="K1286" s="8">
        <v>2499</v>
      </c>
      <c r="L1286" s="3">
        <v>0.1</v>
      </c>
      <c r="M1286" s="12">
        <f>K1286*L1286</f>
        <v>249.9</v>
      </c>
      <c r="N1286" s="12">
        <f>K1286*J1286</f>
        <v>2499</v>
      </c>
      <c r="O1286" s="12">
        <f>N1286-M1286</f>
        <v>2249.1</v>
      </c>
      <c r="P1286" s="2" t="s">
        <v>17</v>
      </c>
      <c r="Q1286" s="2" t="s">
        <v>18</v>
      </c>
      <c r="R1286" s="2">
        <v>60</v>
      </c>
      <c r="S1286" s="20">
        <f>Table1[[#This Row],[Net_revenue]]/Table1[[#This Row],[Gross_revenue]]*100%</f>
        <v>0.89999999999999991</v>
      </c>
      <c r="T1286" s="18">
        <f>COUNTIFS(Table1[Customer ID], "&gt;1", Table1[Customer ID], 1)</f>
        <v>0</v>
      </c>
    </row>
    <row r="1287" spans="1:20" hidden="1" x14ac:dyDescent="0.3">
      <c r="A1287" s="2" t="s">
        <v>1948</v>
      </c>
      <c r="B1287" s="5">
        <v>45680</v>
      </c>
      <c r="C1287" s="5" t="str">
        <f>TEXT(B1287,"mmm")</f>
        <v>Jan</v>
      </c>
      <c r="D1287" s="2" t="s">
        <v>199</v>
      </c>
      <c r="E1287" s="2" t="s">
        <v>56</v>
      </c>
      <c r="F1287" s="2" t="str" cm="1">
        <f t="array" ref="F12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87" s="2" t="str" cm="1">
        <f t="array" ref="G12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7" s="2" t="s">
        <v>65</v>
      </c>
      <c r="I1287" s="2" t="s">
        <v>23</v>
      </c>
      <c r="J1287" s="2">
        <v>3</v>
      </c>
      <c r="K1287" s="8">
        <v>1899</v>
      </c>
      <c r="L1287" s="3">
        <v>0.2</v>
      </c>
      <c r="M1287" s="12">
        <f>K1287*L1287</f>
        <v>379.8</v>
      </c>
      <c r="N1287" s="12">
        <f>K1287*J1287</f>
        <v>5697</v>
      </c>
      <c r="O1287" s="12">
        <f>N1287-M1287</f>
        <v>5317.2</v>
      </c>
      <c r="P1287" s="2" t="s">
        <v>24</v>
      </c>
      <c r="Q1287" s="2" t="s">
        <v>50</v>
      </c>
      <c r="R1287" s="2">
        <v>40</v>
      </c>
      <c r="S1287" s="20">
        <f>Table1[[#This Row],[Net_revenue]]/Table1[[#This Row],[Gross_revenue]]*100%</f>
        <v>0.93333333333333335</v>
      </c>
      <c r="T1287" s="18">
        <f>COUNTIFS(Table1[Customer ID], "&gt;1", Table1[Customer ID], 1)</f>
        <v>0</v>
      </c>
    </row>
    <row r="1288" spans="1:20" hidden="1" x14ac:dyDescent="0.3">
      <c r="A1288" s="2" t="s">
        <v>1949</v>
      </c>
      <c r="B1288" s="5">
        <v>45704</v>
      </c>
      <c r="C1288" s="5" t="str">
        <f>TEXT(B1288,"mmm")</f>
        <v>Feb</v>
      </c>
      <c r="D1288" s="2" t="s">
        <v>180</v>
      </c>
      <c r="E1288" s="2" t="s">
        <v>48</v>
      </c>
      <c r="F1288" s="2" t="str" cm="1">
        <f t="array" ref="F12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88" s="2" t="str" cm="1">
        <f t="array" ref="G12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8" s="2" t="s">
        <v>15</v>
      </c>
      <c r="I1288" s="2" t="s">
        <v>16</v>
      </c>
      <c r="J1288" s="2">
        <v>1</v>
      </c>
      <c r="K1288" s="8">
        <v>1799</v>
      </c>
      <c r="L1288" s="3">
        <v>0.2</v>
      </c>
      <c r="M1288" s="12">
        <f>K1288*L1288</f>
        <v>359.8</v>
      </c>
      <c r="N1288" s="12">
        <f>K1288*J1288</f>
        <v>1799</v>
      </c>
      <c r="O1288" s="12">
        <f>N1288-M1288</f>
        <v>1439.2</v>
      </c>
      <c r="P1288" s="2" t="s">
        <v>45</v>
      </c>
      <c r="Q1288" s="2" t="s">
        <v>18</v>
      </c>
      <c r="R1288" s="2">
        <v>40</v>
      </c>
      <c r="S1288" s="20">
        <f>Table1[[#This Row],[Net_revenue]]/Table1[[#This Row],[Gross_revenue]]*100%</f>
        <v>0.8</v>
      </c>
      <c r="T1288" s="18">
        <f>COUNTIFS(Table1[Customer ID], "&gt;1", Table1[Customer ID], 1)</f>
        <v>0</v>
      </c>
    </row>
    <row r="1289" spans="1:20" hidden="1" x14ac:dyDescent="0.3">
      <c r="A1289" s="2" t="s">
        <v>1950</v>
      </c>
      <c r="B1289" s="5">
        <v>45818</v>
      </c>
      <c r="C1289" s="5" t="str">
        <f>TEXT(B1289,"mmm")</f>
        <v>Jun</v>
      </c>
      <c r="D1289" s="2" t="s">
        <v>241</v>
      </c>
      <c r="E1289" s="2" t="s">
        <v>27</v>
      </c>
      <c r="F1289" s="2" t="str" cm="1">
        <f t="array" ref="F12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289" s="2" t="str" cm="1">
        <f t="array" ref="G12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89" s="2" t="s">
        <v>68</v>
      </c>
      <c r="I1289" s="2" t="s">
        <v>16</v>
      </c>
      <c r="J1289" s="2">
        <v>2</v>
      </c>
      <c r="K1289" s="8">
        <v>599</v>
      </c>
      <c r="L1289" s="3">
        <v>0.25</v>
      </c>
      <c r="M1289" s="12">
        <f>K1289*L1289</f>
        <v>149.75</v>
      </c>
      <c r="N1289" s="12">
        <f>K1289*J1289</f>
        <v>1198</v>
      </c>
      <c r="O1289" s="12">
        <f>N1289-M1289</f>
        <v>1048.25</v>
      </c>
      <c r="P1289" s="2" t="s">
        <v>45</v>
      </c>
      <c r="Q1289" s="2" t="s">
        <v>18</v>
      </c>
      <c r="R1289" s="2">
        <v>40</v>
      </c>
      <c r="S1289" s="20">
        <f>Table1[[#This Row],[Net_revenue]]/Table1[[#This Row],[Gross_revenue]]*100%</f>
        <v>0.875</v>
      </c>
      <c r="T1289" s="18">
        <f>COUNTIFS(Table1[Customer ID], "&gt;1", Table1[Customer ID], 1)</f>
        <v>0</v>
      </c>
    </row>
    <row r="1290" spans="1:20" hidden="1" x14ac:dyDescent="0.3">
      <c r="A1290" s="2" t="s">
        <v>1951</v>
      </c>
      <c r="B1290" s="5">
        <v>45769</v>
      </c>
      <c r="C1290" s="5" t="str">
        <f>TEXT(B1290,"mmm")</f>
        <v>Apr</v>
      </c>
      <c r="D1290" s="2" t="s">
        <v>389</v>
      </c>
      <c r="E1290" s="2" t="s">
        <v>195</v>
      </c>
      <c r="F1290" s="2" t="str" cm="1">
        <f t="array" ref="F12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290" s="2" t="str" cm="1">
        <f t="array" ref="G12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90" s="2" t="s">
        <v>71</v>
      </c>
      <c r="I1290" s="2" t="s">
        <v>29</v>
      </c>
      <c r="J1290" s="2">
        <v>1</v>
      </c>
      <c r="K1290" s="8">
        <v>5499</v>
      </c>
      <c r="L1290" s="3">
        <v>0.25</v>
      </c>
      <c r="M1290" s="12">
        <f>K1290*L1290</f>
        <v>1374.75</v>
      </c>
      <c r="N1290" s="12">
        <f>K1290*J1290</f>
        <v>5499</v>
      </c>
      <c r="O1290" s="12">
        <f>N1290-M1290</f>
        <v>4124.25</v>
      </c>
      <c r="P1290" s="2" t="s">
        <v>24</v>
      </c>
      <c r="Q1290" s="2" t="s">
        <v>18</v>
      </c>
      <c r="R1290" s="2">
        <v>0</v>
      </c>
      <c r="S1290" s="20">
        <f>Table1[[#This Row],[Net_revenue]]/Table1[[#This Row],[Gross_revenue]]*100%</f>
        <v>0.75</v>
      </c>
      <c r="T1290" s="18">
        <f>COUNTIFS(Table1[Customer ID], "&gt;1", Table1[Customer ID], 1)</f>
        <v>0</v>
      </c>
    </row>
    <row r="1291" spans="1:20" hidden="1" x14ac:dyDescent="0.3">
      <c r="A1291" s="2" t="s">
        <v>1952</v>
      </c>
      <c r="B1291" s="5">
        <v>45831</v>
      </c>
      <c r="C1291" s="5" t="str">
        <f>TEXT(B1291,"mmm")</f>
        <v>Jun</v>
      </c>
      <c r="D1291" s="2" t="s">
        <v>369</v>
      </c>
      <c r="E1291" s="2" t="s">
        <v>56</v>
      </c>
      <c r="F1291" s="2" t="str" cm="1">
        <f t="array" ref="F12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91" s="2" t="str" cm="1">
        <f t="array" ref="G12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91" s="2" t="s">
        <v>183</v>
      </c>
      <c r="I1291" s="2" t="s">
        <v>37</v>
      </c>
      <c r="J1291" s="2">
        <v>3</v>
      </c>
      <c r="K1291" s="8">
        <v>499</v>
      </c>
      <c r="L1291" s="3">
        <v>0.15</v>
      </c>
      <c r="M1291" s="12">
        <f>K1291*L1291</f>
        <v>74.849999999999994</v>
      </c>
      <c r="N1291" s="12">
        <f>K1291*J1291</f>
        <v>1497</v>
      </c>
      <c r="O1291" s="12">
        <f>N1291-M1291</f>
        <v>1422.15</v>
      </c>
      <c r="P1291" s="2" t="s">
        <v>45</v>
      </c>
      <c r="Q1291" s="2" t="s">
        <v>18</v>
      </c>
      <c r="R1291" s="2">
        <v>0</v>
      </c>
      <c r="S1291" s="20">
        <f>Table1[[#This Row],[Net_revenue]]/Table1[[#This Row],[Gross_revenue]]*100%</f>
        <v>0.95000000000000007</v>
      </c>
      <c r="T1291" s="18">
        <f>COUNTIFS(Table1[Customer ID], "&gt;1", Table1[Customer ID], 1)</f>
        <v>0</v>
      </c>
    </row>
    <row r="1292" spans="1:20" hidden="1" x14ac:dyDescent="0.3">
      <c r="A1292" s="2" t="s">
        <v>1953</v>
      </c>
      <c r="B1292" s="5">
        <v>45994</v>
      </c>
      <c r="C1292" s="5" t="str">
        <f>TEXT(B1292,"mmm")</f>
        <v>Dec</v>
      </c>
      <c r="D1292" s="2" t="s">
        <v>1866</v>
      </c>
      <c r="E1292" s="2" t="s">
        <v>40</v>
      </c>
      <c r="F1292" s="2" t="str" cm="1">
        <f t="array" ref="F12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292" s="2" t="str" cm="1">
        <f t="array" ref="G12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292" s="2" t="s">
        <v>117</v>
      </c>
      <c r="I1292" s="2" t="s">
        <v>23</v>
      </c>
      <c r="J1292" s="2">
        <v>1</v>
      </c>
      <c r="K1292" s="8">
        <v>2199</v>
      </c>
      <c r="L1292" s="3">
        <v>0</v>
      </c>
      <c r="M1292" s="12">
        <f>K1292*L1292</f>
        <v>0</v>
      </c>
      <c r="N1292" s="12">
        <f>K1292*J1292</f>
        <v>2199</v>
      </c>
      <c r="O1292" s="12">
        <f>N1292-M1292</f>
        <v>2199</v>
      </c>
      <c r="P1292" s="2" t="s">
        <v>45</v>
      </c>
      <c r="Q1292" s="2" t="s">
        <v>50</v>
      </c>
      <c r="R1292" s="2">
        <v>60</v>
      </c>
      <c r="S1292" s="20">
        <f>Table1[[#This Row],[Net_revenue]]/Table1[[#This Row],[Gross_revenue]]*100%</f>
        <v>1</v>
      </c>
      <c r="T1292" s="18">
        <f>COUNTIFS(Table1[Customer ID], "&gt;1", Table1[Customer ID], 1)</f>
        <v>0</v>
      </c>
    </row>
    <row r="1293" spans="1:20" hidden="1" x14ac:dyDescent="0.3">
      <c r="A1293" s="2" t="s">
        <v>1954</v>
      </c>
      <c r="B1293" s="5">
        <v>45915</v>
      </c>
      <c r="C1293" s="5" t="str">
        <f>TEXT(B1293,"mmm")</f>
        <v>Sep</v>
      </c>
      <c r="D1293" s="2" t="s">
        <v>1324</v>
      </c>
      <c r="E1293" s="2" t="s">
        <v>120</v>
      </c>
      <c r="F1293" s="2" t="str" cm="1">
        <f t="array" ref="F12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93" s="2" t="str" cm="1">
        <f t="array" ref="G12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93" s="2" t="s">
        <v>22</v>
      </c>
      <c r="I1293" s="2" t="s">
        <v>23</v>
      </c>
      <c r="J1293" s="2">
        <v>3</v>
      </c>
      <c r="K1293" s="8">
        <v>3999</v>
      </c>
      <c r="L1293" s="3">
        <v>0.25</v>
      </c>
      <c r="M1293" s="12">
        <f>K1293*L1293</f>
        <v>999.75</v>
      </c>
      <c r="N1293" s="12">
        <f>K1293*J1293</f>
        <v>11997</v>
      </c>
      <c r="O1293" s="12">
        <f>N1293-M1293</f>
        <v>10997.25</v>
      </c>
      <c r="P1293" s="2" t="s">
        <v>17</v>
      </c>
      <c r="Q1293" s="2" t="s">
        <v>18</v>
      </c>
      <c r="R1293" s="2">
        <v>0</v>
      </c>
      <c r="S1293" s="20">
        <f>Table1[[#This Row],[Net_revenue]]/Table1[[#This Row],[Gross_revenue]]*100%</f>
        <v>0.91666666666666663</v>
      </c>
      <c r="T1293" s="18">
        <f>COUNTIFS(Table1[Customer ID], "&gt;1", Table1[Customer ID], 1)</f>
        <v>0</v>
      </c>
    </row>
    <row r="1294" spans="1:20" hidden="1" x14ac:dyDescent="0.3">
      <c r="A1294" s="2" t="s">
        <v>1955</v>
      </c>
      <c r="B1294" s="5">
        <v>45664</v>
      </c>
      <c r="C1294" s="5" t="str">
        <f>TEXT(B1294,"mmm")</f>
        <v>Jan</v>
      </c>
      <c r="D1294" s="2" t="s">
        <v>1452</v>
      </c>
      <c r="E1294" s="2" t="s">
        <v>120</v>
      </c>
      <c r="F1294" s="2" t="str" cm="1">
        <f t="array" ref="F12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94" s="2" t="str" cm="1">
        <f t="array" ref="G12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94" s="2" t="s">
        <v>117</v>
      </c>
      <c r="I1294" s="2" t="s">
        <v>23</v>
      </c>
      <c r="J1294" s="2">
        <v>1</v>
      </c>
      <c r="K1294" s="8">
        <v>2199</v>
      </c>
      <c r="L1294" s="3">
        <v>0</v>
      </c>
      <c r="M1294" s="12">
        <f>K1294*L1294</f>
        <v>0</v>
      </c>
      <c r="N1294" s="12">
        <f>K1294*J1294</f>
        <v>2199</v>
      </c>
      <c r="O1294" s="12">
        <f>N1294-M1294</f>
        <v>2199</v>
      </c>
      <c r="P1294" s="2" t="s">
        <v>30</v>
      </c>
      <c r="Q1294" s="2" t="s">
        <v>18</v>
      </c>
      <c r="R1294" s="2">
        <v>40</v>
      </c>
      <c r="S1294" s="20">
        <f>Table1[[#This Row],[Net_revenue]]/Table1[[#This Row],[Gross_revenue]]*100%</f>
        <v>1</v>
      </c>
      <c r="T1294" s="18">
        <f>COUNTIFS(Table1[Customer ID], "&gt;1", Table1[Customer ID], 1)</f>
        <v>0</v>
      </c>
    </row>
    <row r="1295" spans="1:20" hidden="1" x14ac:dyDescent="0.3">
      <c r="A1295" s="2" t="s">
        <v>1956</v>
      </c>
      <c r="B1295" s="5">
        <v>45777</v>
      </c>
      <c r="C1295" s="5" t="str">
        <f>TEXT(B1295,"mmm")</f>
        <v>Apr</v>
      </c>
      <c r="D1295" s="2" t="s">
        <v>1957</v>
      </c>
      <c r="E1295" s="2" t="s">
        <v>56</v>
      </c>
      <c r="F1295" s="2" t="str" cm="1">
        <f t="array" ref="F12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295" s="2" t="str" cm="1">
        <f t="array" ref="G12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95" s="2" t="s">
        <v>68</v>
      </c>
      <c r="I1295" s="2" t="s">
        <v>16</v>
      </c>
      <c r="J1295" s="2">
        <v>1</v>
      </c>
      <c r="K1295" s="8">
        <v>599</v>
      </c>
      <c r="L1295" s="3">
        <v>0</v>
      </c>
      <c r="M1295" s="12">
        <f>K1295*L1295</f>
        <v>0</v>
      </c>
      <c r="N1295" s="12">
        <f>K1295*J1295</f>
        <v>599</v>
      </c>
      <c r="O1295" s="12">
        <f>N1295-M1295</f>
        <v>599</v>
      </c>
      <c r="P1295" s="2" t="s">
        <v>45</v>
      </c>
      <c r="Q1295" s="2" t="s">
        <v>18</v>
      </c>
      <c r="R1295" s="2">
        <v>80</v>
      </c>
      <c r="S1295" s="20">
        <f>Table1[[#This Row],[Net_revenue]]/Table1[[#This Row],[Gross_revenue]]*100%</f>
        <v>1</v>
      </c>
      <c r="T1295" s="18">
        <f>COUNTIFS(Table1[Customer ID], "&gt;1", Table1[Customer ID], 1)</f>
        <v>0</v>
      </c>
    </row>
    <row r="1296" spans="1:20" hidden="1" x14ac:dyDescent="0.3">
      <c r="A1296" s="2" t="s">
        <v>1958</v>
      </c>
      <c r="B1296" s="5">
        <v>45659</v>
      </c>
      <c r="C1296" s="5" t="str">
        <f>TEXT(B1296,"mmm")</f>
        <v>Jan</v>
      </c>
      <c r="D1296" s="2" t="s">
        <v>1500</v>
      </c>
      <c r="E1296" s="2" t="s">
        <v>48</v>
      </c>
      <c r="F1296" s="2" t="str" cm="1">
        <f t="array" ref="F12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296" s="2" t="str" cm="1">
        <f t="array" ref="G12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296" s="2" t="s">
        <v>44</v>
      </c>
      <c r="I1296" s="2" t="s">
        <v>16</v>
      </c>
      <c r="J1296" s="2">
        <v>1</v>
      </c>
      <c r="K1296" s="8">
        <v>1599</v>
      </c>
      <c r="L1296" s="3">
        <v>0.05</v>
      </c>
      <c r="M1296" s="12">
        <f>K1296*L1296</f>
        <v>79.95</v>
      </c>
      <c r="N1296" s="12">
        <f>K1296*J1296</f>
        <v>1599</v>
      </c>
      <c r="O1296" s="12">
        <f>N1296-M1296</f>
        <v>1519.05</v>
      </c>
      <c r="P1296" s="2" t="s">
        <v>45</v>
      </c>
      <c r="Q1296" s="2" t="s">
        <v>18</v>
      </c>
      <c r="R1296" s="2">
        <v>40</v>
      </c>
      <c r="S1296" s="20">
        <f>Table1[[#This Row],[Net_revenue]]/Table1[[#This Row],[Gross_revenue]]*100%</f>
        <v>0.95</v>
      </c>
      <c r="T1296" s="18">
        <f>COUNTIFS(Table1[Customer ID], "&gt;1", Table1[Customer ID], 1)</f>
        <v>0</v>
      </c>
    </row>
    <row r="1297" spans="1:20" hidden="1" x14ac:dyDescent="0.3">
      <c r="A1297" s="2" t="s">
        <v>1959</v>
      </c>
      <c r="B1297" s="5">
        <v>45816</v>
      </c>
      <c r="C1297" s="5" t="str">
        <f>TEXT(B1297,"mmm")</f>
        <v>Jun</v>
      </c>
      <c r="D1297" s="2" t="s">
        <v>88</v>
      </c>
      <c r="E1297" s="2" t="s">
        <v>21</v>
      </c>
      <c r="F1297" s="2" t="str" cm="1">
        <f t="array" ref="F12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97" s="2" t="str" cm="1">
        <f t="array" ref="G12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97" s="2" t="s">
        <v>33</v>
      </c>
      <c r="I1297" s="2" t="s">
        <v>16</v>
      </c>
      <c r="J1297" s="2">
        <v>2</v>
      </c>
      <c r="K1297" s="8">
        <v>899</v>
      </c>
      <c r="L1297" s="3">
        <v>0.2</v>
      </c>
      <c r="M1297" s="12">
        <f>K1297*L1297</f>
        <v>179.8</v>
      </c>
      <c r="N1297" s="12">
        <f>K1297*J1297</f>
        <v>1798</v>
      </c>
      <c r="O1297" s="12">
        <f>N1297-M1297</f>
        <v>1618.2</v>
      </c>
      <c r="P1297" s="2" t="s">
        <v>45</v>
      </c>
      <c r="Q1297" s="2" t="s">
        <v>18</v>
      </c>
      <c r="R1297" s="2">
        <v>80</v>
      </c>
      <c r="S1297" s="20">
        <f>Table1[[#This Row],[Net_revenue]]/Table1[[#This Row],[Gross_revenue]]*100%</f>
        <v>0.9</v>
      </c>
      <c r="T1297" s="18">
        <f>COUNTIFS(Table1[Customer ID], "&gt;1", Table1[Customer ID], 1)</f>
        <v>0</v>
      </c>
    </row>
    <row r="1298" spans="1:20" hidden="1" x14ac:dyDescent="0.3">
      <c r="A1298" s="2" t="s">
        <v>1960</v>
      </c>
      <c r="B1298" s="5">
        <v>45894</v>
      </c>
      <c r="C1298" s="5" t="str">
        <f>TEXT(B1298,"mmm")</f>
        <v>Aug</v>
      </c>
      <c r="D1298" s="2" t="s">
        <v>349</v>
      </c>
      <c r="E1298" s="2" t="s">
        <v>21</v>
      </c>
      <c r="F1298" s="2" t="str" cm="1">
        <f t="array" ref="F12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298" s="2" t="str" cm="1">
        <f t="array" ref="G12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298" s="2" t="s">
        <v>94</v>
      </c>
      <c r="I1298" s="2" t="s">
        <v>95</v>
      </c>
      <c r="J1298" s="2">
        <v>2</v>
      </c>
      <c r="K1298" s="8">
        <v>399</v>
      </c>
      <c r="L1298" s="3">
        <v>0.1</v>
      </c>
      <c r="M1298" s="12">
        <f>K1298*L1298</f>
        <v>39.900000000000006</v>
      </c>
      <c r="N1298" s="12">
        <f>K1298*J1298</f>
        <v>798</v>
      </c>
      <c r="O1298" s="12">
        <f>N1298-M1298</f>
        <v>758.1</v>
      </c>
      <c r="P1298" s="2" t="s">
        <v>45</v>
      </c>
      <c r="Q1298" s="2" t="s">
        <v>18</v>
      </c>
      <c r="R1298" s="2">
        <v>80</v>
      </c>
      <c r="S1298" s="20">
        <f>Table1[[#This Row],[Net_revenue]]/Table1[[#This Row],[Gross_revenue]]*100%</f>
        <v>0.95000000000000007</v>
      </c>
      <c r="T1298" s="18">
        <f>COUNTIFS(Table1[Customer ID], "&gt;1", Table1[Customer ID], 1)</f>
        <v>0</v>
      </c>
    </row>
    <row r="1299" spans="1:20" hidden="1" x14ac:dyDescent="0.3">
      <c r="A1299" s="2" t="s">
        <v>1961</v>
      </c>
      <c r="B1299" s="5">
        <v>45722</v>
      </c>
      <c r="C1299" s="5" t="str">
        <f>TEXT(B1299,"mmm")</f>
        <v>Mar</v>
      </c>
      <c r="D1299" s="2" t="s">
        <v>469</v>
      </c>
      <c r="E1299" s="2" t="s">
        <v>14</v>
      </c>
      <c r="F1299" s="2" t="str" cm="1">
        <f t="array" ref="F12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299" s="2" t="str" cm="1">
        <f t="array" ref="G12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299" s="2" t="s">
        <v>15</v>
      </c>
      <c r="I1299" s="2" t="s">
        <v>16</v>
      </c>
      <c r="J1299" s="2">
        <v>1</v>
      </c>
      <c r="K1299" s="8">
        <v>1799</v>
      </c>
      <c r="L1299" s="3">
        <v>0</v>
      </c>
      <c r="M1299" s="12">
        <f>K1299*L1299</f>
        <v>0</v>
      </c>
      <c r="N1299" s="12">
        <f>K1299*J1299</f>
        <v>1799</v>
      </c>
      <c r="O1299" s="12">
        <f>N1299-M1299</f>
        <v>1799</v>
      </c>
      <c r="P1299" s="2" t="s">
        <v>45</v>
      </c>
      <c r="Q1299" s="2" t="s">
        <v>18</v>
      </c>
      <c r="R1299" s="2">
        <v>40</v>
      </c>
      <c r="S1299" s="20">
        <f>Table1[[#This Row],[Net_revenue]]/Table1[[#This Row],[Gross_revenue]]*100%</f>
        <v>1</v>
      </c>
      <c r="T1299" s="18">
        <f>COUNTIFS(Table1[Customer ID], "&gt;1", Table1[Customer ID], 1)</f>
        <v>0</v>
      </c>
    </row>
    <row r="1300" spans="1:20" hidden="1" x14ac:dyDescent="0.3">
      <c r="A1300" s="2" t="s">
        <v>1962</v>
      </c>
      <c r="B1300" s="5">
        <v>45769</v>
      </c>
      <c r="C1300" s="5" t="str">
        <f>TEXT(B1300,"mmm")</f>
        <v>Apr</v>
      </c>
      <c r="D1300" s="2" t="s">
        <v>1963</v>
      </c>
      <c r="E1300" s="2" t="s">
        <v>48</v>
      </c>
      <c r="F1300" s="2" t="str" cm="1">
        <f t="array" ref="F13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00" s="2" t="str" cm="1">
        <f t="array" ref="G13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00" s="2" t="s">
        <v>36</v>
      </c>
      <c r="I1300" s="2" t="s">
        <v>37</v>
      </c>
      <c r="J1300" s="2">
        <v>2</v>
      </c>
      <c r="K1300" s="8">
        <v>349</v>
      </c>
      <c r="L1300" s="3">
        <v>0.25</v>
      </c>
      <c r="M1300" s="12">
        <f>K1300*L1300</f>
        <v>87.25</v>
      </c>
      <c r="N1300" s="12">
        <f>K1300*J1300</f>
        <v>698</v>
      </c>
      <c r="O1300" s="12">
        <f>N1300-M1300</f>
        <v>610.75</v>
      </c>
      <c r="P1300" s="2" t="s">
        <v>45</v>
      </c>
      <c r="Q1300" s="2" t="s">
        <v>18</v>
      </c>
      <c r="R1300" s="2">
        <v>40</v>
      </c>
      <c r="S1300" s="20">
        <f>Table1[[#This Row],[Net_revenue]]/Table1[[#This Row],[Gross_revenue]]*100%</f>
        <v>0.875</v>
      </c>
      <c r="T1300" s="18">
        <f>COUNTIFS(Table1[Customer ID], "&gt;1", Table1[Customer ID], 1)</f>
        <v>0</v>
      </c>
    </row>
    <row r="1301" spans="1:20" hidden="1" x14ac:dyDescent="0.3">
      <c r="A1301" s="2" t="s">
        <v>1964</v>
      </c>
      <c r="B1301" s="5">
        <v>45840</v>
      </c>
      <c r="C1301" s="5" t="str">
        <f>TEXT(B1301,"mmm")</f>
        <v>Jul</v>
      </c>
      <c r="D1301" s="2" t="s">
        <v>1965</v>
      </c>
      <c r="E1301" s="2" t="s">
        <v>48</v>
      </c>
      <c r="F1301" s="2" t="str" cm="1">
        <f t="array" ref="F13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01" s="2" t="str" cm="1">
        <f t="array" ref="G13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01" s="2" t="s">
        <v>80</v>
      </c>
      <c r="I1301" s="2" t="s">
        <v>23</v>
      </c>
      <c r="J1301" s="2">
        <v>4</v>
      </c>
      <c r="K1301" s="8">
        <v>799</v>
      </c>
      <c r="L1301" s="3">
        <v>0</v>
      </c>
      <c r="M1301" s="12">
        <f>K1301*L1301</f>
        <v>0</v>
      </c>
      <c r="N1301" s="12">
        <f>K1301*J1301</f>
        <v>3196</v>
      </c>
      <c r="O1301" s="12">
        <f>N1301-M1301</f>
        <v>3196</v>
      </c>
      <c r="P1301" s="2" t="s">
        <v>45</v>
      </c>
      <c r="Q1301" s="2" t="s">
        <v>18</v>
      </c>
      <c r="R1301" s="2">
        <v>40</v>
      </c>
      <c r="S1301" s="20">
        <f>Table1[[#This Row],[Net_revenue]]/Table1[[#This Row],[Gross_revenue]]*100%</f>
        <v>1</v>
      </c>
      <c r="T1301" s="18">
        <f>COUNTIFS(Table1[Customer ID], "&gt;1", Table1[Customer ID], 1)</f>
        <v>0</v>
      </c>
    </row>
    <row r="1302" spans="1:20" hidden="1" x14ac:dyDescent="0.3">
      <c r="A1302" s="2" t="s">
        <v>1966</v>
      </c>
      <c r="B1302" s="5">
        <v>45850</v>
      </c>
      <c r="C1302" s="5" t="str">
        <f>TEXT(B1302,"mmm")</f>
        <v>Jul</v>
      </c>
      <c r="D1302" s="2" t="s">
        <v>869</v>
      </c>
      <c r="E1302" s="2" t="s">
        <v>40</v>
      </c>
      <c r="F1302" s="2" t="str" cm="1">
        <f t="array" ref="F13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02" s="2" t="str" cm="1">
        <f t="array" ref="G13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02" s="2" t="s">
        <v>44</v>
      </c>
      <c r="I1302" s="2" t="s">
        <v>16</v>
      </c>
      <c r="J1302" s="2">
        <v>1</v>
      </c>
      <c r="K1302" s="8">
        <v>1599</v>
      </c>
      <c r="L1302" s="3">
        <v>0.15</v>
      </c>
      <c r="M1302" s="12">
        <f>K1302*L1302</f>
        <v>239.85</v>
      </c>
      <c r="N1302" s="12">
        <f>K1302*J1302</f>
        <v>1599</v>
      </c>
      <c r="O1302" s="12">
        <f>N1302-M1302</f>
        <v>1359.15</v>
      </c>
      <c r="P1302" s="2" t="s">
        <v>45</v>
      </c>
      <c r="Q1302" s="2" t="s">
        <v>18</v>
      </c>
      <c r="R1302" s="2">
        <v>40</v>
      </c>
      <c r="S1302" s="20">
        <f>Table1[[#This Row],[Net_revenue]]/Table1[[#This Row],[Gross_revenue]]*100%</f>
        <v>0.85000000000000009</v>
      </c>
      <c r="T1302" s="18">
        <f>COUNTIFS(Table1[Customer ID], "&gt;1", Table1[Customer ID], 1)</f>
        <v>0</v>
      </c>
    </row>
    <row r="1303" spans="1:20" hidden="1" x14ac:dyDescent="0.3">
      <c r="A1303" s="2" t="s">
        <v>1967</v>
      </c>
      <c r="B1303" s="5">
        <v>45842</v>
      </c>
      <c r="C1303" s="5" t="str">
        <f>TEXT(B1303,"mmm")</f>
        <v>Jul</v>
      </c>
      <c r="D1303" s="2" t="s">
        <v>723</v>
      </c>
      <c r="E1303" s="2" t="s">
        <v>14</v>
      </c>
      <c r="F1303" s="2" t="str" cm="1">
        <f t="array" ref="F13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03" s="2" t="str" cm="1">
        <f t="array" ref="G13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03" s="2" t="s">
        <v>217</v>
      </c>
      <c r="I1303" s="2" t="s">
        <v>29</v>
      </c>
      <c r="J1303" s="2">
        <v>2</v>
      </c>
      <c r="K1303" s="8">
        <v>3299</v>
      </c>
      <c r="L1303" s="3">
        <v>0.1</v>
      </c>
      <c r="M1303" s="12">
        <f>K1303*L1303</f>
        <v>329.90000000000003</v>
      </c>
      <c r="N1303" s="12">
        <f>K1303*J1303</f>
        <v>6598</v>
      </c>
      <c r="O1303" s="12">
        <f>N1303-M1303</f>
        <v>6268.1</v>
      </c>
      <c r="P1303" s="2" t="s">
        <v>17</v>
      </c>
      <c r="Q1303" s="2" t="s">
        <v>18</v>
      </c>
      <c r="R1303" s="2">
        <v>40</v>
      </c>
      <c r="S1303" s="20">
        <f>Table1[[#This Row],[Net_revenue]]/Table1[[#This Row],[Gross_revenue]]*100%</f>
        <v>0.95000000000000007</v>
      </c>
      <c r="T1303" s="18">
        <f>COUNTIFS(Table1[Customer ID], "&gt;1", Table1[Customer ID], 1)</f>
        <v>0</v>
      </c>
    </row>
    <row r="1304" spans="1:20" hidden="1" x14ac:dyDescent="0.3">
      <c r="A1304" s="2" t="s">
        <v>1968</v>
      </c>
      <c r="B1304" s="5">
        <v>45865</v>
      </c>
      <c r="C1304" s="5" t="str">
        <f>TEXT(B1304,"mmm")</f>
        <v>Jul</v>
      </c>
      <c r="D1304" s="2" t="s">
        <v>960</v>
      </c>
      <c r="E1304" s="2" t="s">
        <v>40</v>
      </c>
      <c r="F1304" s="2" t="str" cm="1">
        <f t="array" ref="F13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04" s="2" t="str" cm="1">
        <f t="array" ref="G13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04" s="2" t="s">
        <v>134</v>
      </c>
      <c r="I1304" s="2" t="s">
        <v>29</v>
      </c>
      <c r="J1304" s="2">
        <v>1</v>
      </c>
      <c r="K1304" s="8">
        <v>1499</v>
      </c>
      <c r="L1304" s="3">
        <v>0.2</v>
      </c>
      <c r="M1304" s="12">
        <f>K1304*L1304</f>
        <v>299.8</v>
      </c>
      <c r="N1304" s="12">
        <f>K1304*J1304</f>
        <v>1499</v>
      </c>
      <c r="O1304" s="12">
        <f>N1304-M1304</f>
        <v>1199.2</v>
      </c>
      <c r="P1304" s="2" t="s">
        <v>24</v>
      </c>
      <c r="Q1304" s="2" t="s">
        <v>18</v>
      </c>
      <c r="R1304" s="2">
        <v>60</v>
      </c>
      <c r="S1304" s="20">
        <f>Table1[[#This Row],[Net_revenue]]/Table1[[#This Row],[Gross_revenue]]*100%</f>
        <v>0.8</v>
      </c>
      <c r="T1304" s="18">
        <f>COUNTIFS(Table1[Customer ID], "&gt;1", Table1[Customer ID], 1)</f>
        <v>0</v>
      </c>
    </row>
    <row r="1305" spans="1:20" hidden="1" x14ac:dyDescent="0.3">
      <c r="A1305" s="2" t="s">
        <v>1969</v>
      </c>
      <c r="B1305" s="5">
        <v>45689</v>
      </c>
      <c r="C1305" s="5" t="str">
        <f>TEXT(B1305,"mmm")</f>
        <v>Feb</v>
      </c>
      <c r="D1305" s="2" t="s">
        <v>1228</v>
      </c>
      <c r="E1305" s="2" t="s">
        <v>21</v>
      </c>
      <c r="F1305" s="2" t="str" cm="1">
        <f t="array" ref="F13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05" s="2" t="str" cm="1">
        <f t="array" ref="G13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05" s="2" t="s">
        <v>68</v>
      </c>
      <c r="I1305" s="2" t="s">
        <v>16</v>
      </c>
      <c r="J1305" s="2">
        <v>2</v>
      </c>
      <c r="K1305" s="8">
        <v>599</v>
      </c>
      <c r="L1305" s="3">
        <v>0.15</v>
      </c>
      <c r="M1305" s="12">
        <f>K1305*L1305</f>
        <v>89.85</v>
      </c>
      <c r="N1305" s="12">
        <f>K1305*J1305</f>
        <v>1198</v>
      </c>
      <c r="O1305" s="12">
        <f>N1305-M1305</f>
        <v>1108.1500000000001</v>
      </c>
      <c r="P1305" s="2" t="s">
        <v>30</v>
      </c>
      <c r="Q1305" s="2" t="s">
        <v>18</v>
      </c>
      <c r="R1305" s="2">
        <v>0</v>
      </c>
      <c r="S1305" s="20">
        <f>Table1[[#This Row],[Net_revenue]]/Table1[[#This Row],[Gross_revenue]]*100%</f>
        <v>0.92500000000000004</v>
      </c>
      <c r="T1305" s="18">
        <f>COUNTIFS(Table1[Customer ID], "&gt;1", Table1[Customer ID], 1)</f>
        <v>0</v>
      </c>
    </row>
    <row r="1306" spans="1:20" hidden="1" x14ac:dyDescent="0.3">
      <c r="A1306" s="2" t="s">
        <v>1970</v>
      </c>
      <c r="B1306" s="5">
        <v>45765</v>
      </c>
      <c r="C1306" s="5" t="str">
        <f>TEXT(B1306,"mmm")</f>
        <v>Apr</v>
      </c>
      <c r="D1306" s="2" t="s">
        <v>750</v>
      </c>
      <c r="E1306" s="2" t="s">
        <v>40</v>
      </c>
      <c r="F1306" s="2" t="str" cm="1">
        <f t="array" ref="F13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06" s="2" t="str" cm="1">
        <f t="array" ref="G13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06" s="2" t="s">
        <v>183</v>
      </c>
      <c r="I1306" s="2" t="s">
        <v>37</v>
      </c>
      <c r="J1306" s="2">
        <v>1</v>
      </c>
      <c r="K1306" s="8">
        <v>499</v>
      </c>
      <c r="L1306" s="3">
        <v>0.15</v>
      </c>
      <c r="M1306" s="12">
        <f>K1306*L1306</f>
        <v>74.849999999999994</v>
      </c>
      <c r="N1306" s="12">
        <f>K1306*J1306</f>
        <v>499</v>
      </c>
      <c r="O1306" s="12">
        <f>N1306-M1306</f>
        <v>424.15</v>
      </c>
      <c r="P1306" s="2" t="s">
        <v>17</v>
      </c>
      <c r="Q1306" s="2" t="s">
        <v>18</v>
      </c>
      <c r="R1306" s="2">
        <v>0</v>
      </c>
      <c r="S1306" s="20">
        <f>Table1[[#This Row],[Net_revenue]]/Table1[[#This Row],[Gross_revenue]]*100%</f>
        <v>0.85</v>
      </c>
      <c r="T1306" s="18">
        <f>COUNTIFS(Table1[Customer ID], "&gt;1", Table1[Customer ID], 1)</f>
        <v>0</v>
      </c>
    </row>
    <row r="1307" spans="1:20" hidden="1" x14ac:dyDescent="0.3">
      <c r="A1307" s="2" t="s">
        <v>1971</v>
      </c>
      <c r="B1307" s="5">
        <v>45810</v>
      </c>
      <c r="C1307" s="5" t="str">
        <f>TEXT(B1307,"mmm")</f>
        <v>Jun</v>
      </c>
      <c r="D1307" s="2" t="s">
        <v>407</v>
      </c>
      <c r="E1307" s="2" t="s">
        <v>40</v>
      </c>
      <c r="F1307" s="2" t="str" cm="1">
        <f t="array" ref="F13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07" s="2" t="str" cm="1">
        <f t="array" ref="G13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07" s="2" t="s">
        <v>41</v>
      </c>
      <c r="I1307" s="2" t="s">
        <v>16</v>
      </c>
      <c r="J1307" s="2">
        <v>1</v>
      </c>
      <c r="K1307" s="8">
        <v>2299</v>
      </c>
      <c r="L1307" s="3">
        <v>0.15</v>
      </c>
      <c r="M1307" s="12">
        <f>K1307*L1307</f>
        <v>344.84999999999997</v>
      </c>
      <c r="N1307" s="12">
        <f>K1307*J1307</f>
        <v>2299</v>
      </c>
      <c r="O1307" s="12">
        <f>N1307-M1307</f>
        <v>1954.15</v>
      </c>
      <c r="P1307" s="2" t="s">
        <v>45</v>
      </c>
      <c r="Q1307" s="2" t="s">
        <v>50</v>
      </c>
      <c r="R1307" s="2">
        <v>40</v>
      </c>
      <c r="S1307" s="20">
        <f>Table1[[#This Row],[Net_revenue]]/Table1[[#This Row],[Gross_revenue]]*100%</f>
        <v>0.85000000000000009</v>
      </c>
      <c r="T1307" s="18">
        <f>COUNTIFS(Table1[Customer ID], "&gt;1", Table1[Customer ID], 1)</f>
        <v>0</v>
      </c>
    </row>
    <row r="1308" spans="1:20" hidden="1" x14ac:dyDescent="0.3">
      <c r="A1308" s="2" t="s">
        <v>1972</v>
      </c>
      <c r="B1308" s="5">
        <v>45988</v>
      </c>
      <c r="C1308" s="5" t="str">
        <f>TEXT(B1308,"mmm")</f>
        <v>Nov</v>
      </c>
      <c r="D1308" s="2" t="s">
        <v>1973</v>
      </c>
      <c r="E1308" s="2" t="s">
        <v>21</v>
      </c>
      <c r="F1308" s="2" t="str" cm="1">
        <f t="array" ref="F13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08" s="2" t="str" cm="1">
        <f t="array" ref="G13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08" s="2" t="s">
        <v>33</v>
      </c>
      <c r="I1308" s="2" t="s">
        <v>16</v>
      </c>
      <c r="J1308" s="2">
        <v>1</v>
      </c>
      <c r="K1308" s="8">
        <v>899</v>
      </c>
      <c r="L1308" s="3">
        <v>0.1</v>
      </c>
      <c r="M1308" s="12">
        <f>K1308*L1308</f>
        <v>89.9</v>
      </c>
      <c r="N1308" s="12">
        <f>K1308*J1308</f>
        <v>899</v>
      </c>
      <c r="O1308" s="12">
        <f>N1308-M1308</f>
        <v>809.1</v>
      </c>
      <c r="P1308" s="2" t="s">
        <v>30</v>
      </c>
      <c r="Q1308" s="2" t="s">
        <v>18</v>
      </c>
      <c r="R1308" s="2">
        <v>60</v>
      </c>
      <c r="S1308" s="20">
        <f>Table1[[#This Row],[Net_revenue]]/Table1[[#This Row],[Gross_revenue]]*100%</f>
        <v>0.9</v>
      </c>
      <c r="T1308" s="18">
        <f>COUNTIFS(Table1[Customer ID], "&gt;1", Table1[Customer ID], 1)</f>
        <v>0</v>
      </c>
    </row>
    <row r="1309" spans="1:20" hidden="1" x14ac:dyDescent="0.3">
      <c r="A1309" s="2" t="s">
        <v>1974</v>
      </c>
      <c r="B1309" s="5">
        <v>45893</v>
      </c>
      <c r="C1309" s="5" t="str">
        <f>TEXT(B1309,"mmm")</f>
        <v>Aug</v>
      </c>
      <c r="D1309" s="2" t="s">
        <v>82</v>
      </c>
      <c r="E1309" s="2" t="s">
        <v>75</v>
      </c>
      <c r="F1309" s="2" t="str" cm="1">
        <f t="array" ref="F13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09" s="2" t="str" cm="1">
        <f t="array" ref="G13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09" s="2" t="s">
        <v>49</v>
      </c>
      <c r="I1309" s="2" t="s">
        <v>23</v>
      </c>
      <c r="J1309" s="2">
        <v>1</v>
      </c>
      <c r="K1309" s="8">
        <v>1299</v>
      </c>
      <c r="L1309" s="3">
        <v>0.15</v>
      </c>
      <c r="M1309" s="12">
        <f>K1309*L1309</f>
        <v>194.85</v>
      </c>
      <c r="N1309" s="12">
        <f>K1309*J1309</f>
        <v>1299</v>
      </c>
      <c r="O1309" s="12">
        <f>N1309-M1309</f>
        <v>1104.1500000000001</v>
      </c>
      <c r="P1309" s="2" t="s">
        <v>30</v>
      </c>
      <c r="Q1309" s="2" t="s">
        <v>18</v>
      </c>
      <c r="R1309" s="2">
        <v>80</v>
      </c>
      <c r="S1309" s="20">
        <f>Table1[[#This Row],[Net_revenue]]/Table1[[#This Row],[Gross_revenue]]*100%</f>
        <v>0.85000000000000009</v>
      </c>
      <c r="T1309" s="18">
        <f>COUNTIFS(Table1[Customer ID], "&gt;1", Table1[Customer ID], 1)</f>
        <v>0</v>
      </c>
    </row>
    <row r="1310" spans="1:20" hidden="1" x14ac:dyDescent="0.3">
      <c r="A1310" s="2" t="s">
        <v>1975</v>
      </c>
      <c r="B1310" s="5">
        <v>45849</v>
      </c>
      <c r="C1310" s="5" t="str">
        <f>TEXT(B1310,"mmm")</f>
        <v>Jul</v>
      </c>
      <c r="D1310" s="2" t="s">
        <v>79</v>
      </c>
      <c r="E1310" s="2" t="s">
        <v>195</v>
      </c>
      <c r="F1310" s="2" t="str" cm="1">
        <f t="array" ref="F13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310" s="2" t="str" cm="1">
        <f t="array" ref="G13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10" s="2" t="s">
        <v>89</v>
      </c>
      <c r="I1310" s="2" t="s">
        <v>29</v>
      </c>
      <c r="J1310" s="2">
        <v>4</v>
      </c>
      <c r="K1310" s="8">
        <v>449</v>
      </c>
      <c r="L1310" s="3">
        <v>0</v>
      </c>
      <c r="M1310" s="12">
        <f>K1310*L1310</f>
        <v>0</v>
      </c>
      <c r="N1310" s="12">
        <f>K1310*J1310</f>
        <v>1796</v>
      </c>
      <c r="O1310" s="12">
        <f>N1310-M1310</f>
        <v>1796</v>
      </c>
      <c r="P1310" s="2" t="s">
        <v>17</v>
      </c>
      <c r="Q1310" s="2" t="s">
        <v>18</v>
      </c>
      <c r="R1310" s="2">
        <v>40</v>
      </c>
      <c r="S1310" s="20">
        <f>Table1[[#This Row],[Net_revenue]]/Table1[[#This Row],[Gross_revenue]]*100%</f>
        <v>1</v>
      </c>
      <c r="T1310" s="18">
        <f>COUNTIFS(Table1[Customer ID], "&gt;1", Table1[Customer ID], 1)</f>
        <v>0</v>
      </c>
    </row>
    <row r="1311" spans="1:20" hidden="1" x14ac:dyDescent="0.3">
      <c r="A1311" s="2" t="s">
        <v>1976</v>
      </c>
      <c r="B1311" s="5">
        <v>45742</v>
      </c>
      <c r="C1311" s="5" t="str">
        <f>TEXT(B1311,"mmm")</f>
        <v>Mar</v>
      </c>
      <c r="D1311" s="2" t="s">
        <v>1977</v>
      </c>
      <c r="E1311" s="2" t="s">
        <v>48</v>
      </c>
      <c r="F1311" s="2" t="str" cm="1">
        <f t="array" ref="F13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11" s="2" t="str" cm="1">
        <f t="array" ref="G13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11" s="2" t="s">
        <v>22</v>
      </c>
      <c r="I1311" s="2" t="s">
        <v>23</v>
      </c>
      <c r="J1311" s="2">
        <v>1</v>
      </c>
      <c r="K1311" s="8">
        <v>3999</v>
      </c>
      <c r="L1311" s="3">
        <v>0</v>
      </c>
      <c r="M1311" s="12">
        <f>K1311*L1311</f>
        <v>0</v>
      </c>
      <c r="N1311" s="12">
        <f>K1311*J1311</f>
        <v>3999</v>
      </c>
      <c r="O1311" s="12">
        <f>N1311-M1311</f>
        <v>3999</v>
      </c>
      <c r="P1311" s="2" t="s">
        <v>45</v>
      </c>
      <c r="Q1311" s="2" t="s">
        <v>18</v>
      </c>
      <c r="R1311" s="2">
        <v>40</v>
      </c>
      <c r="S1311" s="20">
        <f>Table1[[#This Row],[Net_revenue]]/Table1[[#This Row],[Gross_revenue]]*100%</f>
        <v>1</v>
      </c>
      <c r="T1311" s="18">
        <f>COUNTIFS(Table1[Customer ID], "&gt;1", Table1[Customer ID], 1)</f>
        <v>0</v>
      </c>
    </row>
    <row r="1312" spans="1:20" hidden="1" x14ac:dyDescent="0.3">
      <c r="A1312" s="2" t="s">
        <v>1978</v>
      </c>
      <c r="B1312" s="5">
        <v>45827</v>
      </c>
      <c r="C1312" s="5" t="str">
        <f>TEXT(B1312,"mmm")</f>
        <v>Jun</v>
      </c>
      <c r="D1312" s="2" t="s">
        <v>632</v>
      </c>
      <c r="E1312" s="2" t="s">
        <v>48</v>
      </c>
      <c r="F1312" s="2" t="str" cm="1">
        <f t="array" ref="F13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12" s="2" t="str" cm="1">
        <f t="array" ref="G13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12" s="2" t="s">
        <v>65</v>
      </c>
      <c r="I1312" s="2" t="s">
        <v>23</v>
      </c>
      <c r="J1312" s="2">
        <v>1</v>
      </c>
      <c r="K1312" s="8">
        <v>1899</v>
      </c>
      <c r="L1312" s="3">
        <v>0.1</v>
      </c>
      <c r="M1312" s="12">
        <f>K1312*L1312</f>
        <v>189.9</v>
      </c>
      <c r="N1312" s="12">
        <f>K1312*J1312</f>
        <v>1899</v>
      </c>
      <c r="O1312" s="12">
        <f>N1312-M1312</f>
        <v>1709.1</v>
      </c>
      <c r="P1312" s="2" t="s">
        <v>17</v>
      </c>
      <c r="Q1312" s="2" t="s">
        <v>18</v>
      </c>
      <c r="R1312" s="2">
        <v>80</v>
      </c>
      <c r="S1312" s="20">
        <f>Table1[[#This Row],[Net_revenue]]/Table1[[#This Row],[Gross_revenue]]*100%</f>
        <v>0.89999999999999991</v>
      </c>
      <c r="T1312" s="18">
        <f>COUNTIFS(Table1[Customer ID], "&gt;1", Table1[Customer ID], 1)</f>
        <v>0</v>
      </c>
    </row>
    <row r="1313" spans="1:20" hidden="1" x14ac:dyDescent="0.3">
      <c r="A1313" s="2" t="s">
        <v>1979</v>
      </c>
      <c r="B1313" s="5">
        <v>45826</v>
      </c>
      <c r="C1313" s="5" t="str">
        <f>TEXT(B1313,"mmm")</f>
        <v>Jun</v>
      </c>
      <c r="D1313" s="2" t="s">
        <v>1206</v>
      </c>
      <c r="E1313" s="2" t="s">
        <v>40</v>
      </c>
      <c r="F1313" s="2" t="str" cm="1">
        <f t="array" ref="F13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13" s="2" t="str" cm="1">
        <f t="array" ref="G13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13" s="2" t="s">
        <v>41</v>
      </c>
      <c r="I1313" s="2" t="s">
        <v>16</v>
      </c>
      <c r="J1313" s="2">
        <v>1</v>
      </c>
      <c r="K1313" s="8">
        <v>2299</v>
      </c>
      <c r="L1313" s="3">
        <v>0.05</v>
      </c>
      <c r="M1313" s="12">
        <f>K1313*L1313</f>
        <v>114.95</v>
      </c>
      <c r="N1313" s="12">
        <f>K1313*J1313</f>
        <v>2299</v>
      </c>
      <c r="O1313" s="12">
        <f>N1313-M1313</f>
        <v>2184.0500000000002</v>
      </c>
      <c r="P1313" s="2" t="s">
        <v>30</v>
      </c>
      <c r="Q1313" s="2" t="s">
        <v>18</v>
      </c>
      <c r="R1313" s="2">
        <v>80</v>
      </c>
      <c r="S1313" s="20">
        <f>Table1[[#This Row],[Net_revenue]]/Table1[[#This Row],[Gross_revenue]]*100%</f>
        <v>0.95000000000000007</v>
      </c>
      <c r="T1313" s="18">
        <f>COUNTIFS(Table1[Customer ID], "&gt;1", Table1[Customer ID], 1)</f>
        <v>0</v>
      </c>
    </row>
    <row r="1314" spans="1:20" hidden="1" x14ac:dyDescent="0.3">
      <c r="A1314" s="2" t="s">
        <v>1980</v>
      </c>
      <c r="B1314" s="5">
        <v>45870</v>
      </c>
      <c r="C1314" s="5" t="str">
        <f>TEXT(B1314,"mmm")</f>
        <v>Aug</v>
      </c>
      <c r="D1314" s="2" t="s">
        <v>339</v>
      </c>
      <c r="E1314" s="2" t="s">
        <v>40</v>
      </c>
      <c r="F1314" s="2" t="str" cm="1">
        <f t="array" ref="F13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14" s="2" t="str" cm="1">
        <f t="array" ref="G13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14" s="2" t="s">
        <v>80</v>
      </c>
      <c r="I1314" s="2" t="s">
        <v>23</v>
      </c>
      <c r="J1314" s="2">
        <v>1</v>
      </c>
      <c r="K1314" s="8">
        <v>799</v>
      </c>
      <c r="L1314" s="3">
        <v>0</v>
      </c>
      <c r="M1314" s="12">
        <f>K1314*L1314</f>
        <v>0</v>
      </c>
      <c r="N1314" s="12">
        <f>K1314*J1314</f>
        <v>799</v>
      </c>
      <c r="O1314" s="12">
        <f>N1314-M1314</f>
        <v>799</v>
      </c>
      <c r="P1314" s="2" t="s">
        <v>17</v>
      </c>
      <c r="Q1314" s="2" t="s">
        <v>18</v>
      </c>
      <c r="R1314" s="2">
        <v>80</v>
      </c>
      <c r="S1314" s="20">
        <f>Table1[[#This Row],[Net_revenue]]/Table1[[#This Row],[Gross_revenue]]*100%</f>
        <v>1</v>
      </c>
      <c r="T1314" s="18">
        <f>COUNTIFS(Table1[Customer ID], "&gt;1", Table1[Customer ID], 1)</f>
        <v>0</v>
      </c>
    </row>
    <row r="1315" spans="1:20" hidden="1" x14ac:dyDescent="0.3">
      <c r="A1315" s="2" t="s">
        <v>1981</v>
      </c>
      <c r="B1315" s="5">
        <v>45987</v>
      </c>
      <c r="C1315" s="5" t="str">
        <f>TEXT(B1315,"mmm")</f>
        <v>Nov</v>
      </c>
      <c r="D1315" s="2" t="s">
        <v>1192</v>
      </c>
      <c r="E1315" s="2" t="s">
        <v>21</v>
      </c>
      <c r="F1315" s="2" t="str" cm="1">
        <f t="array" ref="F13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15" s="2" t="str" cm="1">
        <f t="array" ref="G13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15" s="2" t="s">
        <v>71</v>
      </c>
      <c r="I1315" s="2" t="s">
        <v>29</v>
      </c>
      <c r="J1315" s="2">
        <v>1</v>
      </c>
      <c r="K1315" s="8">
        <v>5499</v>
      </c>
      <c r="L1315" s="3">
        <v>0.15</v>
      </c>
      <c r="M1315" s="12">
        <f>K1315*L1315</f>
        <v>824.85</v>
      </c>
      <c r="N1315" s="12">
        <f>K1315*J1315</f>
        <v>5499</v>
      </c>
      <c r="O1315" s="12">
        <f>N1315-M1315</f>
        <v>4674.1499999999996</v>
      </c>
      <c r="P1315" s="2" t="s">
        <v>45</v>
      </c>
      <c r="Q1315" s="2" t="s">
        <v>18</v>
      </c>
      <c r="R1315" s="2">
        <v>40</v>
      </c>
      <c r="S1315" s="20">
        <f>Table1[[#This Row],[Net_revenue]]/Table1[[#This Row],[Gross_revenue]]*100%</f>
        <v>0.85</v>
      </c>
      <c r="T1315" s="18">
        <f>COUNTIFS(Table1[Customer ID], "&gt;1", Table1[Customer ID], 1)</f>
        <v>0</v>
      </c>
    </row>
    <row r="1316" spans="1:20" hidden="1" x14ac:dyDescent="0.3">
      <c r="A1316" s="2" t="s">
        <v>1982</v>
      </c>
      <c r="B1316" s="5">
        <v>45809</v>
      </c>
      <c r="C1316" s="5" t="str">
        <f>TEXT(B1316,"mmm")</f>
        <v>Jun</v>
      </c>
      <c r="D1316" s="2" t="s">
        <v>811</v>
      </c>
      <c r="E1316" s="2" t="s">
        <v>21</v>
      </c>
      <c r="F1316" s="2" t="str" cm="1">
        <f t="array" ref="F13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16" s="2" t="str" cm="1">
        <f t="array" ref="G13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16" s="2" t="s">
        <v>80</v>
      </c>
      <c r="I1316" s="2" t="s">
        <v>23</v>
      </c>
      <c r="J1316" s="2">
        <v>2</v>
      </c>
      <c r="K1316" s="8">
        <v>799</v>
      </c>
      <c r="L1316" s="3">
        <v>0.1</v>
      </c>
      <c r="M1316" s="12">
        <f>K1316*L1316</f>
        <v>79.900000000000006</v>
      </c>
      <c r="N1316" s="12">
        <f>K1316*J1316</f>
        <v>1598</v>
      </c>
      <c r="O1316" s="12">
        <f>N1316-M1316</f>
        <v>1518.1</v>
      </c>
      <c r="P1316" s="2" t="s">
        <v>17</v>
      </c>
      <c r="Q1316" s="2" t="s">
        <v>18</v>
      </c>
      <c r="R1316" s="2">
        <v>40</v>
      </c>
      <c r="S1316" s="20">
        <f>Table1[[#This Row],[Net_revenue]]/Table1[[#This Row],[Gross_revenue]]*100%</f>
        <v>0.95</v>
      </c>
      <c r="T1316" s="18">
        <f>COUNTIFS(Table1[Customer ID], "&gt;1", Table1[Customer ID], 1)</f>
        <v>0</v>
      </c>
    </row>
    <row r="1317" spans="1:20" hidden="1" x14ac:dyDescent="0.3">
      <c r="A1317" s="2" t="s">
        <v>1983</v>
      </c>
      <c r="B1317" s="5">
        <v>45894</v>
      </c>
      <c r="C1317" s="5" t="str">
        <f>TEXT(B1317,"mmm")</f>
        <v>Aug</v>
      </c>
      <c r="D1317" s="2" t="s">
        <v>1707</v>
      </c>
      <c r="E1317" s="2" t="s">
        <v>48</v>
      </c>
      <c r="F1317" s="2" t="str" cm="1">
        <f t="array" ref="F13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17" s="2" t="str" cm="1">
        <f t="array" ref="G13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17" s="2" t="s">
        <v>41</v>
      </c>
      <c r="I1317" s="2" t="s">
        <v>16</v>
      </c>
      <c r="J1317" s="2">
        <v>3</v>
      </c>
      <c r="K1317" s="8">
        <v>2299</v>
      </c>
      <c r="L1317" s="3">
        <v>0.15</v>
      </c>
      <c r="M1317" s="12">
        <f>K1317*L1317</f>
        <v>344.84999999999997</v>
      </c>
      <c r="N1317" s="12">
        <f>K1317*J1317</f>
        <v>6897</v>
      </c>
      <c r="O1317" s="12">
        <f>N1317-M1317</f>
        <v>6552.15</v>
      </c>
      <c r="P1317" s="2" t="s">
        <v>30</v>
      </c>
      <c r="Q1317" s="2" t="s">
        <v>18</v>
      </c>
      <c r="R1317" s="2">
        <v>40</v>
      </c>
      <c r="S1317" s="20">
        <f>Table1[[#This Row],[Net_revenue]]/Table1[[#This Row],[Gross_revenue]]*100%</f>
        <v>0.95</v>
      </c>
      <c r="T1317" s="18">
        <f>COUNTIFS(Table1[Customer ID], "&gt;1", Table1[Customer ID], 1)</f>
        <v>0</v>
      </c>
    </row>
    <row r="1318" spans="1:20" hidden="1" x14ac:dyDescent="0.3">
      <c r="A1318" s="2" t="s">
        <v>1984</v>
      </c>
      <c r="B1318" s="5">
        <v>45895</v>
      </c>
      <c r="C1318" s="5" t="str">
        <f>TEXT(B1318,"mmm")</f>
        <v>Aug</v>
      </c>
      <c r="D1318" s="2" t="s">
        <v>205</v>
      </c>
      <c r="E1318" s="2" t="s">
        <v>48</v>
      </c>
      <c r="F1318" s="2" t="str" cm="1">
        <f t="array" ref="F13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18" s="2" t="str" cm="1">
        <f t="array" ref="G13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18" s="2" t="s">
        <v>36</v>
      </c>
      <c r="I1318" s="2" t="s">
        <v>37</v>
      </c>
      <c r="J1318" s="2">
        <v>1</v>
      </c>
      <c r="K1318" s="8">
        <v>349</v>
      </c>
      <c r="L1318" s="3">
        <v>0.15</v>
      </c>
      <c r="M1318" s="12">
        <f>K1318*L1318</f>
        <v>52.35</v>
      </c>
      <c r="N1318" s="12">
        <f>K1318*J1318</f>
        <v>349</v>
      </c>
      <c r="O1318" s="12">
        <f>N1318-M1318</f>
        <v>296.64999999999998</v>
      </c>
      <c r="P1318" s="2" t="s">
        <v>30</v>
      </c>
      <c r="Q1318" s="2" t="s">
        <v>18</v>
      </c>
      <c r="R1318" s="2">
        <v>80</v>
      </c>
      <c r="S1318" s="20">
        <f>Table1[[#This Row],[Net_revenue]]/Table1[[#This Row],[Gross_revenue]]*100%</f>
        <v>0.85</v>
      </c>
      <c r="T1318" s="18">
        <f>COUNTIFS(Table1[Customer ID], "&gt;1", Table1[Customer ID], 1)</f>
        <v>0</v>
      </c>
    </row>
    <row r="1319" spans="1:20" hidden="1" x14ac:dyDescent="0.3">
      <c r="A1319" s="2" t="s">
        <v>1985</v>
      </c>
      <c r="B1319" s="5">
        <v>45675</v>
      </c>
      <c r="C1319" s="5" t="str">
        <f>TEXT(B1319,"mmm")</f>
        <v>Jan</v>
      </c>
      <c r="D1319" s="2" t="s">
        <v>1543</v>
      </c>
      <c r="E1319" s="2" t="s">
        <v>21</v>
      </c>
      <c r="F1319" s="2" t="str" cm="1">
        <f t="array" ref="F13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19" s="2" t="str" cm="1">
        <f t="array" ref="G13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19" s="2" t="s">
        <v>121</v>
      </c>
      <c r="I1319" s="2" t="s">
        <v>95</v>
      </c>
      <c r="J1319" s="2">
        <v>1</v>
      </c>
      <c r="K1319" s="8">
        <v>1299</v>
      </c>
      <c r="L1319" s="3">
        <v>0</v>
      </c>
      <c r="M1319" s="12">
        <f>K1319*L1319</f>
        <v>0</v>
      </c>
      <c r="N1319" s="12">
        <f>K1319*J1319</f>
        <v>1299</v>
      </c>
      <c r="O1319" s="12">
        <f>N1319-M1319</f>
        <v>1299</v>
      </c>
      <c r="P1319" s="2" t="s">
        <v>30</v>
      </c>
      <c r="Q1319" s="2" t="s">
        <v>18</v>
      </c>
      <c r="R1319" s="2">
        <v>0</v>
      </c>
      <c r="S1319" s="20">
        <f>Table1[[#This Row],[Net_revenue]]/Table1[[#This Row],[Gross_revenue]]*100%</f>
        <v>1</v>
      </c>
      <c r="T1319" s="18">
        <f>COUNTIFS(Table1[Customer ID], "&gt;1", Table1[Customer ID], 1)</f>
        <v>0</v>
      </c>
    </row>
    <row r="1320" spans="1:20" hidden="1" x14ac:dyDescent="0.3">
      <c r="A1320" s="2" t="s">
        <v>1986</v>
      </c>
      <c r="B1320" s="5">
        <v>45683</v>
      </c>
      <c r="C1320" s="5" t="str">
        <f>TEXT(B1320,"mmm")</f>
        <v>Jan</v>
      </c>
      <c r="D1320" s="2" t="s">
        <v>1097</v>
      </c>
      <c r="E1320" s="2" t="s">
        <v>53</v>
      </c>
      <c r="F1320" s="2" t="str" cm="1">
        <f t="array" ref="F13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320" s="2" t="str" cm="1">
        <f t="array" ref="G13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20" s="2" t="s">
        <v>117</v>
      </c>
      <c r="I1320" s="2" t="s">
        <v>23</v>
      </c>
      <c r="J1320" s="2">
        <v>3</v>
      </c>
      <c r="K1320" s="8">
        <v>2199</v>
      </c>
      <c r="L1320" s="3">
        <v>0.2</v>
      </c>
      <c r="M1320" s="12">
        <f>K1320*L1320</f>
        <v>439.8</v>
      </c>
      <c r="N1320" s="12">
        <f>K1320*J1320</f>
        <v>6597</v>
      </c>
      <c r="O1320" s="12">
        <f>N1320-M1320</f>
        <v>6157.2</v>
      </c>
      <c r="P1320" s="2" t="s">
        <v>17</v>
      </c>
      <c r="Q1320" s="2" t="s">
        <v>18</v>
      </c>
      <c r="R1320" s="2">
        <v>0</v>
      </c>
      <c r="S1320" s="20">
        <f>Table1[[#This Row],[Net_revenue]]/Table1[[#This Row],[Gross_revenue]]*100%</f>
        <v>0.93333333333333335</v>
      </c>
      <c r="T1320" s="18">
        <f>COUNTIFS(Table1[Customer ID], "&gt;1", Table1[Customer ID], 1)</f>
        <v>0</v>
      </c>
    </row>
    <row r="1321" spans="1:20" hidden="1" x14ac:dyDescent="0.3">
      <c r="A1321" s="2" t="s">
        <v>1987</v>
      </c>
      <c r="B1321" s="5">
        <v>45699</v>
      </c>
      <c r="C1321" s="5" t="str">
        <f>TEXT(B1321,"mmm")</f>
        <v>Feb</v>
      </c>
      <c r="D1321" s="2" t="s">
        <v>834</v>
      </c>
      <c r="E1321" s="2" t="s">
        <v>21</v>
      </c>
      <c r="F1321" s="2" t="str" cm="1">
        <f t="array" ref="F13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21" s="2" t="str" cm="1">
        <f t="array" ref="G13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21" s="2" t="s">
        <v>44</v>
      </c>
      <c r="I1321" s="2" t="s">
        <v>16</v>
      </c>
      <c r="J1321" s="2">
        <v>1</v>
      </c>
      <c r="K1321" s="8">
        <v>1599</v>
      </c>
      <c r="L1321" s="3">
        <v>0.15</v>
      </c>
      <c r="M1321" s="12">
        <f>K1321*L1321</f>
        <v>239.85</v>
      </c>
      <c r="N1321" s="12">
        <f>K1321*J1321</f>
        <v>1599</v>
      </c>
      <c r="O1321" s="12">
        <f>N1321-M1321</f>
        <v>1359.15</v>
      </c>
      <c r="P1321" s="2" t="s">
        <v>17</v>
      </c>
      <c r="Q1321" s="2" t="s">
        <v>18</v>
      </c>
      <c r="R1321" s="2">
        <v>40</v>
      </c>
      <c r="S1321" s="20">
        <f>Table1[[#This Row],[Net_revenue]]/Table1[[#This Row],[Gross_revenue]]*100%</f>
        <v>0.85000000000000009</v>
      </c>
      <c r="T1321" s="18">
        <f>COUNTIFS(Table1[Customer ID], "&gt;1", Table1[Customer ID], 1)</f>
        <v>0</v>
      </c>
    </row>
    <row r="1322" spans="1:20" hidden="1" x14ac:dyDescent="0.3">
      <c r="A1322" s="2" t="s">
        <v>1988</v>
      </c>
      <c r="B1322" s="5">
        <v>46019</v>
      </c>
      <c r="C1322" s="5" t="str">
        <f>TEXT(B1322,"mmm")</f>
        <v>Dec</v>
      </c>
      <c r="D1322" s="2" t="s">
        <v>389</v>
      </c>
      <c r="E1322" s="2" t="s">
        <v>56</v>
      </c>
      <c r="F1322" s="2" t="str" cm="1">
        <f t="array" ref="F13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22" s="2" t="str" cm="1">
        <f t="array" ref="G13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22" s="2" t="s">
        <v>217</v>
      </c>
      <c r="I1322" s="2" t="s">
        <v>29</v>
      </c>
      <c r="J1322" s="2">
        <v>1</v>
      </c>
      <c r="K1322" s="8">
        <v>3299</v>
      </c>
      <c r="L1322" s="3">
        <v>0.15</v>
      </c>
      <c r="M1322" s="12">
        <f>K1322*L1322</f>
        <v>494.84999999999997</v>
      </c>
      <c r="N1322" s="12">
        <f>K1322*J1322</f>
        <v>3299</v>
      </c>
      <c r="O1322" s="12">
        <f>N1322-M1322</f>
        <v>2804.15</v>
      </c>
      <c r="P1322" s="2" t="s">
        <v>17</v>
      </c>
      <c r="Q1322" s="2" t="s">
        <v>18</v>
      </c>
      <c r="R1322" s="2">
        <v>0</v>
      </c>
      <c r="S1322" s="20">
        <f>Table1[[#This Row],[Net_revenue]]/Table1[[#This Row],[Gross_revenue]]*100%</f>
        <v>0.85</v>
      </c>
      <c r="T1322" s="18">
        <f>COUNTIFS(Table1[Customer ID], "&gt;1", Table1[Customer ID], 1)</f>
        <v>0</v>
      </c>
    </row>
    <row r="1323" spans="1:20" hidden="1" x14ac:dyDescent="0.3">
      <c r="A1323" s="2" t="s">
        <v>1989</v>
      </c>
      <c r="B1323" s="5">
        <v>45747</v>
      </c>
      <c r="C1323" s="5" t="str">
        <f>TEXT(B1323,"mmm")</f>
        <v>Mar</v>
      </c>
      <c r="D1323" s="2" t="s">
        <v>819</v>
      </c>
      <c r="E1323" s="2" t="s">
        <v>75</v>
      </c>
      <c r="F1323" s="2" t="str" cm="1">
        <f t="array" ref="F13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23" s="2" t="str" cm="1">
        <f t="array" ref="G13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23" s="2" t="s">
        <v>121</v>
      </c>
      <c r="I1323" s="2" t="s">
        <v>95</v>
      </c>
      <c r="J1323" s="2">
        <v>1</v>
      </c>
      <c r="K1323" s="8">
        <v>1299</v>
      </c>
      <c r="L1323" s="3">
        <v>0.2</v>
      </c>
      <c r="M1323" s="12">
        <f>K1323*L1323</f>
        <v>259.8</v>
      </c>
      <c r="N1323" s="12">
        <f>K1323*J1323</f>
        <v>1299</v>
      </c>
      <c r="O1323" s="12">
        <f>N1323-M1323</f>
        <v>1039.2</v>
      </c>
      <c r="P1323" s="2" t="s">
        <v>17</v>
      </c>
      <c r="Q1323" s="2" t="s">
        <v>18</v>
      </c>
      <c r="R1323" s="2">
        <v>60</v>
      </c>
      <c r="S1323" s="20">
        <f>Table1[[#This Row],[Net_revenue]]/Table1[[#This Row],[Gross_revenue]]*100%</f>
        <v>0.8</v>
      </c>
      <c r="T1323" s="18">
        <f>COUNTIFS(Table1[Customer ID], "&gt;1", Table1[Customer ID], 1)</f>
        <v>0</v>
      </c>
    </row>
    <row r="1324" spans="1:20" hidden="1" x14ac:dyDescent="0.3">
      <c r="A1324" s="2" t="s">
        <v>1990</v>
      </c>
      <c r="B1324" s="5">
        <v>45670</v>
      </c>
      <c r="C1324" s="5" t="str">
        <f>TEXT(B1324,"mmm")</f>
        <v>Jan</v>
      </c>
      <c r="D1324" s="2" t="s">
        <v>1262</v>
      </c>
      <c r="E1324" s="2" t="s">
        <v>40</v>
      </c>
      <c r="F1324" s="2" t="str" cm="1">
        <f t="array" ref="F13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24" s="2" t="str" cm="1">
        <f t="array" ref="G13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24" s="2" t="s">
        <v>65</v>
      </c>
      <c r="I1324" s="2" t="s">
        <v>23</v>
      </c>
      <c r="J1324" s="2">
        <v>1</v>
      </c>
      <c r="K1324" s="8">
        <v>1899</v>
      </c>
      <c r="L1324" s="3">
        <v>0.15</v>
      </c>
      <c r="M1324" s="12">
        <f>K1324*L1324</f>
        <v>284.84999999999997</v>
      </c>
      <c r="N1324" s="12">
        <f>K1324*J1324</f>
        <v>1899</v>
      </c>
      <c r="O1324" s="12">
        <f>N1324-M1324</f>
        <v>1614.15</v>
      </c>
      <c r="P1324" s="2" t="s">
        <v>24</v>
      </c>
      <c r="Q1324" s="2" t="s">
        <v>18</v>
      </c>
      <c r="R1324" s="2">
        <v>40</v>
      </c>
      <c r="S1324" s="20">
        <f>Table1[[#This Row],[Net_revenue]]/Table1[[#This Row],[Gross_revenue]]*100%</f>
        <v>0.85000000000000009</v>
      </c>
      <c r="T1324" s="18">
        <f>COUNTIFS(Table1[Customer ID], "&gt;1", Table1[Customer ID], 1)</f>
        <v>0</v>
      </c>
    </row>
    <row r="1325" spans="1:20" hidden="1" x14ac:dyDescent="0.3">
      <c r="A1325" s="2" t="s">
        <v>1991</v>
      </c>
      <c r="B1325" s="5">
        <v>45949</v>
      </c>
      <c r="C1325" s="5" t="str">
        <f>TEXT(B1325,"mmm")</f>
        <v>Oct</v>
      </c>
      <c r="D1325" s="2" t="s">
        <v>180</v>
      </c>
      <c r="E1325" s="2" t="s">
        <v>27</v>
      </c>
      <c r="F1325" s="2" t="str" cm="1">
        <f t="array" ref="F13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325" s="2" t="str" cm="1">
        <f t="array" ref="G13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25" s="2" t="s">
        <v>41</v>
      </c>
      <c r="I1325" s="2" t="s">
        <v>16</v>
      </c>
      <c r="J1325" s="2">
        <v>1</v>
      </c>
      <c r="K1325" s="8">
        <v>2299</v>
      </c>
      <c r="L1325" s="3">
        <v>0.25</v>
      </c>
      <c r="M1325" s="12">
        <f>K1325*L1325</f>
        <v>574.75</v>
      </c>
      <c r="N1325" s="12">
        <f>K1325*J1325</f>
        <v>2299</v>
      </c>
      <c r="O1325" s="12">
        <f>N1325-M1325</f>
        <v>1724.25</v>
      </c>
      <c r="P1325" s="2" t="s">
        <v>30</v>
      </c>
      <c r="Q1325" s="2" t="s">
        <v>18</v>
      </c>
      <c r="R1325" s="2">
        <v>80</v>
      </c>
      <c r="S1325" s="20">
        <f>Table1[[#This Row],[Net_revenue]]/Table1[[#This Row],[Gross_revenue]]*100%</f>
        <v>0.75</v>
      </c>
      <c r="T1325" s="18">
        <f>COUNTIFS(Table1[Customer ID], "&gt;1", Table1[Customer ID], 1)</f>
        <v>0</v>
      </c>
    </row>
    <row r="1326" spans="1:20" hidden="1" x14ac:dyDescent="0.3">
      <c r="A1326" s="2" t="s">
        <v>1992</v>
      </c>
      <c r="B1326" s="5">
        <v>45902</v>
      </c>
      <c r="C1326" s="5" t="str">
        <f>TEXT(B1326,"mmm")</f>
        <v>Sep</v>
      </c>
      <c r="D1326" s="2" t="s">
        <v>473</v>
      </c>
      <c r="E1326" s="2" t="s">
        <v>195</v>
      </c>
      <c r="F1326" s="2" t="str" cm="1">
        <f t="array" ref="F13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326" s="2" t="str" cm="1">
        <f t="array" ref="G13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26" s="2" t="s">
        <v>28</v>
      </c>
      <c r="I1326" s="2" t="s">
        <v>29</v>
      </c>
      <c r="J1326" s="2">
        <v>2</v>
      </c>
      <c r="K1326" s="8">
        <v>2799</v>
      </c>
      <c r="L1326" s="3">
        <v>0.1</v>
      </c>
      <c r="M1326" s="12">
        <f>K1326*L1326</f>
        <v>279.90000000000003</v>
      </c>
      <c r="N1326" s="12">
        <f>K1326*J1326</f>
        <v>5598</v>
      </c>
      <c r="O1326" s="12">
        <f>N1326-M1326</f>
        <v>5318.1</v>
      </c>
      <c r="P1326" s="2" t="s">
        <v>30</v>
      </c>
      <c r="Q1326" s="2" t="s">
        <v>18</v>
      </c>
      <c r="R1326" s="2">
        <v>40</v>
      </c>
      <c r="S1326" s="20">
        <f>Table1[[#This Row],[Net_revenue]]/Table1[[#This Row],[Gross_revenue]]*100%</f>
        <v>0.95000000000000007</v>
      </c>
      <c r="T1326" s="18">
        <f>COUNTIFS(Table1[Customer ID], "&gt;1", Table1[Customer ID], 1)</f>
        <v>0</v>
      </c>
    </row>
    <row r="1327" spans="1:20" hidden="1" x14ac:dyDescent="0.3">
      <c r="A1327" s="2" t="s">
        <v>1993</v>
      </c>
      <c r="B1327" s="5">
        <v>45918</v>
      </c>
      <c r="C1327" s="5" t="str">
        <f>TEXT(B1327,"mmm")</f>
        <v>Sep</v>
      </c>
      <c r="D1327" s="2" t="s">
        <v>1530</v>
      </c>
      <c r="E1327" s="2" t="s">
        <v>14</v>
      </c>
      <c r="F1327" s="2" t="str" cm="1">
        <f t="array" ref="F13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27" s="2" t="str" cm="1">
        <f t="array" ref="G13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27" s="2" t="s">
        <v>183</v>
      </c>
      <c r="I1327" s="2" t="s">
        <v>37</v>
      </c>
      <c r="J1327" s="2">
        <v>1</v>
      </c>
      <c r="K1327" s="8">
        <v>499</v>
      </c>
      <c r="L1327" s="3">
        <v>0.2</v>
      </c>
      <c r="M1327" s="12">
        <f>K1327*L1327</f>
        <v>99.800000000000011</v>
      </c>
      <c r="N1327" s="12">
        <f>K1327*J1327</f>
        <v>499</v>
      </c>
      <c r="O1327" s="12">
        <f>N1327-M1327</f>
        <v>399.2</v>
      </c>
      <c r="P1327" s="2" t="s">
        <v>24</v>
      </c>
      <c r="Q1327" s="2" t="s">
        <v>18</v>
      </c>
      <c r="R1327" s="2">
        <v>40</v>
      </c>
      <c r="S1327" s="20">
        <f>Table1[[#This Row],[Net_revenue]]/Table1[[#This Row],[Gross_revenue]]*100%</f>
        <v>0.79999999999999993</v>
      </c>
      <c r="T1327" s="18">
        <f>COUNTIFS(Table1[Customer ID], "&gt;1", Table1[Customer ID], 1)</f>
        <v>0</v>
      </c>
    </row>
    <row r="1328" spans="1:20" hidden="1" x14ac:dyDescent="0.3">
      <c r="A1328" s="2" t="s">
        <v>1994</v>
      </c>
      <c r="B1328" s="5">
        <v>45890</v>
      </c>
      <c r="C1328" s="5" t="str">
        <f>TEXT(B1328,"mmm")</f>
        <v>Aug</v>
      </c>
      <c r="D1328" s="2" t="s">
        <v>481</v>
      </c>
      <c r="E1328" s="2" t="s">
        <v>75</v>
      </c>
      <c r="F1328" s="2" t="str" cm="1">
        <f t="array" ref="F13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28" s="2" t="str" cm="1">
        <f t="array" ref="G13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28" s="2" t="s">
        <v>33</v>
      </c>
      <c r="I1328" s="2" t="s">
        <v>16</v>
      </c>
      <c r="J1328" s="2">
        <v>1</v>
      </c>
      <c r="K1328" s="8">
        <v>899</v>
      </c>
      <c r="L1328" s="3">
        <v>0.15</v>
      </c>
      <c r="M1328" s="12">
        <f>K1328*L1328</f>
        <v>134.85</v>
      </c>
      <c r="N1328" s="12">
        <f>K1328*J1328</f>
        <v>899</v>
      </c>
      <c r="O1328" s="12">
        <f>N1328-M1328</f>
        <v>764.15</v>
      </c>
      <c r="P1328" s="2" t="s">
        <v>17</v>
      </c>
      <c r="Q1328" s="2" t="s">
        <v>18</v>
      </c>
      <c r="R1328" s="2">
        <v>0</v>
      </c>
      <c r="S1328" s="20">
        <f>Table1[[#This Row],[Net_revenue]]/Table1[[#This Row],[Gross_revenue]]*100%</f>
        <v>0.85</v>
      </c>
      <c r="T1328" s="18">
        <f>COUNTIFS(Table1[Customer ID], "&gt;1", Table1[Customer ID], 1)</f>
        <v>0</v>
      </c>
    </row>
    <row r="1329" spans="1:20" hidden="1" x14ac:dyDescent="0.3">
      <c r="A1329" s="2" t="s">
        <v>1995</v>
      </c>
      <c r="B1329" s="5">
        <v>45698</v>
      </c>
      <c r="C1329" s="5" t="str">
        <f>TEXT(B1329,"mmm")</f>
        <v>Feb</v>
      </c>
      <c r="D1329" s="2" t="s">
        <v>756</v>
      </c>
      <c r="E1329" s="2" t="s">
        <v>75</v>
      </c>
      <c r="F1329" s="2" t="str" cm="1">
        <f t="array" ref="F13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29" s="2" t="str" cm="1">
        <f t="array" ref="G13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29" s="2" t="s">
        <v>117</v>
      </c>
      <c r="I1329" s="2" t="s">
        <v>23</v>
      </c>
      <c r="J1329" s="2">
        <v>2</v>
      </c>
      <c r="K1329" s="8">
        <v>2199</v>
      </c>
      <c r="L1329" s="3">
        <v>0.05</v>
      </c>
      <c r="M1329" s="12">
        <f>K1329*L1329</f>
        <v>109.95</v>
      </c>
      <c r="N1329" s="12">
        <f>K1329*J1329</f>
        <v>4398</v>
      </c>
      <c r="O1329" s="12">
        <f>N1329-M1329</f>
        <v>4288.05</v>
      </c>
      <c r="P1329" s="2" t="s">
        <v>45</v>
      </c>
      <c r="Q1329" s="2" t="s">
        <v>18</v>
      </c>
      <c r="R1329" s="2">
        <v>40</v>
      </c>
      <c r="S1329" s="20">
        <f>Table1[[#This Row],[Net_revenue]]/Table1[[#This Row],[Gross_revenue]]*100%</f>
        <v>0.97500000000000009</v>
      </c>
      <c r="T1329" s="18">
        <f>COUNTIFS(Table1[Customer ID], "&gt;1", Table1[Customer ID], 1)</f>
        <v>0</v>
      </c>
    </row>
    <row r="1330" spans="1:20" hidden="1" x14ac:dyDescent="0.3">
      <c r="A1330" s="2" t="s">
        <v>1996</v>
      </c>
      <c r="B1330" s="5">
        <v>45891</v>
      </c>
      <c r="C1330" s="5" t="str">
        <f>TEXT(B1330,"mmm")</f>
        <v>Aug</v>
      </c>
      <c r="D1330" s="2" t="s">
        <v>674</v>
      </c>
      <c r="E1330" s="2" t="s">
        <v>120</v>
      </c>
      <c r="F1330" s="2" t="str" cm="1">
        <f t="array" ref="F13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0" s="2" t="str" cm="1">
        <f t="array" ref="G13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0" s="2" t="s">
        <v>89</v>
      </c>
      <c r="I1330" s="2" t="s">
        <v>29</v>
      </c>
      <c r="J1330" s="2">
        <v>1</v>
      </c>
      <c r="K1330" s="8">
        <v>449</v>
      </c>
      <c r="L1330" s="3">
        <v>0.1</v>
      </c>
      <c r="M1330" s="12">
        <f>K1330*L1330</f>
        <v>44.900000000000006</v>
      </c>
      <c r="N1330" s="12">
        <f>K1330*J1330</f>
        <v>449</v>
      </c>
      <c r="O1330" s="12">
        <f>N1330-M1330</f>
        <v>404.1</v>
      </c>
      <c r="P1330" s="2" t="s">
        <v>30</v>
      </c>
      <c r="Q1330" s="2" t="s">
        <v>72</v>
      </c>
      <c r="R1330" s="2">
        <v>0</v>
      </c>
      <c r="S1330" s="20">
        <f>Table1[[#This Row],[Net_revenue]]/Table1[[#This Row],[Gross_revenue]]*100%</f>
        <v>0.9</v>
      </c>
      <c r="T1330" s="18">
        <f>COUNTIFS(Table1[Customer ID], "&gt;1", Table1[Customer ID], 1)</f>
        <v>0</v>
      </c>
    </row>
    <row r="1331" spans="1:20" hidden="1" x14ac:dyDescent="0.3">
      <c r="A1331" s="2" t="s">
        <v>1997</v>
      </c>
      <c r="B1331" s="5">
        <v>46011</v>
      </c>
      <c r="C1331" s="5" t="str">
        <f>TEXT(B1331,"mmm")</f>
        <v>Dec</v>
      </c>
      <c r="D1331" s="2" t="s">
        <v>1273</v>
      </c>
      <c r="E1331" s="2" t="s">
        <v>120</v>
      </c>
      <c r="F1331" s="2" t="str" cm="1">
        <f t="array" ref="F13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1" s="2" t="str" cm="1">
        <f t="array" ref="G13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1" s="2" t="s">
        <v>134</v>
      </c>
      <c r="I1331" s="2" t="s">
        <v>29</v>
      </c>
      <c r="J1331" s="2">
        <v>2</v>
      </c>
      <c r="K1331" s="8">
        <v>1499</v>
      </c>
      <c r="L1331" s="3">
        <v>0.1</v>
      </c>
      <c r="M1331" s="12">
        <f>K1331*L1331</f>
        <v>149.9</v>
      </c>
      <c r="N1331" s="12">
        <f>K1331*J1331</f>
        <v>2998</v>
      </c>
      <c r="O1331" s="12">
        <f>N1331-M1331</f>
        <v>2848.1</v>
      </c>
      <c r="P1331" s="2" t="s">
        <v>45</v>
      </c>
      <c r="Q1331" s="2" t="s">
        <v>18</v>
      </c>
      <c r="R1331" s="2">
        <v>80</v>
      </c>
      <c r="S1331" s="20">
        <f>Table1[[#This Row],[Net_revenue]]/Table1[[#This Row],[Gross_revenue]]*100%</f>
        <v>0.95</v>
      </c>
      <c r="T1331" s="18">
        <f>COUNTIFS(Table1[Customer ID], "&gt;1", Table1[Customer ID], 1)</f>
        <v>0</v>
      </c>
    </row>
    <row r="1332" spans="1:20" hidden="1" x14ac:dyDescent="0.3">
      <c r="A1332" s="2" t="s">
        <v>1998</v>
      </c>
      <c r="B1332" s="5">
        <v>45919</v>
      </c>
      <c r="C1332" s="5" t="str">
        <f>TEXT(B1332,"mmm")</f>
        <v>Sep</v>
      </c>
      <c r="D1332" s="2" t="s">
        <v>1083</v>
      </c>
      <c r="E1332" s="2" t="s">
        <v>21</v>
      </c>
      <c r="F1332" s="2" t="str" cm="1">
        <f t="array" ref="F13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2" s="2" t="str" cm="1">
        <f t="array" ref="G13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2" s="2" t="s">
        <v>89</v>
      </c>
      <c r="I1332" s="2" t="s">
        <v>29</v>
      </c>
      <c r="J1332" s="2">
        <v>1</v>
      </c>
      <c r="K1332" s="8">
        <v>449</v>
      </c>
      <c r="L1332" s="3">
        <v>0.2</v>
      </c>
      <c r="M1332" s="12">
        <f>K1332*L1332</f>
        <v>89.800000000000011</v>
      </c>
      <c r="N1332" s="12">
        <f>K1332*J1332</f>
        <v>449</v>
      </c>
      <c r="O1332" s="12">
        <f>N1332-M1332</f>
        <v>359.2</v>
      </c>
      <c r="P1332" s="2" t="s">
        <v>45</v>
      </c>
      <c r="Q1332" s="2" t="s">
        <v>18</v>
      </c>
      <c r="R1332" s="2">
        <v>0</v>
      </c>
      <c r="S1332" s="20">
        <f>Table1[[#This Row],[Net_revenue]]/Table1[[#This Row],[Gross_revenue]]*100%</f>
        <v>0.79999999999999993</v>
      </c>
      <c r="T1332" s="18">
        <f>COUNTIFS(Table1[Customer ID], "&gt;1", Table1[Customer ID], 1)</f>
        <v>0</v>
      </c>
    </row>
    <row r="1333" spans="1:20" hidden="1" x14ac:dyDescent="0.3">
      <c r="A1333" s="2" t="s">
        <v>1999</v>
      </c>
      <c r="B1333" s="5">
        <v>45967</v>
      </c>
      <c r="C1333" s="5" t="str">
        <f>TEXT(B1333,"mmm")</f>
        <v>Nov</v>
      </c>
      <c r="D1333" s="2" t="s">
        <v>2000</v>
      </c>
      <c r="E1333" s="2" t="s">
        <v>56</v>
      </c>
      <c r="F1333" s="2" t="str" cm="1">
        <f t="array" ref="F13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33" s="2" t="str" cm="1">
        <f t="array" ref="G13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33" s="2" t="s">
        <v>121</v>
      </c>
      <c r="I1333" s="2" t="s">
        <v>95</v>
      </c>
      <c r="J1333" s="2">
        <v>1</v>
      </c>
      <c r="K1333" s="8">
        <v>1299</v>
      </c>
      <c r="L1333" s="3">
        <v>0.1</v>
      </c>
      <c r="M1333" s="12">
        <f>K1333*L1333</f>
        <v>129.9</v>
      </c>
      <c r="N1333" s="12">
        <f>K1333*J1333</f>
        <v>1299</v>
      </c>
      <c r="O1333" s="12">
        <f>N1333-M1333</f>
        <v>1169.0999999999999</v>
      </c>
      <c r="P1333" s="2" t="s">
        <v>17</v>
      </c>
      <c r="Q1333" s="2" t="s">
        <v>18</v>
      </c>
      <c r="R1333" s="2">
        <v>60</v>
      </c>
      <c r="S1333" s="20">
        <f>Table1[[#This Row],[Net_revenue]]/Table1[[#This Row],[Gross_revenue]]*100%</f>
        <v>0.89999999999999991</v>
      </c>
      <c r="T1333" s="18">
        <f>COUNTIFS(Table1[Customer ID], "&gt;1", Table1[Customer ID], 1)</f>
        <v>0</v>
      </c>
    </row>
    <row r="1334" spans="1:20" hidden="1" x14ac:dyDescent="0.3">
      <c r="A1334" s="2" t="s">
        <v>2001</v>
      </c>
      <c r="B1334" s="5">
        <v>45680</v>
      </c>
      <c r="C1334" s="5" t="str">
        <f>TEXT(B1334,"mmm")</f>
        <v>Jan</v>
      </c>
      <c r="D1334" s="2" t="s">
        <v>1457</v>
      </c>
      <c r="E1334" s="2" t="s">
        <v>27</v>
      </c>
      <c r="F1334" s="2" t="str" cm="1">
        <f t="array" ref="F13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334" s="2" t="str" cm="1">
        <f t="array" ref="G13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34" s="2" t="s">
        <v>80</v>
      </c>
      <c r="I1334" s="2" t="s">
        <v>23</v>
      </c>
      <c r="J1334" s="2">
        <v>3</v>
      </c>
      <c r="K1334" s="8">
        <v>799</v>
      </c>
      <c r="L1334" s="3">
        <v>0.1</v>
      </c>
      <c r="M1334" s="12">
        <f>K1334*L1334</f>
        <v>79.900000000000006</v>
      </c>
      <c r="N1334" s="12">
        <f>K1334*J1334</f>
        <v>2397</v>
      </c>
      <c r="O1334" s="12">
        <f>N1334-M1334</f>
        <v>2317.1</v>
      </c>
      <c r="P1334" s="2" t="s">
        <v>45</v>
      </c>
      <c r="Q1334" s="2" t="s">
        <v>50</v>
      </c>
      <c r="R1334" s="2">
        <v>40</v>
      </c>
      <c r="S1334" s="20">
        <f>Table1[[#This Row],[Net_revenue]]/Table1[[#This Row],[Gross_revenue]]*100%</f>
        <v>0.96666666666666667</v>
      </c>
      <c r="T1334" s="18">
        <f>COUNTIFS(Table1[Customer ID], "&gt;1", Table1[Customer ID], 1)</f>
        <v>0</v>
      </c>
    </row>
    <row r="1335" spans="1:20" hidden="1" x14ac:dyDescent="0.3">
      <c r="A1335" s="2" t="s">
        <v>2002</v>
      </c>
      <c r="B1335" s="5">
        <v>45669</v>
      </c>
      <c r="C1335" s="5" t="str">
        <f>TEXT(B1335,"mmm")</f>
        <v>Jan</v>
      </c>
      <c r="D1335" s="2" t="s">
        <v>846</v>
      </c>
      <c r="E1335" s="2" t="s">
        <v>21</v>
      </c>
      <c r="F1335" s="2" t="str" cm="1">
        <f t="array" ref="F13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5" s="2" t="str" cm="1">
        <f t="array" ref="G13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5" s="2" t="s">
        <v>117</v>
      </c>
      <c r="I1335" s="2" t="s">
        <v>23</v>
      </c>
      <c r="J1335" s="2">
        <v>1</v>
      </c>
      <c r="K1335" s="8">
        <v>2199</v>
      </c>
      <c r="L1335" s="3">
        <v>0</v>
      </c>
      <c r="M1335" s="12">
        <f>K1335*L1335</f>
        <v>0</v>
      </c>
      <c r="N1335" s="12">
        <f>K1335*J1335</f>
        <v>2199</v>
      </c>
      <c r="O1335" s="12">
        <f>N1335-M1335</f>
        <v>2199</v>
      </c>
      <c r="P1335" s="2" t="s">
        <v>45</v>
      </c>
      <c r="Q1335" s="2" t="s">
        <v>18</v>
      </c>
      <c r="R1335" s="2">
        <v>0</v>
      </c>
      <c r="S1335" s="20">
        <f>Table1[[#This Row],[Net_revenue]]/Table1[[#This Row],[Gross_revenue]]*100%</f>
        <v>1</v>
      </c>
      <c r="T1335" s="18">
        <f>COUNTIFS(Table1[Customer ID], "&gt;1", Table1[Customer ID], 1)</f>
        <v>0</v>
      </c>
    </row>
    <row r="1336" spans="1:20" hidden="1" x14ac:dyDescent="0.3">
      <c r="A1336" s="2" t="s">
        <v>2003</v>
      </c>
      <c r="B1336" s="5">
        <v>45923</v>
      </c>
      <c r="C1336" s="5" t="str">
        <f>TEXT(B1336,"mmm")</f>
        <v>Sep</v>
      </c>
      <c r="D1336" s="2" t="s">
        <v>290</v>
      </c>
      <c r="E1336" s="2" t="s">
        <v>48</v>
      </c>
      <c r="F1336" s="2" t="str" cm="1">
        <f t="array" ref="F13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36" s="2" t="str" cm="1">
        <f t="array" ref="G13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36" s="2" t="s">
        <v>71</v>
      </c>
      <c r="I1336" s="2" t="s">
        <v>29</v>
      </c>
      <c r="J1336" s="2">
        <v>1</v>
      </c>
      <c r="K1336" s="8">
        <v>5499</v>
      </c>
      <c r="L1336" s="3">
        <v>0.1</v>
      </c>
      <c r="M1336" s="12">
        <f>K1336*L1336</f>
        <v>549.9</v>
      </c>
      <c r="N1336" s="12">
        <f>K1336*J1336</f>
        <v>5499</v>
      </c>
      <c r="O1336" s="12">
        <f>N1336-M1336</f>
        <v>4949.1000000000004</v>
      </c>
      <c r="P1336" s="2" t="s">
        <v>45</v>
      </c>
      <c r="Q1336" s="2" t="s">
        <v>72</v>
      </c>
      <c r="R1336" s="2">
        <v>40</v>
      </c>
      <c r="S1336" s="20">
        <f>Table1[[#This Row],[Net_revenue]]/Table1[[#This Row],[Gross_revenue]]*100%</f>
        <v>0.9</v>
      </c>
      <c r="T1336" s="18">
        <f>COUNTIFS(Table1[Customer ID], "&gt;1", Table1[Customer ID], 1)</f>
        <v>0</v>
      </c>
    </row>
    <row r="1337" spans="1:20" hidden="1" x14ac:dyDescent="0.3">
      <c r="A1337" s="2" t="s">
        <v>2004</v>
      </c>
      <c r="B1337" s="5">
        <v>45823</v>
      </c>
      <c r="C1337" s="5" t="str">
        <f>TEXT(B1337,"mmm")</f>
        <v>Jun</v>
      </c>
      <c r="D1337" s="2" t="s">
        <v>1629</v>
      </c>
      <c r="E1337" s="2" t="s">
        <v>40</v>
      </c>
      <c r="F1337" s="2" t="str" cm="1">
        <f t="array" ref="F13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37" s="2" t="str" cm="1">
        <f t="array" ref="G13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37" s="2" t="s">
        <v>15</v>
      </c>
      <c r="I1337" s="2" t="s">
        <v>16</v>
      </c>
      <c r="J1337" s="2">
        <v>1</v>
      </c>
      <c r="K1337" s="8">
        <v>1799</v>
      </c>
      <c r="L1337" s="3">
        <v>0.05</v>
      </c>
      <c r="M1337" s="12">
        <f>K1337*L1337</f>
        <v>89.95</v>
      </c>
      <c r="N1337" s="12">
        <f>K1337*J1337</f>
        <v>1799</v>
      </c>
      <c r="O1337" s="12">
        <f>N1337-M1337</f>
        <v>1709.05</v>
      </c>
      <c r="P1337" s="2" t="s">
        <v>45</v>
      </c>
      <c r="Q1337" s="2" t="s">
        <v>18</v>
      </c>
      <c r="R1337" s="2">
        <v>60</v>
      </c>
      <c r="S1337" s="20">
        <f>Table1[[#This Row],[Net_revenue]]/Table1[[#This Row],[Gross_revenue]]*100%</f>
        <v>0.95</v>
      </c>
      <c r="T1337" s="18">
        <f>COUNTIFS(Table1[Customer ID], "&gt;1", Table1[Customer ID], 1)</f>
        <v>0</v>
      </c>
    </row>
    <row r="1338" spans="1:20" hidden="1" x14ac:dyDescent="0.3">
      <c r="A1338" s="2" t="s">
        <v>2005</v>
      </c>
      <c r="B1338" s="5">
        <v>45928</v>
      </c>
      <c r="C1338" s="5" t="str">
        <f>TEXT(B1338,"mmm")</f>
        <v>Sep</v>
      </c>
      <c r="D1338" s="2" t="s">
        <v>879</v>
      </c>
      <c r="E1338" s="2" t="s">
        <v>120</v>
      </c>
      <c r="F1338" s="2" t="str" cm="1">
        <f t="array" ref="F13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8" s="2" t="str" cm="1">
        <f t="array" ref="G13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8" s="2" t="s">
        <v>44</v>
      </c>
      <c r="I1338" s="2" t="s">
        <v>16</v>
      </c>
      <c r="J1338" s="2">
        <v>2</v>
      </c>
      <c r="K1338" s="8">
        <v>1599</v>
      </c>
      <c r="L1338" s="3">
        <v>0</v>
      </c>
      <c r="M1338" s="12">
        <f>K1338*L1338</f>
        <v>0</v>
      </c>
      <c r="N1338" s="12">
        <f>K1338*J1338</f>
        <v>3198</v>
      </c>
      <c r="O1338" s="12">
        <f>N1338-M1338</f>
        <v>3198</v>
      </c>
      <c r="P1338" s="2" t="s">
        <v>45</v>
      </c>
      <c r="Q1338" s="2" t="s">
        <v>18</v>
      </c>
      <c r="R1338" s="2">
        <v>80</v>
      </c>
      <c r="S1338" s="20">
        <f>Table1[[#This Row],[Net_revenue]]/Table1[[#This Row],[Gross_revenue]]*100%</f>
        <v>1</v>
      </c>
      <c r="T1338" s="18">
        <f>COUNTIFS(Table1[Customer ID], "&gt;1", Table1[Customer ID], 1)</f>
        <v>0</v>
      </c>
    </row>
    <row r="1339" spans="1:20" hidden="1" x14ac:dyDescent="0.3">
      <c r="A1339" s="2" t="s">
        <v>2006</v>
      </c>
      <c r="B1339" s="5">
        <v>45950</v>
      </c>
      <c r="C1339" s="5" t="str">
        <f>TEXT(B1339,"mmm")</f>
        <v>Oct</v>
      </c>
      <c r="D1339" s="2" t="s">
        <v>998</v>
      </c>
      <c r="E1339" s="2" t="s">
        <v>21</v>
      </c>
      <c r="F1339" s="2" t="str" cm="1">
        <f t="array" ref="F13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39" s="2" t="str" cm="1">
        <f t="array" ref="G13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39" s="2" t="s">
        <v>63</v>
      </c>
      <c r="I1339" s="2" t="s">
        <v>23</v>
      </c>
      <c r="J1339" s="2">
        <v>1</v>
      </c>
      <c r="K1339" s="8">
        <v>2499</v>
      </c>
      <c r="L1339" s="3">
        <v>0</v>
      </c>
      <c r="M1339" s="12">
        <f>K1339*L1339</f>
        <v>0</v>
      </c>
      <c r="N1339" s="12">
        <f>K1339*J1339</f>
        <v>2499</v>
      </c>
      <c r="O1339" s="12">
        <f>N1339-M1339</f>
        <v>2499</v>
      </c>
      <c r="P1339" s="2" t="s">
        <v>17</v>
      </c>
      <c r="Q1339" s="2" t="s">
        <v>18</v>
      </c>
      <c r="R1339" s="2">
        <v>0</v>
      </c>
      <c r="S1339" s="20">
        <f>Table1[[#This Row],[Net_revenue]]/Table1[[#This Row],[Gross_revenue]]*100%</f>
        <v>1</v>
      </c>
      <c r="T1339" s="18">
        <f>COUNTIFS(Table1[Customer ID], "&gt;1", Table1[Customer ID], 1)</f>
        <v>0</v>
      </c>
    </row>
    <row r="1340" spans="1:20" hidden="1" x14ac:dyDescent="0.3">
      <c r="A1340" s="2" t="s">
        <v>2007</v>
      </c>
      <c r="B1340" s="5">
        <v>45850</v>
      </c>
      <c r="C1340" s="5" t="str">
        <f>TEXT(B1340,"mmm")</f>
        <v>Jul</v>
      </c>
      <c r="D1340" s="2" t="s">
        <v>375</v>
      </c>
      <c r="E1340" s="2" t="s">
        <v>14</v>
      </c>
      <c r="F1340" s="2" t="str" cm="1">
        <f t="array" ref="F13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40" s="2" t="str" cm="1">
        <f t="array" ref="G13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40" s="2" t="s">
        <v>63</v>
      </c>
      <c r="I1340" s="2" t="s">
        <v>23</v>
      </c>
      <c r="J1340" s="2">
        <v>2</v>
      </c>
      <c r="K1340" s="8">
        <v>2499</v>
      </c>
      <c r="L1340" s="3">
        <v>0.25</v>
      </c>
      <c r="M1340" s="12">
        <f>K1340*L1340</f>
        <v>624.75</v>
      </c>
      <c r="N1340" s="12">
        <f>K1340*J1340</f>
        <v>4998</v>
      </c>
      <c r="O1340" s="12">
        <f>N1340-M1340</f>
        <v>4373.25</v>
      </c>
      <c r="P1340" s="2" t="s">
        <v>24</v>
      </c>
      <c r="Q1340" s="2" t="s">
        <v>18</v>
      </c>
      <c r="R1340" s="2">
        <v>80</v>
      </c>
      <c r="S1340" s="20">
        <f>Table1[[#This Row],[Net_revenue]]/Table1[[#This Row],[Gross_revenue]]*100%</f>
        <v>0.875</v>
      </c>
      <c r="T1340" s="18">
        <f>COUNTIFS(Table1[Customer ID], "&gt;1", Table1[Customer ID], 1)</f>
        <v>0</v>
      </c>
    </row>
    <row r="1341" spans="1:20" hidden="1" x14ac:dyDescent="0.3">
      <c r="A1341" s="2" t="s">
        <v>2008</v>
      </c>
      <c r="B1341" s="5">
        <v>45909</v>
      </c>
      <c r="C1341" s="5" t="str">
        <f>TEXT(B1341,"mmm")</f>
        <v>Sep</v>
      </c>
      <c r="D1341" s="2" t="s">
        <v>974</v>
      </c>
      <c r="E1341" s="2" t="s">
        <v>21</v>
      </c>
      <c r="F1341" s="2" t="str" cm="1">
        <f t="array" ref="F13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41" s="2" t="str" cm="1">
        <f t="array" ref="G13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41" s="2" t="s">
        <v>89</v>
      </c>
      <c r="I1341" s="2" t="s">
        <v>29</v>
      </c>
      <c r="J1341" s="2">
        <v>1</v>
      </c>
      <c r="K1341" s="8">
        <v>449</v>
      </c>
      <c r="L1341" s="3">
        <v>0.05</v>
      </c>
      <c r="M1341" s="12">
        <f>K1341*L1341</f>
        <v>22.450000000000003</v>
      </c>
      <c r="N1341" s="12">
        <f>K1341*J1341</f>
        <v>449</v>
      </c>
      <c r="O1341" s="12">
        <f>N1341-M1341</f>
        <v>426.55</v>
      </c>
      <c r="P1341" s="2" t="s">
        <v>17</v>
      </c>
      <c r="Q1341" s="2" t="s">
        <v>18</v>
      </c>
      <c r="R1341" s="2">
        <v>80</v>
      </c>
      <c r="S1341" s="20">
        <f>Table1[[#This Row],[Net_revenue]]/Table1[[#This Row],[Gross_revenue]]*100%</f>
        <v>0.95000000000000007</v>
      </c>
      <c r="T1341" s="18">
        <f>COUNTIFS(Table1[Customer ID], "&gt;1", Table1[Customer ID], 1)</f>
        <v>0</v>
      </c>
    </row>
    <row r="1342" spans="1:20" hidden="1" x14ac:dyDescent="0.3">
      <c r="A1342" s="2" t="s">
        <v>2009</v>
      </c>
      <c r="B1342" s="5">
        <v>45909</v>
      </c>
      <c r="C1342" s="5" t="str">
        <f>TEXT(B1342,"mmm")</f>
        <v>Sep</v>
      </c>
      <c r="D1342" s="2" t="s">
        <v>1105</v>
      </c>
      <c r="E1342" s="2" t="s">
        <v>120</v>
      </c>
      <c r="F1342" s="2" t="str" cm="1">
        <f t="array" ref="F13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42" s="2" t="str" cm="1">
        <f t="array" ref="G13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42" s="2" t="s">
        <v>89</v>
      </c>
      <c r="I1342" s="2" t="s">
        <v>29</v>
      </c>
      <c r="J1342" s="2">
        <v>1</v>
      </c>
      <c r="K1342" s="8">
        <v>449</v>
      </c>
      <c r="L1342" s="3">
        <v>0.05</v>
      </c>
      <c r="M1342" s="12">
        <f>K1342*L1342</f>
        <v>22.450000000000003</v>
      </c>
      <c r="N1342" s="12">
        <f>K1342*J1342</f>
        <v>449</v>
      </c>
      <c r="O1342" s="12">
        <f>N1342-M1342</f>
        <v>426.55</v>
      </c>
      <c r="P1342" s="2" t="s">
        <v>45</v>
      </c>
      <c r="Q1342" s="2" t="s">
        <v>72</v>
      </c>
      <c r="R1342" s="2">
        <v>60</v>
      </c>
      <c r="S1342" s="20">
        <f>Table1[[#This Row],[Net_revenue]]/Table1[[#This Row],[Gross_revenue]]*100%</f>
        <v>0.95000000000000007</v>
      </c>
      <c r="T1342" s="18">
        <f>COUNTIFS(Table1[Customer ID], "&gt;1", Table1[Customer ID], 1)</f>
        <v>0</v>
      </c>
    </row>
    <row r="1343" spans="1:20" hidden="1" x14ac:dyDescent="0.3">
      <c r="A1343" s="2" t="s">
        <v>2010</v>
      </c>
      <c r="B1343" s="5">
        <v>45879</v>
      </c>
      <c r="C1343" s="5" t="str">
        <f>TEXT(B1343,"mmm")</f>
        <v>Aug</v>
      </c>
      <c r="D1343" s="2" t="s">
        <v>549</v>
      </c>
      <c r="E1343" s="2" t="s">
        <v>75</v>
      </c>
      <c r="F1343" s="2" t="str" cm="1">
        <f t="array" ref="F13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43" s="2" t="str" cm="1">
        <f t="array" ref="G13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43" s="2" t="s">
        <v>94</v>
      </c>
      <c r="I1343" s="2" t="s">
        <v>95</v>
      </c>
      <c r="J1343" s="2">
        <v>1</v>
      </c>
      <c r="K1343" s="8">
        <v>399</v>
      </c>
      <c r="L1343" s="3">
        <v>0</v>
      </c>
      <c r="M1343" s="12">
        <f>K1343*L1343</f>
        <v>0</v>
      </c>
      <c r="N1343" s="12">
        <f>K1343*J1343</f>
        <v>399</v>
      </c>
      <c r="O1343" s="12">
        <f>N1343-M1343</f>
        <v>399</v>
      </c>
      <c r="P1343" s="2" t="s">
        <v>24</v>
      </c>
      <c r="Q1343" s="2" t="s">
        <v>72</v>
      </c>
      <c r="R1343" s="2">
        <v>60</v>
      </c>
      <c r="S1343" s="20">
        <f>Table1[[#This Row],[Net_revenue]]/Table1[[#This Row],[Gross_revenue]]*100%</f>
        <v>1</v>
      </c>
      <c r="T1343" s="18">
        <f>COUNTIFS(Table1[Customer ID], "&gt;1", Table1[Customer ID], 1)</f>
        <v>0</v>
      </c>
    </row>
    <row r="1344" spans="1:20" hidden="1" x14ac:dyDescent="0.3">
      <c r="A1344" s="2" t="s">
        <v>2011</v>
      </c>
      <c r="B1344" s="5">
        <v>45788</v>
      </c>
      <c r="C1344" s="5" t="str">
        <f>TEXT(B1344,"mmm")</f>
        <v>May</v>
      </c>
      <c r="D1344" s="2" t="s">
        <v>998</v>
      </c>
      <c r="E1344" s="2" t="s">
        <v>195</v>
      </c>
      <c r="F1344" s="2" t="str" cm="1">
        <f t="array" ref="F13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344" s="2" t="str" cm="1">
        <f t="array" ref="G13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44" s="2" t="s">
        <v>80</v>
      </c>
      <c r="I1344" s="2" t="s">
        <v>23</v>
      </c>
      <c r="J1344" s="2">
        <v>2</v>
      </c>
      <c r="K1344" s="8">
        <v>799</v>
      </c>
      <c r="L1344" s="3">
        <v>0.1</v>
      </c>
      <c r="M1344" s="12">
        <f>K1344*L1344</f>
        <v>79.900000000000006</v>
      </c>
      <c r="N1344" s="12">
        <f>K1344*J1344</f>
        <v>1598</v>
      </c>
      <c r="O1344" s="12">
        <f>N1344-M1344</f>
        <v>1518.1</v>
      </c>
      <c r="P1344" s="2" t="s">
        <v>30</v>
      </c>
      <c r="Q1344" s="2" t="s">
        <v>18</v>
      </c>
      <c r="R1344" s="2">
        <v>60</v>
      </c>
      <c r="S1344" s="20">
        <f>Table1[[#This Row],[Net_revenue]]/Table1[[#This Row],[Gross_revenue]]*100%</f>
        <v>0.95</v>
      </c>
      <c r="T1344" s="18">
        <f>COUNTIFS(Table1[Customer ID], "&gt;1", Table1[Customer ID], 1)</f>
        <v>0</v>
      </c>
    </row>
    <row r="1345" spans="1:20" hidden="1" x14ac:dyDescent="0.3">
      <c r="A1345" s="2" t="s">
        <v>2012</v>
      </c>
      <c r="B1345" s="5">
        <v>46020</v>
      </c>
      <c r="C1345" s="5" t="str">
        <f>TEXT(B1345,"mmm")</f>
        <v>Dec</v>
      </c>
      <c r="D1345" s="2" t="s">
        <v>337</v>
      </c>
      <c r="E1345" s="2" t="s">
        <v>56</v>
      </c>
      <c r="F1345" s="2" t="str" cm="1">
        <f t="array" ref="F13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45" s="2" t="str" cm="1">
        <f t="array" ref="G13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45" s="2" t="s">
        <v>15</v>
      </c>
      <c r="I1345" s="2" t="s">
        <v>16</v>
      </c>
      <c r="J1345" s="2">
        <v>2</v>
      </c>
      <c r="K1345" s="8">
        <v>1799</v>
      </c>
      <c r="L1345" s="3">
        <v>0</v>
      </c>
      <c r="M1345" s="12">
        <f>K1345*L1345</f>
        <v>0</v>
      </c>
      <c r="N1345" s="12">
        <f>K1345*J1345</f>
        <v>3598</v>
      </c>
      <c r="O1345" s="12">
        <f>N1345-M1345</f>
        <v>3598</v>
      </c>
      <c r="P1345" s="2" t="s">
        <v>30</v>
      </c>
      <c r="Q1345" s="2" t="s">
        <v>18</v>
      </c>
      <c r="R1345" s="2">
        <v>60</v>
      </c>
      <c r="S1345" s="20">
        <f>Table1[[#This Row],[Net_revenue]]/Table1[[#This Row],[Gross_revenue]]*100%</f>
        <v>1</v>
      </c>
      <c r="T1345" s="18">
        <f>COUNTIFS(Table1[Customer ID], "&gt;1", Table1[Customer ID], 1)</f>
        <v>0</v>
      </c>
    </row>
    <row r="1346" spans="1:20" hidden="1" x14ac:dyDescent="0.3">
      <c r="A1346" s="2" t="s">
        <v>2013</v>
      </c>
      <c r="B1346" s="5">
        <v>45682</v>
      </c>
      <c r="C1346" s="5" t="str">
        <f>TEXT(B1346,"mmm")</f>
        <v>Jan</v>
      </c>
      <c r="D1346" s="2" t="s">
        <v>1643</v>
      </c>
      <c r="E1346" s="2" t="s">
        <v>195</v>
      </c>
      <c r="F1346" s="2" t="str" cm="1">
        <f t="array" ref="F13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346" s="2" t="str" cm="1">
        <f t="array" ref="G13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46" s="2" t="s">
        <v>63</v>
      </c>
      <c r="I1346" s="2" t="s">
        <v>23</v>
      </c>
      <c r="J1346" s="2">
        <v>1</v>
      </c>
      <c r="K1346" s="8">
        <v>2499</v>
      </c>
      <c r="L1346" s="3">
        <v>0.2</v>
      </c>
      <c r="M1346" s="12">
        <f>K1346*L1346</f>
        <v>499.8</v>
      </c>
      <c r="N1346" s="12">
        <f>K1346*J1346</f>
        <v>2499</v>
      </c>
      <c r="O1346" s="12">
        <f>N1346-M1346</f>
        <v>1999.2</v>
      </c>
      <c r="P1346" s="2" t="s">
        <v>17</v>
      </c>
      <c r="Q1346" s="2" t="s">
        <v>18</v>
      </c>
      <c r="R1346" s="2">
        <v>80</v>
      </c>
      <c r="S1346" s="20">
        <f>Table1[[#This Row],[Net_revenue]]/Table1[[#This Row],[Gross_revenue]]*100%</f>
        <v>0.8</v>
      </c>
      <c r="T1346" s="18">
        <f>COUNTIFS(Table1[Customer ID], "&gt;1", Table1[Customer ID], 1)</f>
        <v>0</v>
      </c>
    </row>
    <row r="1347" spans="1:20" hidden="1" x14ac:dyDescent="0.3">
      <c r="A1347" s="2" t="s">
        <v>2014</v>
      </c>
      <c r="B1347" s="5">
        <v>45815</v>
      </c>
      <c r="C1347" s="5" t="str">
        <f>TEXT(B1347,"mmm")</f>
        <v>Jun</v>
      </c>
      <c r="D1347" s="2" t="s">
        <v>389</v>
      </c>
      <c r="E1347" s="2" t="s">
        <v>21</v>
      </c>
      <c r="F1347" s="2" t="str" cm="1">
        <f t="array" ref="F13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47" s="2" t="str" cm="1">
        <f t="array" ref="G13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47" s="2" t="s">
        <v>22</v>
      </c>
      <c r="I1347" s="2" t="s">
        <v>23</v>
      </c>
      <c r="J1347" s="2">
        <v>1</v>
      </c>
      <c r="K1347" s="8">
        <v>3999</v>
      </c>
      <c r="L1347" s="3">
        <v>0.2</v>
      </c>
      <c r="M1347" s="12">
        <f>K1347*L1347</f>
        <v>799.80000000000007</v>
      </c>
      <c r="N1347" s="12">
        <f>K1347*J1347</f>
        <v>3999</v>
      </c>
      <c r="O1347" s="12">
        <f>N1347-M1347</f>
        <v>3199.2</v>
      </c>
      <c r="P1347" s="2" t="s">
        <v>30</v>
      </c>
      <c r="Q1347" s="2" t="s">
        <v>18</v>
      </c>
      <c r="R1347" s="2">
        <v>40</v>
      </c>
      <c r="S1347" s="20">
        <f>Table1[[#This Row],[Net_revenue]]/Table1[[#This Row],[Gross_revenue]]*100%</f>
        <v>0.79999999999999993</v>
      </c>
      <c r="T1347" s="18">
        <f>COUNTIFS(Table1[Customer ID], "&gt;1", Table1[Customer ID], 1)</f>
        <v>0</v>
      </c>
    </row>
    <row r="1348" spans="1:20" hidden="1" x14ac:dyDescent="0.3">
      <c r="A1348" s="2" t="s">
        <v>2015</v>
      </c>
      <c r="B1348" s="5">
        <v>45932</v>
      </c>
      <c r="C1348" s="5" t="str">
        <f>TEXT(B1348,"mmm")</f>
        <v>Oct</v>
      </c>
      <c r="D1348" s="2" t="s">
        <v>1291</v>
      </c>
      <c r="E1348" s="2" t="s">
        <v>53</v>
      </c>
      <c r="F1348" s="2" t="str" cm="1">
        <f t="array" ref="F13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348" s="2" t="str" cm="1">
        <f t="array" ref="G13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48" s="2" t="s">
        <v>183</v>
      </c>
      <c r="I1348" s="2" t="s">
        <v>37</v>
      </c>
      <c r="J1348" s="2">
        <v>1</v>
      </c>
      <c r="K1348" s="8">
        <v>499</v>
      </c>
      <c r="L1348" s="3">
        <v>0.15</v>
      </c>
      <c r="M1348" s="12">
        <f>K1348*L1348</f>
        <v>74.849999999999994</v>
      </c>
      <c r="N1348" s="12">
        <f>K1348*J1348</f>
        <v>499</v>
      </c>
      <c r="O1348" s="12">
        <f>N1348-M1348</f>
        <v>424.15</v>
      </c>
      <c r="P1348" s="2" t="s">
        <v>45</v>
      </c>
      <c r="Q1348" s="2" t="s">
        <v>18</v>
      </c>
      <c r="R1348" s="2">
        <v>60</v>
      </c>
      <c r="S1348" s="20">
        <f>Table1[[#This Row],[Net_revenue]]/Table1[[#This Row],[Gross_revenue]]*100%</f>
        <v>0.85</v>
      </c>
      <c r="T1348" s="18">
        <f>COUNTIFS(Table1[Customer ID], "&gt;1", Table1[Customer ID], 1)</f>
        <v>0</v>
      </c>
    </row>
    <row r="1349" spans="1:20" hidden="1" x14ac:dyDescent="0.3">
      <c r="A1349" s="2" t="s">
        <v>2016</v>
      </c>
      <c r="B1349" s="5">
        <v>46021</v>
      </c>
      <c r="C1349" s="5" t="str">
        <f>TEXT(B1349,"mmm")</f>
        <v>Dec</v>
      </c>
      <c r="D1349" s="2" t="s">
        <v>296</v>
      </c>
      <c r="E1349" s="2" t="s">
        <v>56</v>
      </c>
      <c r="F1349" s="2" t="str" cm="1">
        <f t="array" ref="F13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49" s="2" t="str" cm="1">
        <f t="array" ref="G13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49" s="2" t="s">
        <v>65</v>
      </c>
      <c r="I1349" s="2" t="s">
        <v>23</v>
      </c>
      <c r="J1349" s="2">
        <v>1</v>
      </c>
      <c r="K1349" s="8">
        <v>1899</v>
      </c>
      <c r="L1349" s="3">
        <v>0.1</v>
      </c>
      <c r="M1349" s="12">
        <f>K1349*L1349</f>
        <v>189.9</v>
      </c>
      <c r="N1349" s="12">
        <f>K1349*J1349</f>
        <v>1899</v>
      </c>
      <c r="O1349" s="12">
        <f>N1349-M1349</f>
        <v>1709.1</v>
      </c>
      <c r="P1349" s="2" t="s">
        <v>45</v>
      </c>
      <c r="Q1349" s="2" t="s">
        <v>18</v>
      </c>
      <c r="R1349" s="2">
        <v>60</v>
      </c>
      <c r="S1349" s="20">
        <f>Table1[[#This Row],[Net_revenue]]/Table1[[#This Row],[Gross_revenue]]*100%</f>
        <v>0.89999999999999991</v>
      </c>
      <c r="T1349" s="18">
        <f>COUNTIFS(Table1[Customer ID], "&gt;1", Table1[Customer ID], 1)</f>
        <v>0</v>
      </c>
    </row>
    <row r="1350" spans="1:20" hidden="1" x14ac:dyDescent="0.3">
      <c r="A1350" s="2" t="s">
        <v>2017</v>
      </c>
      <c r="B1350" s="5">
        <v>45659</v>
      </c>
      <c r="C1350" s="5" t="str">
        <f>TEXT(B1350,"mmm")</f>
        <v>Jan</v>
      </c>
      <c r="D1350" s="2" t="s">
        <v>235</v>
      </c>
      <c r="E1350" s="2" t="s">
        <v>21</v>
      </c>
      <c r="F1350" s="2" t="str" cm="1">
        <f t="array" ref="F13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50" s="2" t="str" cm="1">
        <f t="array" ref="G13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50" s="2" t="s">
        <v>36</v>
      </c>
      <c r="I1350" s="2" t="s">
        <v>37</v>
      </c>
      <c r="J1350" s="2">
        <v>2</v>
      </c>
      <c r="K1350" s="8">
        <v>349</v>
      </c>
      <c r="L1350" s="3">
        <v>0.15</v>
      </c>
      <c r="M1350" s="12">
        <f>K1350*L1350</f>
        <v>52.35</v>
      </c>
      <c r="N1350" s="12">
        <f>K1350*J1350</f>
        <v>698</v>
      </c>
      <c r="O1350" s="12">
        <f>N1350-M1350</f>
        <v>645.65</v>
      </c>
      <c r="P1350" s="2" t="s">
        <v>45</v>
      </c>
      <c r="Q1350" s="2" t="s">
        <v>72</v>
      </c>
      <c r="R1350" s="2">
        <v>0</v>
      </c>
      <c r="S1350" s="20">
        <f>Table1[[#This Row],[Net_revenue]]/Table1[[#This Row],[Gross_revenue]]*100%</f>
        <v>0.92499999999999993</v>
      </c>
      <c r="T1350" s="18">
        <f>COUNTIFS(Table1[Customer ID], "&gt;1", Table1[Customer ID], 1)</f>
        <v>0</v>
      </c>
    </row>
    <row r="1351" spans="1:20" hidden="1" x14ac:dyDescent="0.3">
      <c r="A1351" s="2" t="s">
        <v>2018</v>
      </c>
      <c r="B1351" s="5">
        <v>45903</v>
      </c>
      <c r="C1351" s="5" t="str">
        <f>TEXT(B1351,"mmm")</f>
        <v>Sep</v>
      </c>
      <c r="D1351" s="2" t="s">
        <v>1973</v>
      </c>
      <c r="E1351" s="2" t="s">
        <v>120</v>
      </c>
      <c r="F1351" s="2" t="str" cm="1">
        <f t="array" ref="F13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51" s="2" t="str" cm="1">
        <f t="array" ref="G13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51" s="2" t="s">
        <v>28</v>
      </c>
      <c r="I1351" s="2" t="s">
        <v>29</v>
      </c>
      <c r="J1351" s="2">
        <v>1</v>
      </c>
      <c r="K1351" s="8">
        <v>2799</v>
      </c>
      <c r="L1351" s="3">
        <v>0.1</v>
      </c>
      <c r="M1351" s="12">
        <f>K1351*L1351</f>
        <v>279.90000000000003</v>
      </c>
      <c r="N1351" s="12">
        <f>K1351*J1351</f>
        <v>2799</v>
      </c>
      <c r="O1351" s="12">
        <f>N1351-M1351</f>
        <v>2519.1</v>
      </c>
      <c r="P1351" s="2" t="s">
        <v>45</v>
      </c>
      <c r="Q1351" s="2" t="s">
        <v>18</v>
      </c>
      <c r="R1351" s="2">
        <v>80</v>
      </c>
      <c r="S1351" s="20">
        <f>Table1[[#This Row],[Net_revenue]]/Table1[[#This Row],[Gross_revenue]]*100%</f>
        <v>0.9</v>
      </c>
      <c r="T1351" s="18">
        <f>COUNTIFS(Table1[Customer ID], "&gt;1", Table1[Customer ID], 1)</f>
        <v>0</v>
      </c>
    </row>
    <row r="1352" spans="1:20" hidden="1" x14ac:dyDescent="0.3">
      <c r="A1352" s="2" t="s">
        <v>2019</v>
      </c>
      <c r="B1352" s="5">
        <v>45692</v>
      </c>
      <c r="C1352" s="5" t="str">
        <f>TEXT(B1352,"mmm")</f>
        <v>Feb</v>
      </c>
      <c r="D1352" s="2" t="s">
        <v>127</v>
      </c>
      <c r="E1352" s="2" t="s">
        <v>48</v>
      </c>
      <c r="F1352" s="2" t="str" cm="1">
        <f t="array" ref="F13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52" s="2" t="str" cm="1">
        <f t="array" ref="G13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52" s="2" t="s">
        <v>44</v>
      </c>
      <c r="I1352" s="2" t="s">
        <v>16</v>
      </c>
      <c r="J1352" s="2">
        <v>2</v>
      </c>
      <c r="K1352" s="8">
        <v>1599</v>
      </c>
      <c r="L1352" s="3">
        <v>0.15</v>
      </c>
      <c r="M1352" s="12">
        <f>K1352*L1352</f>
        <v>239.85</v>
      </c>
      <c r="N1352" s="12">
        <f>K1352*J1352</f>
        <v>3198</v>
      </c>
      <c r="O1352" s="12">
        <f>N1352-M1352</f>
        <v>2958.15</v>
      </c>
      <c r="P1352" s="2" t="s">
        <v>17</v>
      </c>
      <c r="Q1352" s="2" t="s">
        <v>18</v>
      </c>
      <c r="R1352" s="2">
        <v>80</v>
      </c>
      <c r="S1352" s="20">
        <f>Table1[[#This Row],[Net_revenue]]/Table1[[#This Row],[Gross_revenue]]*100%</f>
        <v>0.92500000000000004</v>
      </c>
      <c r="T1352" s="18">
        <f>COUNTIFS(Table1[Customer ID], "&gt;1", Table1[Customer ID], 1)</f>
        <v>0</v>
      </c>
    </row>
    <row r="1353" spans="1:20" hidden="1" x14ac:dyDescent="0.3">
      <c r="A1353" s="2" t="s">
        <v>2020</v>
      </c>
      <c r="B1353" s="5">
        <v>45787</v>
      </c>
      <c r="C1353" s="5" t="str">
        <f>TEXT(B1353,"mmm")</f>
        <v>May</v>
      </c>
      <c r="D1353" s="2" t="s">
        <v>2021</v>
      </c>
      <c r="E1353" s="2" t="s">
        <v>21</v>
      </c>
      <c r="F1353" s="2" t="str" cm="1">
        <f t="array" ref="F13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53" s="2" t="str" cm="1">
        <f t="array" ref="G13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53" s="2" t="s">
        <v>63</v>
      </c>
      <c r="I1353" s="2" t="s">
        <v>23</v>
      </c>
      <c r="J1353" s="2">
        <v>1</v>
      </c>
      <c r="K1353" s="8">
        <v>2499</v>
      </c>
      <c r="L1353" s="3">
        <v>0.2</v>
      </c>
      <c r="M1353" s="12">
        <f>K1353*L1353</f>
        <v>499.8</v>
      </c>
      <c r="N1353" s="12">
        <f>K1353*J1353</f>
        <v>2499</v>
      </c>
      <c r="O1353" s="12">
        <f>N1353-M1353</f>
        <v>1999.2</v>
      </c>
      <c r="P1353" s="2" t="s">
        <v>45</v>
      </c>
      <c r="Q1353" s="2" t="s">
        <v>50</v>
      </c>
      <c r="R1353" s="2">
        <v>0</v>
      </c>
      <c r="S1353" s="20">
        <f>Table1[[#This Row],[Net_revenue]]/Table1[[#This Row],[Gross_revenue]]*100%</f>
        <v>0.8</v>
      </c>
      <c r="T1353" s="18">
        <f>COUNTIFS(Table1[Customer ID], "&gt;1", Table1[Customer ID], 1)</f>
        <v>0</v>
      </c>
    </row>
    <row r="1354" spans="1:20" hidden="1" x14ac:dyDescent="0.3">
      <c r="A1354" s="2" t="s">
        <v>2022</v>
      </c>
      <c r="B1354" s="5">
        <v>45992</v>
      </c>
      <c r="C1354" s="5" t="str">
        <f>TEXT(B1354,"mmm")</f>
        <v>Dec</v>
      </c>
      <c r="D1354" s="2" t="s">
        <v>1581</v>
      </c>
      <c r="E1354" s="2" t="s">
        <v>48</v>
      </c>
      <c r="F1354" s="2" t="str" cm="1">
        <f t="array" ref="F13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54" s="2" t="str" cm="1">
        <f t="array" ref="G13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54" s="2" t="s">
        <v>89</v>
      </c>
      <c r="I1354" s="2" t="s">
        <v>29</v>
      </c>
      <c r="J1354" s="2">
        <v>1</v>
      </c>
      <c r="K1354" s="8">
        <v>449</v>
      </c>
      <c r="L1354" s="3">
        <v>0.1</v>
      </c>
      <c r="M1354" s="12">
        <f>K1354*L1354</f>
        <v>44.900000000000006</v>
      </c>
      <c r="N1354" s="12">
        <f>K1354*J1354</f>
        <v>449</v>
      </c>
      <c r="O1354" s="12">
        <f>N1354-M1354</f>
        <v>404.1</v>
      </c>
      <c r="P1354" s="2" t="s">
        <v>30</v>
      </c>
      <c r="Q1354" s="2" t="s">
        <v>18</v>
      </c>
      <c r="R1354" s="2">
        <v>60</v>
      </c>
      <c r="S1354" s="20">
        <f>Table1[[#This Row],[Net_revenue]]/Table1[[#This Row],[Gross_revenue]]*100%</f>
        <v>0.9</v>
      </c>
      <c r="T1354" s="18">
        <f>COUNTIFS(Table1[Customer ID], "&gt;1", Table1[Customer ID], 1)</f>
        <v>0</v>
      </c>
    </row>
    <row r="1355" spans="1:20" hidden="1" x14ac:dyDescent="0.3">
      <c r="A1355" s="2" t="s">
        <v>2023</v>
      </c>
      <c r="B1355" s="5">
        <v>45668</v>
      </c>
      <c r="C1355" s="5" t="str">
        <f>TEXT(B1355,"mmm")</f>
        <v>Jan</v>
      </c>
      <c r="D1355" s="2" t="s">
        <v>1097</v>
      </c>
      <c r="E1355" s="2" t="s">
        <v>14</v>
      </c>
      <c r="F1355" s="2" t="str" cm="1">
        <f t="array" ref="F13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55" s="2" t="str" cm="1">
        <f t="array" ref="G13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55" s="2" t="s">
        <v>117</v>
      </c>
      <c r="I1355" s="2" t="s">
        <v>23</v>
      </c>
      <c r="J1355" s="2">
        <v>3</v>
      </c>
      <c r="K1355" s="8">
        <v>2199</v>
      </c>
      <c r="L1355" s="3">
        <v>0.15</v>
      </c>
      <c r="M1355" s="12">
        <f>K1355*L1355</f>
        <v>329.84999999999997</v>
      </c>
      <c r="N1355" s="12">
        <f>K1355*J1355</f>
        <v>6597</v>
      </c>
      <c r="O1355" s="12">
        <f>N1355-M1355</f>
        <v>6267.15</v>
      </c>
      <c r="P1355" s="2" t="s">
        <v>45</v>
      </c>
      <c r="Q1355" s="2" t="s">
        <v>50</v>
      </c>
      <c r="R1355" s="2">
        <v>0</v>
      </c>
      <c r="S1355" s="20">
        <f>Table1[[#This Row],[Net_revenue]]/Table1[[#This Row],[Gross_revenue]]*100%</f>
        <v>0.95</v>
      </c>
      <c r="T1355" s="18">
        <f>COUNTIFS(Table1[Customer ID], "&gt;1", Table1[Customer ID], 1)</f>
        <v>0</v>
      </c>
    </row>
    <row r="1356" spans="1:20" hidden="1" x14ac:dyDescent="0.3">
      <c r="A1356" s="2" t="s">
        <v>2024</v>
      </c>
      <c r="B1356" s="5">
        <v>45809</v>
      </c>
      <c r="C1356" s="5" t="str">
        <f>TEXT(B1356,"mmm")</f>
        <v>Jun</v>
      </c>
      <c r="D1356" s="2" t="s">
        <v>802</v>
      </c>
      <c r="E1356" s="2" t="s">
        <v>56</v>
      </c>
      <c r="F1356" s="2" t="str" cm="1">
        <f t="array" ref="F13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56" s="2" t="str" cm="1">
        <f t="array" ref="G13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56" s="2" t="s">
        <v>65</v>
      </c>
      <c r="I1356" s="2" t="s">
        <v>23</v>
      </c>
      <c r="J1356" s="2">
        <v>2</v>
      </c>
      <c r="K1356" s="8">
        <v>1899</v>
      </c>
      <c r="L1356" s="3">
        <v>0.1</v>
      </c>
      <c r="M1356" s="12">
        <f>K1356*L1356</f>
        <v>189.9</v>
      </c>
      <c r="N1356" s="12">
        <f>K1356*J1356</f>
        <v>3798</v>
      </c>
      <c r="O1356" s="12">
        <f>N1356-M1356</f>
        <v>3608.1</v>
      </c>
      <c r="P1356" s="2" t="s">
        <v>45</v>
      </c>
      <c r="Q1356" s="2" t="s">
        <v>18</v>
      </c>
      <c r="R1356" s="2">
        <v>60</v>
      </c>
      <c r="S1356" s="20">
        <f>Table1[[#This Row],[Net_revenue]]/Table1[[#This Row],[Gross_revenue]]*100%</f>
        <v>0.95</v>
      </c>
      <c r="T1356" s="18">
        <f>COUNTIFS(Table1[Customer ID], "&gt;1", Table1[Customer ID], 1)</f>
        <v>0</v>
      </c>
    </row>
    <row r="1357" spans="1:20" hidden="1" x14ac:dyDescent="0.3">
      <c r="A1357" s="2" t="s">
        <v>2025</v>
      </c>
      <c r="B1357" s="5">
        <v>45943</v>
      </c>
      <c r="C1357" s="5" t="str">
        <f>TEXT(B1357,"mmm")</f>
        <v>Oct</v>
      </c>
      <c r="D1357" s="2" t="s">
        <v>661</v>
      </c>
      <c r="E1357" s="2" t="s">
        <v>48</v>
      </c>
      <c r="F1357" s="2" t="str" cm="1">
        <f t="array" ref="F13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57" s="2" t="str" cm="1">
        <f t="array" ref="G13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57" s="2" t="s">
        <v>117</v>
      </c>
      <c r="I1357" s="2" t="s">
        <v>23</v>
      </c>
      <c r="J1357" s="2">
        <v>1</v>
      </c>
      <c r="K1357" s="8">
        <v>2199</v>
      </c>
      <c r="L1357" s="3">
        <v>0.25</v>
      </c>
      <c r="M1357" s="12">
        <f>K1357*L1357</f>
        <v>549.75</v>
      </c>
      <c r="N1357" s="12">
        <f>K1357*J1357</f>
        <v>2199</v>
      </c>
      <c r="O1357" s="12">
        <f>N1357-M1357</f>
        <v>1649.25</v>
      </c>
      <c r="P1357" s="2" t="s">
        <v>30</v>
      </c>
      <c r="Q1357" s="2" t="s">
        <v>18</v>
      </c>
      <c r="R1357" s="2">
        <v>60</v>
      </c>
      <c r="S1357" s="20">
        <f>Table1[[#This Row],[Net_revenue]]/Table1[[#This Row],[Gross_revenue]]*100%</f>
        <v>0.75</v>
      </c>
      <c r="T1357" s="18">
        <f>COUNTIFS(Table1[Customer ID], "&gt;1", Table1[Customer ID], 1)</f>
        <v>0</v>
      </c>
    </row>
    <row r="1358" spans="1:20" hidden="1" x14ac:dyDescent="0.3">
      <c r="A1358" s="2" t="s">
        <v>2026</v>
      </c>
      <c r="B1358" s="5">
        <v>45679</v>
      </c>
      <c r="C1358" s="5" t="str">
        <f>TEXT(B1358,"mmm")</f>
        <v>Jan</v>
      </c>
      <c r="D1358" s="2" t="s">
        <v>1656</v>
      </c>
      <c r="E1358" s="2" t="s">
        <v>14</v>
      </c>
      <c r="F1358" s="2" t="str" cm="1">
        <f t="array" ref="F13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58" s="2" t="str" cm="1">
        <f t="array" ref="G13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58" s="2" t="s">
        <v>68</v>
      </c>
      <c r="I1358" s="2" t="s">
        <v>16</v>
      </c>
      <c r="J1358" s="2">
        <v>1</v>
      </c>
      <c r="K1358" s="8">
        <v>599</v>
      </c>
      <c r="L1358" s="3">
        <v>0.05</v>
      </c>
      <c r="M1358" s="12">
        <f>K1358*L1358</f>
        <v>29.950000000000003</v>
      </c>
      <c r="N1358" s="12">
        <f>K1358*J1358</f>
        <v>599</v>
      </c>
      <c r="O1358" s="12">
        <f>N1358-M1358</f>
        <v>569.04999999999995</v>
      </c>
      <c r="P1358" s="2" t="s">
        <v>17</v>
      </c>
      <c r="Q1358" s="2" t="s">
        <v>50</v>
      </c>
      <c r="R1358" s="2">
        <v>60</v>
      </c>
      <c r="S1358" s="20">
        <f>Table1[[#This Row],[Net_revenue]]/Table1[[#This Row],[Gross_revenue]]*100%</f>
        <v>0.95</v>
      </c>
      <c r="T1358" s="18">
        <f>COUNTIFS(Table1[Customer ID], "&gt;1", Table1[Customer ID], 1)</f>
        <v>0</v>
      </c>
    </row>
    <row r="1359" spans="1:20" hidden="1" x14ac:dyDescent="0.3">
      <c r="A1359" s="2" t="s">
        <v>2027</v>
      </c>
      <c r="B1359" s="5">
        <v>45886</v>
      </c>
      <c r="C1359" s="5" t="str">
        <f>TEXT(B1359,"mmm")</f>
        <v>Aug</v>
      </c>
      <c r="D1359" s="2" t="s">
        <v>703</v>
      </c>
      <c r="E1359" s="2" t="s">
        <v>195</v>
      </c>
      <c r="F1359" s="2" t="str" cm="1">
        <f t="array" ref="F13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359" s="2" t="str" cm="1">
        <f t="array" ref="G13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59" s="2" t="s">
        <v>134</v>
      </c>
      <c r="I1359" s="2" t="s">
        <v>29</v>
      </c>
      <c r="J1359" s="2">
        <v>1</v>
      </c>
      <c r="K1359" s="8">
        <v>1499</v>
      </c>
      <c r="L1359" s="3">
        <v>0.25</v>
      </c>
      <c r="M1359" s="12">
        <f>K1359*L1359</f>
        <v>374.75</v>
      </c>
      <c r="N1359" s="12">
        <f>K1359*J1359</f>
        <v>1499</v>
      </c>
      <c r="O1359" s="12">
        <f>N1359-M1359</f>
        <v>1124.25</v>
      </c>
      <c r="P1359" s="2" t="s">
        <v>24</v>
      </c>
      <c r="Q1359" s="2" t="s">
        <v>18</v>
      </c>
      <c r="R1359" s="2">
        <v>60</v>
      </c>
      <c r="S1359" s="20">
        <f>Table1[[#This Row],[Net_revenue]]/Table1[[#This Row],[Gross_revenue]]*100%</f>
        <v>0.75</v>
      </c>
      <c r="T1359" s="18">
        <f>COUNTIFS(Table1[Customer ID], "&gt;1", Table1[Customer ID], 1)</f>
        <v>0</v>
      </c>
    </row>
    <row r="1360" spans="1:20" hidden="1" x14ac:dyDescent="0.3">
      <c r="A1360" s="2" t="s">
        <v>2028</v>
      </c>
      <c r="B1360" s="5">
        <v>45827</v>
      </c>
      <c r="C1360" s="5" t="str">
        <f>TEXT(B1360,"mmm")</f>
        <v>Jun</v>
      </c>
      <c r="D1360" s="2" t="s">
        <v>515</v>
      </c>
      <c r="E1360" s="2" t="s">
        <v>14</v>
      </c>
      <c r="F1360" s="2" t="str" cm="1">
        <f t="array" ref="F13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60" s="2" t="str" cm="1">
        <f t="array" ref="G13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60" s="2" t="s">
        <v>68</v>
      </c>
      <c r="I1360" s="2" t="s">
        <v>16</v>
      </c>
      <c r="J1360" s="2">
        <v>5</v>
      </c>
      <c r="K1360" s="8">
        <v>599</v>
      </c>
      <c r="L1360" s="3">
        <v>0.2</v>
      </c>
      <c r="M1360" s="12">
        <f>K1360*L1360</f>
        <v>119.80000000000001</v>
      </c>
      <c r="N1360" s="12">
        <f>K1360*J1360</f>
        <v>2995</v>
      </c>
      <c r="O1360" s="12">
        <f>N1360-M1360</f>
        <v>2875.2</v>
      </c>
      <c r="P1360" s="2" t="s">
        <v>45</v>
      </c>
      <c r="Q1360" s="2" t="s">
        <v>18</v>
      </c>
      <c r="R1360" s="2">
        <v>80</v>
      </c>
      <c r="S1360" s="20">
        <f>Table1[[#This Row],[Net_revenue]]/Table1[[#This Row],[Gross_revenue]]*100%</f>
        <v>0.96</v>
      </c>
      <c r="T1360" s="18">
        <f>COUNTIFS(Table1[Customer ID], "&gt;1", Table1[Customer ID], 1)</f>
        <v>0</v>
      </c>
    </row>
    <row r="1361" spans="1:20" hidden="1" x14ac:dyDescent="0.3">
      <c r="A1361" s="2" t="s">
        <v>2029</v>
      </c>
      <c r="B1361" s="5">
        <v>45760</v>
      </c>
      <c r="C1361" s="5" t="str">
        <f>TEXT(B1361,"mmm")</f>
        <v>Apr</v>
      </c>
      <c r="D1361" s="2" t="s">
        <v>714</v>
      </c>
      <c r="E1361" s="2" t="s">
        <v>27</v>
      </c>
      <c r="F1361" s="2" t="str" cm="1">
        <f t="array" ref="F13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361" s="2" t="str" cm="1">
        <f t="array" ref="G13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61" s="2" t="s">
        <v>80</v>
      </c>
      <c r="I1361" s="2" t="s">
        <v>23</v>
      </c>
      <c r="J1361" s="2">
        <v>1</v>
      </c>
      <c r="K1361" s="8">
        <v>799</v>
      </c>
      <c r="L1361" s="3">
        <v>0.1</v>
      </c>
      <c r="M1361" s="12">
        <f>K1361*L1361</f>
        <v>79.900000000000006</v>
      </c>
      <c r="N1361" s="12">
        <f>K1361*J1361</f>
        <v>799</v>
      </c>
      <c r="O1361" s="12">
        <f>N1361-M1361</f>
        <v>719.1</v>
      </c>
      <c r="P1361" s="2" t="s">
        <v>17</v>
      </c>
      <c r="Q1361" s="2" t="s">
        <v>18</v>
      </c>
      <c r="R1361" s="2">
        <v>80</v>
      </c>
      <c r="S1361" s="20">
        <f>Table1[[#This Row],[Net_revenue]]/Table1[[#This Row],[Gross_revenue]]*100%</f>
        <v>0.9</v>
      </c>
      <c r="T1361" s="18">
        <f>COUNTIFS(Table1[Customer ID], "&gt;1", Table1[Customer ID], 1)</f>
        <v>0</v>
      </c>
    </row>
    <row r="1362" spans="1:20" hidden="1" x14ac:dyDescent="0.3">
      <c r="A1362" s="2" t="s">
        <v>2030</v>
      </c>
      <c r="B1362" s="5">
        <v>45993</v>
      </c>
      <c r="C1362" s="5" t="str">
        <f>TEXT(B1362,"mmm")</f>
        <v>Dec</v>
      </c>
      <c r="D1362" s="2" t="s">
        <v>1745</v>
      </c>
      <c r="E1362" s="2" t="s">
        <v>48</v>
      </c>
      <c r="F1362" s="2" t="str" cm="1">
        <f t="array" ref="F13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62" s="2" t="str" cm="1">
        <f t="array" ref="G13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62" s="2" t="s">
        <v>107</v>
      </c>
      <c r="I1362" s="2" t="s">
        <v>95</v>
      </c>
      <c r="J1362" s="2">
        <v>1</v>
      </c>
      <c r="K1362" s="8">
        <v>1599</v>
      </c>
      <c r="L1362" s="3">
        <v>0.15</v>
      </c>
      <c r="M1362" s="12">
        <f>K1362*L1362</f>
        <v>239.85</v>
      </c>
      <c r="N1362" s="12">
        <f>K1362*J1362</f>
        <v>1599</v>
      </c>
      <c r="O1362" s="12">
        <f>N1362-M1362</f>
        <v>1359.15</v>
      </c>
      <c r="P1362" s="2" t="s">
        <v>45</v>
      </c>
      <c r="Q1362" s="2" t="s">
        <v>18</v>
      </c>
      <c r="R1362" s="2">
        <v>60</v>
      </c>
      <c r="S1362" s="20">
        <f>Table1[[#This Row],[Net_revenue]]/Table1[[#This Row],[Gross_revenue]]*100%</f>
        <v>0.85000000000000009</v>
      </c>
      <c r="T1362" s="18">
        <f>COUNTIFS(Table1[Customer ID], "&gt;1", Table1[Customer ID], 1)</f>
        <v>0</v>
      </c>
    </row>
    <row r="1363" spans="1:20" hidden="1" x14ac:dyDescent="0.3">
      <c r="A1363" s="2" t="s">
        <v>2031</v>
      </c>
      <c r="B1363" s="5">
        <v>45956</v>
      </c>
      <c r="C1363" s="5" t="str">
        <f>TEXT(B1363,"mmm")</f>
        <v>Oct</v>
      </c>
      <c r="D1363" s="2" t="s">
        <v>243</v>
      </c>
      <c r="E1363" s="2" t="s">
        <v>27</v>
      </c>
      <c r="F1363" s="2" t="str" cm="1">
        <f t="array" ref="F13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363" s="2" t="str" cm="1">
        <f t="array" ref="G13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63" s="2" t="s">
        <v>15</v>
      </c>
      <c r="I1363" s="2" t="s">
        <v>16</v>
      </c>
      <c r="J1363" s="2">
        <v>1</v>
      </c>
      <c r="K1363" s="8">
        <v>1799</v>
      </c>
      <c r="L1363" s="3">
        <v>0.15</v>
      </c>
      <c r="M1363" s="12">
        <f>K1363*L1363</f>
        <v>269.84999999999997</v>
      </c>
      <c r="N1363" s="12">
        <f>K1363*J1363</f>
        <v>1799</v>
      </c>
      <c r="O1363" s="12">
        <f>N1363-M1363</f>
        <v>1529.15</v>
      </c>
      <c r="P1363" s="2" t="s">
        <v>45</v>
      </c>
      <c r="Q1363" s="2" t="s">
        <v>18</v>
      </c>
      <c r="R1363" s="2">
        <v>80</v>
      </c>
      <c r="S1363" s="20">
        <f>Table1[[#This Row],[Net_revenue]]/Table1[[#This Row],[Gross_revenue]]*100%</f>
        <v>0.85000000000000009</v>
      </c>
      <c r="T1363" s="18">
        <f>COUNTIFS(Table1[Customer ID], "&gt;1", Table1[Customer ID], 1)</f>
        <v>0</v>
      </c>
    </row>
    <row r="1364" spans="1:20" hidden="1" x14ac:dyDescent="0.3">
      <c r="A1364" s="2" t="s">
        <v>2032</v>
      </c>
      <c r="B1364" s="5">
        <v>45944</v>
      </c>
      <c r="C1364" s="5" t="str">
        <f>TEXT(B1364,"mmm")</f>
        <v>Oct</v>
      </c>
      <c r="D1364" s="2" t="s">
        <v>339</v>
      </c>
      <c r="E1364" s="2" t="s">
        <v>40</v>
      </c>
      <c r="F1364" s="2" t="str" cm="1">
        <f t="array" ref="F13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64" s="2" t="str" cm="1">
        <f t="array" ref="G13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64" s="2" t="s">
        <v>121</v>
      </c>
      <c r="I1364" s="2" t="s">
        <v>95</v>
      </c>
      <c r="J1364" s="2">
        <v>2</v>
      </c>
      <c r="K1364" s="8">
        <v>1299</v>
      </c>
      <c r="L1364" s="3">
        <v>0.1</v>
      </c>
      <c r="M1364" s="12">
        <f>K1364*L1364</f>
        <v>129.9</v>
      </c>
      <c r="N1364" s="12">
        <f>K1364*J1364</f>
        <v>2598</v>
      </c>
      <c r="O1364" s="12">
        <f>N1364-M1364</f>
        <v>2468.1</v>
      </c>
      <c r="P1364" s="2" t="s">
        <v>24</v>
      </c>
      <c r="Q1364" s="2" t="s">
        <v>18</v>
      </c>
      <c r="R1364" s="2">
        <v>40</v>
      </c>
      <c r="S1364" s="20">
        <f>Table1[[#This Row],[Net_revenue]]/Table1[[#This Row],[Gross_revenue]]*100%</f>
        <v>0.95</v>
      </c>
      <c r="T1364" s="18">
        <f>COUNTIFS(Table1[Customer ID], "&gt;1", Table1[Customer ID], 1)</f>
        <v>0</v>
      </c>
    </row>
    <row r="1365" spans="1:20" hidden="1" x14ac:dyDescent="0.3">
      <c r="A1365" s="2" t="s">
        <v>2033</v>
      </c>
      <c r="B1365" s="5">
        <v>45993</v>
      </c>
      <c r="C1365" s="5" t="str">
        <f>TEXT(B1365,"mmm")</f>
        <v>Dec</v>
      </c>
      <c r="D1365" s="2" t="s">
        <v>615</v>
      </c>
      <c r="E1365" s="2" t="s">
        <v>120</v>
      </c>
      <c r="F1365" s="2" t="str" cm="1">
        <f t="array" ref="F13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65" s="2" t="str" cm="1">
        <f t="array" ref="G13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65" s="2" t="s">
        <v>33</v>
      </c>
      <c r="I1365" s="2" t="s">
        <v>16</v>
      </c>
      <c r="J1365" s="2">
        <v>3</v>
      </c>
      <c r="K1365" s="8">
        <v>899</v>
      </c>
      <c r="L1365" s="3">
        <v>0.1</v>
      </c>
      <c r="M1365" s="12">
        <f>K1365*L1365</f>
        <v>89.9</v>
      </c>
      <c r="N1365" s="12">
        <f>K1365*J1365</f>
        <v>2697</v>
      </c>
      <c r="O1365" s="12">
        <f>N1365-M1365</f>
        <v>2607.1</v>
      </c>
      <c r="P1365" s="2" t="s">
        <v>45</v>
      </c>
      <c r="Q1365" s="2" t="s">
        <v>18</v>
      </c>
      <c r="R1365" s="2">
        <v>80</v>
      </c>
      <c r="S1365" s="20">
        <f>Table1[[#This Row],[Net_revenue]]/Table1[[#This Row],[Gross_revenue]]*100%</f>
        <v>0.96666666666666667</v>
      </c>
      <c r="T1365" s="18">
        <f>COUNTIFS(Table1[Customer ID], "&gt;1", Table1[Customer ID], 1)</f>
        <v>0</v>
      </c>
    </row>
    <row r="1366" spans="1:20" hidden="1" x14ac:dyDescent="0.3">
      <c r="A1366" s="2" t="s">
        <v>2034</v>
      </c>
      <c r="B1366" s="5">
        <v>45867</v>
      </c>
      <c r="C1366" s="5" t="str">
        <f>TEXT(B1366,"mmm")</f>
        <v>Jul</v>
      </c>
      <c r="D1366" s="2" t="s">
        <v>1194</v>
      </c>
      <c r="E1366" s="2" t="s">
        <v>75</v>
      </c>
      <c r="F1366" s="2" t="str" cm="1">
        <f t="array" ref="F13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66" s="2" t="str" cm="1">
        <f t="array" ref="G13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66" s="2" t="s">
        <v>63</v>
      </c>
      <c r="I1366" s="2" t="s">
        <v>23</v>
      </c>
      <c r="J1366" s="2">
        <v>1</v>
      </c>
      <c r="K1366" s="8">
        <v>2499</v>
      </c>
      <c r="L1366" s="3">
        <v>0.15</v>
      </c>
      <c r="M1366" s="12">
        <f>K1366*L1366</f>
        <v>374.84999999999997</v>
      </c>
      <c r="N1366" s="12">
        <f>K1366*J1366</f>
        <v>2499</v>
      </c>
      <c r="O1366" s="12">
        <f>N1366-M1366</f>
        <v>2124.15</v>
      </c>
      <c r="P1366" s="2" t="s">
        <v>45</v>
      </c>
      <c r="Q1366" s="2" t="s">
        <v>18</v>
      </c>
      <c r="R1366" s="2">
        <v>0</v>
      </c>
      <c r="S1366" s="20">
        <f>Table1[[#This Row],[Net_revenue]]/Table1[[#This Row],[Gross_revenue]]*100%</f>
        <v>0.85000000000000009</v>
      </c>
      <c r="T1366" s="18">
        <f>COUNTIFS(Table1[Customer ID], "&gt;1", Table1[Customer ID], 1)</f>
        <v>0</v>
      </c>
    </row>
    <row r="1367" spans="1:20" hidden="1" x14ac:dyDescent="0.3">
      <c r="A1367" s="2" t="s">
        <v>2035</v>
      </c>
      <c r="B1367" s="5">
        <v>45771</v>
      </c>
      <c r="C1367" s="5" t="str">
        <f>TEXT(B1367,"mmm")</f>
        <v>Apr</v>
      </c>
      <c r="D1367" s="2" t="s">
        <v>974</v>
      </c>
      <c r="E1367" s="2" t="s">
        <v>48</v>
      </c>
      <c r="F1367" s="2" t="str" cm="1">
        <f t="array" ref="F13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67" s="2" t="str" cm="1">
        <f t="array" ref="G13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67" s="2" t="s">
        <v>33</v>
      </c>
      <c r="I1367" s="2" t="s">
        <v>16</v>
      </c>
      <c r="J1367" s="2">
        <v>4</v>
      </c>
      <c r="K1367" s="8">
        <v>899</v>
      </c>
      <c r="L1367" s="3">
        <v>0.1</v>
      </c>
      <c r="M1367" s="12">
        <f>K1367*L1367</f>
        <v>89.9</v>
      </c>
      <c r="N1367" s="12">
        <f>K1367*J1367</f>
        <v>3596</v>
      </c>
      <c r="O1367" s="12">
        <f>N1367-M1367</f>
        <v>3506.1</v>
      </c>
      <c r="P1367" s="2" t="s">
        <v>30</v>
      </c>
      <c r="Q1367" s="2" t="s">
        <v>18</v>
      </c>
      <c r="R1367" s="2">
        <v>40</v>
      </c>
      <c r="S1367" s="20">
        <f>Table1[[#This Row],[Net_revenue]]/Table1[[#This Row],[Gross_revenue]]*100%</f>
        <v>0.97499999999999998</v>
      </c>
      <c r="T1367" s="18">
        <f>COUNTIFS(Table1[Customer ID], "&gt;1", Table1[Customer ID], 1)</f>
        <v>0</v>
      </c>
    </row>
    <row r="1368" spans="1:20" hidden="1" x14ac:dyDescent="0.3">
      <c r="A1368" s="2" t="s">
        <v>2036</v>
      </c>
      <c r="B1368" s="5">
        <v>45883</v>
      </c>
      <c r="C1368" s="5" t="str">
        <f>TEXT(B1368,"mmm")</f>
        <v>Aug</v>
      </c>
      <c r="D1368" s="2" t="s">
        <v>1222</v>
      </c>
      <c r="E1368" s="2" t="s">
        <v>75</v>
      </c>
      <c r="F1368" s="2" t="str" cm="1">
        <f t="array" ref="F13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68" s="2" t="str" cm="1">
        <f t="array" ref="G13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68" s="2" t="s">
        <v>63</v>
      </c>
      <c r="I1368" s="2" t="s">
        <v>23</v>
      </c>
      <c r="J1368" s="2">
        <v>1</v>
      </c>
      <c r="K1368" s="8">
        <v>2499</v>
      </c>
      <c r="L1368" s="3">
        <v>0</v>
      </c>
      <c r="M1368" s="12">
        <f>K1368*L1368</f>
        <v>0</v>
      </c>
      <c r="N1368" s="12">
        <f>K1368*J1368</f>
        <v>2499</v>
      </c>
      <c r="O1368" s="12">
        <f>N1368-M1368</f>
        <v>2499</v>
      </c>
      <c r="P1368" s="2" t="s">
        <v>30</v>
      </c>
      <c r="Q1368" s="2" t="s">
        <v>18</v>
      </c>
      <c r="R1368" s="2">
        <v>80</v>
      </c>
      <c r="S1368" s="20">
        <f>Table1[[#This Row],[Net_revenue]]/Table1[[#This Row],[Gross_revenue]]*100%</f>
        <v>1</v>
      </c>
      <c r="T1368" s="18">
        <f>COUNTIFS(Table1[Customer ID], "&gt;1", Table1[Customer ID], 1)</f>
        <v>0</v>
      </c>
    </row>
    <row r="1369" spans="1:20" hidden="1" x14ac:dyDescent="0.3">
      <c r="A1369" s="2" t="s">
        <v>2037</v>
      </c>
      <c r="B1369" s="5">
        <v>46006</v>
      </c>
      <c r="C1369" s="5" t="str">
        <f>TEXT(B1369,"mmm")</f>
        <v>Dec</v>
      </c>
      <c r="D1369" s="2" t="s">
        <v>564</v>
      </c>
      <c r="E1369" s="2" t="s">
        <v>56</v>
      </c>
      <c r="F1369" s="2" t="str" cm="1">
        <f t="array" ref="F13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69" s="2" t="str" cm="1">
        <f t="array" ref="G13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69" s="2" t="s">
        <v>41</v>
      </c>
      <c r="I1369" s="2" t="s">
        <v>16</v>
      </c>
      <c r="J1369" s="2">
        <v>1</v>
      </c>
      <c r="K1369" s="8">
        <v>2299</v>
      </c>
      <c r="L1369" s="3">
        <v>0.1</v>
      </c>
      <c r="M1369" s="12">
        <f>K1369*L1369</f>
        <v>229.9</v>
      </c>
      <c r="N1369" s="12">
        <f>K1369*J1369</f>
        <v>2299</v>
      </c>
      <c r="O1369" s="12">
        <f>N1369-M1369</f>
        <v>2069.1</v>
      </c>
      <c r="P1369" s="2" t="s">
        <v>45</v>
      </c>
      <c r="Q1369" s="2" t="s">
        <v>18</v>
      </c>
      <c r="R1369" s="2">
        <v>40</v>
      </c>
      <c r="S1369" s="20">
        <f>Table1[[#This Row],[Net_revenue]]/Table1[[#This Row],[Gross_revenue]]*100%</f>
        <v>0.89999999999999991</v>
      </c>
      <c r="T1369" s="18">
        <f>COUNTIFS(Table1[Customer ID], "&gt;1", Table1[Customer ID], 1)</f>
        <v>0</v>
      </c>
    </row>
    <row r="1370" spans="1:20" hidden="1" x14ac:dyDescent="0.3">
      <c r="A1370" s="2" t="s">
        <v>2038</v>
      </c>
      <c r="B1370" s="5">
        <v>45931</v>
      </c>
      <c r="C1370" s="5" t="str">
        <f>TEXT(B1370,"mmm")</f>
        <v>Oct</v>
      </c>
      <c r="D1370" s="2" t="s">
        <v>507</v>
      </c>
      <c r="E1370" s="2" t="s">
        <v>48</v>
      </c>
      <c r="F1370" s="2" t="str" cm="1">
        <f t="array" ref="F13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70" s="2" t="str" cm="1">
        <f t="array" ref="G13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70" s="2" t="s">
        <v>65</v>
      </c>
      <c r="I1370" s="2" t="s">
        <v>23</v>
      </c>
      <c r="J1370" s="2">
        <v>1</v>
      </c>
      <c r="K1370" s="8">
        <v>1899</v>
      </c>
      <c r="L1370" s="3">
        <v>0.1</v>
      </c>
      <c r="M1370" s="12">
        <f>K1370*L1370</f>
        <v>189.9</v>
      </c>
      <c r="N1370" s="12">
        <f>K1370*J1370</f>
        <v>1899</v>
      </c>
      <c r="O1370" s="12">
        <f>N1370-M1370</f>
        <v>1709.1</v>
      </c>
      <c r="P1370" s="2" t="s">
        <v>45</v>
      </c>
      <c r="Q1370" s="2" t="s">
        <v>18</v>
      </c>
      <c r="R1370" s="2">
        <v>60</v>
      </c>
      <c r="S1370" s="20">
        <f>Table1[[#This Row],[Net_revenue]]/Table1[[#This Row],[Gross_revenue]]*100%</f>
        <v>0.89999999999999991</v>
      </c>
      <c r="T1370" s="18">
        <f>COUNTIFS(Table1[Customer ID], "&gt;1", Table1[Customer ID], 1)</f>
        <v>0</v>
      </c>
    </row>
    <row r="1371" spans="1:20" hidden="1" x14ac:dyDescent="0.3">
      <c r="A1371" s="2" t="s">
        <v>2039</v>
      </c>
      <c r="B1371" s="5">
        <v>45858</v>
      </c>
      <c r="C1371" s="5" t="str">
        <f>TEXT(B1371,"mmm")</f>
        <v>Jul</v>
      </c>
      <c r="D1371" s="2" t="s">
        <v>1647</v>
      </c>
      <c r="E1371" s="2" t="s">
        <v>48</v>
      </c>
      <c r="F1371" s="2" t="str" cm="1">
        <f t="array" ref="F13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71" s="2" t="str" cm="1">
        <f t="array" ref="G13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71" s="2" t="s">
        <v>80</v>
      </c>
      <c r="I1371" s="2" t="s">
        <v>23</v>
      </c>
      <c r="J1371" s="2">
        <v>1</v>
      </c>
      <c r="K1371" s="8">
        <v>799</v>
      </c>
      <c r="L1371" s="3">
        <v>0.1</v>
      </c>
      <c r="M1371" s="12">
        <f>K1371*L1371</f>
        <v>79.900000000000006</v>
      </c>
      <c r="N1371" s="12">
        <f>K1371*J1371</f>
        <v>799</v>
      </c>
      <c r="O1371" s="12">
        <f>N1371-M1371</f>
        <v>719.1</v>
      </c>
      <c r="P1371" s="2" t="s">
        <v>24</v>
      </c>
      <c r="Q1371" s="2" t="s">
        <v>18</v>
      </c>
      <c r="R1371" s="2">
        <v>0</v>
      </c>
      <c r="S1371" s="20">
        <f>Table1[[#This Row],[Net_revenue]]/Table1[[#This Row],[Gross_revenue]]*100%</f>
        <v>0.9</v>
      </c>
      <c r="T1371" s="18">
        <f>COUNTIFS(Table1[Customer ID], "&gt;1", Table1[Customer ID], 1)</f>
        <v>0</v>
      </c>
    </row>
    <row r="1372" spans="1:20" hidden="1" x14ac:dyDescent="0.3">
      <c r="A1372" s="2" t="s">
        <v>2040</v>
      </c>
      <c r="B1372" s="5">
        <v>45855</v>
      </c>
      <c r="C1372" s="5" t="str">
        <f>TEXT(B1372,"mmm")</f>
        <v>Jul</v>
      </c>
      <c r="D1372" s="2" t="s">
        <v>1022</v>
      </c>
      <c r="E1372" s="2" t="s">
        <v>53</v>
      </c>
      <c r="F1372" s="2" t="str" cm="1">
        <f t="array" ref="F13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372" s="2" t="str" cm="1">
        <f t="array" ref="G13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72" s="2" t="s">
        <v>107</v>
      </c>
      <c r="I1372" s="2" t="s">
        <v>95</v>
      </c>
      <c r="J1372" s="2">
        <v>1</v>
      </c>
      <c r="K1372" s="8">
        <v>1599</v>
      </c>
      <c r="L1372" s="3">
        <v>0.15</v>
      </c>
      <c r="M1372" s="12">
        <f>K1372*L1372</f>
        <v>239.85</v>
      </c>
      <c r="N1372" s="12">
        <f>K1372*J1372</f>
        <v>1599</v>
      </c>
      <c r="O1372" s="12">
        <f>N1372-M1372</f>
        <v>1359.15</v>
      </c>
      <c r="P1372" s="2" t="s">
        <v>17</v>
      </c>
      <c r="Q1372" s="2" t="s">
        <v>18</v>
      </c>
      <c r="R1372" s="2">
        <v>40</v>
      </c>
      <c r="S1372" s="20">
        <f>Table1[[#This Row],[Net_revenue]]/Table1[[#This Row],[Gross_revenue]]*100%</f>
        <v>0.85000000000000009</v>
      </c>
      <c r="T1372" s="18">
        <f>COUNTIFS(Table1[Customer ID], "&gt;1", Table1[Customer ID], 1)</f>
        <v>0</v>
      </c>
    </row>
    <row r="1373" spans="1:20" hidden="1" x14ac:dyDescent="0.3">
      <c r="A1373" s="2" t="s">
        <v>2041</v>
      </c>
      <c r="B1373" s="5">
        <v>45765</v>
      </c>
      <c r="C1373" s="5" t="str">
        <f>TEXT(B1373,"mmm")</f>
        <v>Apr</v>
      </c>
      <c r="D1373" s="2" t="s">
        <v>779</v>
      </c>
      <c r="E1373" s="2" t="s">
        <v>120</v>
      </c>
      <c r="F1373" s="2" t="str" cm="1">
        <f t="array" ref="F13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73" s="2" t="str" cm="1">
        <f t="array" ref="G13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73" s="2" t="s">
        <v>22</v>
      </c>
      <c r="I1373" s="2" t="s">
        <v>23</v>
      </c>
      <c r="J1373" s="2">
        <v>1</v>
      </c>
      <c r="K1373" s="8">
        <v>3999</v>
      </c>
      <c r="L1373" s="3">
        <v>0</v>
      </c>
      <c r="M1373" s="12">
        <f>K1373*L1373</f>
        <v>0</v>
      </c>
      <c r="N1373" s="12">
        <f>K1373*J1373</f>
        <v>3999</v>
      </c>
      <c r="O1373" s="12">
        <f>N1373-M1373</f>
        <v>3999</v>
      </c>
      <c r="P1373" s="2" t="s">
        <v>30</v>
      </c>
      <c r="Q1373" s="2" t="s">
        <v>50</v>
      </c>
      <c r="R1373" s="2">
        <v>0</v>
      </c>
      <c r="S1373" s="20">
        <f>Table1[[#This Row],[Net_revenue]]/Table1[[#This Row],[Gross_revenue]]*100%</f>
        <v>1</v>
      </c>
      <c r="T1373" s="18">
        <f>COUNTIFS(Table1[Customer ID], "&gt;1", Table1[Customer ID], 1)</f>
        <v>0</v>
      </c>
    </row>
    <row r="1374" spans="1:20" hidden="1" x14ac:dyDescent="0.3">
      <c r="A1374" s="2" t="s">
        <v>2042</v>
      </c>
      <c r="B1374" s="5">
        <v>45722</v>
      </c>
      <c r="C1374" s="5" t="str">
        <f>TEXT(B1374,"mmm")</f>
        <v>Mar</v>
      </c>
      <c r="D1374" s="2" t="s">
        <v>566</v>
      </c>
      <c r="E1374" s="2" t="s">
        <v>21</v>
      </c>
      <c r="F1374" s="2" t="str" cm="1">
        <f t="array" ref="F13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74" s="2" t="str" cm="1">
        <f t="array" ref="G13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74" s="2" t="s">
        <v>65</v>
      </c>
      <c r="I1374" s="2" t="s">
        <v>23</v>
      </c>
      <c r="J1374" s="2">
        <v>1</v>
      </c>
      <c r="K1374" s="8">
        <v>1899</v>
      </c>
      <c r="L1374" s="3">
        <v>0.05</v>
      </c>
      <c r="M1374" s="12">
        <f>K1374*L1374</f>
        <v>94.95</v>
      </c>
      <c r="N1374" s="12">
        <f>K1374*J1374</f>
        <v>1899</v>
      </c>
      <c r="O1374" s="12">
        <f>N1374-M1374</f>
        <v>1804.05</v>
      </c>
      <c r="P1374" s="2" t="s">
        <v>45</v>
      </c>
      <c r="Q1374" s="2" t="s">
        <v>50</v>
      </c>
      <c r="R1374" s="2">
        <v>80</v>
      </c>
      <c r="S1374" s="20">
        <f>Table1[[#This Row],[Net_revenue]]/Table1[[#This Row],[Gross_revenue]]*100%</f>
        <v>0.95</v>
      </c>
      <c r="T1374" s="18">
        <f>COUNTIFS(Table1[Customer ID], "&gt;1", Table1[Customer ID], 1)</f>
        <v>0</v>
      </c>
    </row>
    <row r="1375" spans="1:20" hidden="1" x14ac:dyDescent="0.3">
      <c r="A1375" s="2" t="s">
        <v>2043</v>
      </c>
      <c r="B1375" s="5">
        <v>45757</v>
      </c>
      <c r="C1375" s="5" t="str">
        <f>TEXT(B1375,"mmm")</f>
        <v>Apr</v>
      </c>
      <c r="D1375" s="2" t="s">
        <v>1083</v>
      </c>
      <c r="E1375" s="2" t="s">
        <v>21</v>
      </c>
      <c r="F1375" s="2" t="str" cm="1">
        <f t="array" ref="F13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75" s="2" t="str" cm="1">
        <f t="array" ref="G13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75" s="2" t="s">
        <v>22</v>
      </c>
      <c r="I1375" s="2" t="s">
        <v>23</v>
      </c>
      <c r="J1375" s="2">
        <v>2</v>
      </c>
      <c r="K1375" s="8">
        <v>3999</v>
      </c>
      <c r="L1375" s="3">
        <v>0.05</v>
      </c>
      <c r="M1375" s="12">
        <f>K1375*L1375</f>
        <v>199.95000000000002</v>
      </c>
      <c r="N1375" s="12">
        <f>K1375*J1375</f>
        <v>7998</v>
      </c>
      <c r="O1375" s="12">
        <f>N1375-M1375</f>
        <v>7798.05</v>
      </c>
      <c r="P1375" s="2" t="s">
        <v>17</v>
      </c>
      <c r="Q1375" s="2" t="s">
        <v>18</v>
      </c>
      <c r="R1375" s="2">
        <v>0</v>
      </c>
      <c r="S1375" s="20">
        <f>Table1[[#This Row],[Net_revenue]]/Table1[[#This Row],[Gross_revenue]]*100%</f>
        <v>0.97499999999999998</v>
      </c>
      <c r="T1375" s="18">
        <f>COUNTIFS(Table1[Customer ID], "&gt;1", Table1[Customer ID], 1)</f>
        <v>0</v>
      </c>
    </row>
    <row r="1376" spans="1:20" hidden="1" x14ac:dyDescent="0.3">
      <c r="A1376" s="2" t="s">
        <v>2044</v>
      </c>
      <c r="B1376" s="5">
        <v>45709</v>
      </c>
      <c r="C1376" s="5" t="str">
        <f>TEXT(B1376,"mmm")</f>
        <v>Feb</v>
      </c>
      <c r="D1376" s="2" t="s">
        <v>1335</v>
      </c>
      <c r="E1376" s="2" t="s">
        <v>21</v>
      </c>
      <c r="F1376" s="2" t="str" cm="1">
        <f t="array" ref="F13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76" s="2" t="str" cm="1">
        <f t="array" ref="G13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76" s="2" t="s">
        <v>188</v>
      </c>
      <c r="I1376" s="2" t="s">
        <v>95</v>
      </c>
      <c r="J1376" s="2">
        <v>1</v>
      </c>
      <c r="K1376" s="8">
        <v>699</v>
      </c>
      <c r="L1376" s="3">
        <v>0</v>
      </c>
      <c r="M1376" s="12">
        <f>K1376*L1376</f>
        <v>0</v>
      </c>
      <c r="N1376" s="12">
        <f>K1376*J1376</f>
        <v>699</v>
      </c>
      <c r="O1376" s="12">
        <f>N1376-M1376</f>
        <v>699</v>
      </c>
      <c r="P1376" s="2" t="s">
        <v>24</v>
      </c>
      <c r="Q1376" s="2" t="s">
        <v>72</v>
      </c>
      <c r="R1376" s="2">
        <v>40</v>
      </c>
      <c r="S1376" s="20">
        <f>Table1[[#This Row],[Net_revenue]]/Table1[[#This Row],[Gross_revenue]]*100%</f>
        <v>1</v>
      </c>
      <c r="T1376" s="18">
        <f>COUNTIFS(Table1[Customer ID], "&gt;1", Table1[Customer ID], 1)</f>
        <v>0</v>
      </c>
    </row>
    <row r="1377" spans="1:20" hidden="1" x14ac:dyDescent="0.3">
      <c r="A1377" s="2" t="s">
        <v>2045</v>
      </c>
      <c r="B1377" s="5">
        <v>45995</v>
      </c>
      <c r="C1377" s="5" t="str">
        <f>TEXT(B1377,"mmm")</f>
        <v>Dec</v>
      </c>
      <c r="D1377" s="2" t="s">
        <v>213</v>
      </c>
      <c r="E1377" s="2" t="s">
        <v>40</v>
      </c>
      <c r="F1377" s="2" t="str" cm="1">
        <f t="array" ref="F13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77" s="2" t="str" cm="1">
        <f t="array" ref="G13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77" s="2" t="s">
        <v>134</v>
      </c>
      <c r="I1377" s="2" t="s">
        <v>29</v>
      </c>
      <c r="J1377" s="2">
        <v>1</v>
      </c>
      <c r="K1377" s="8">
        <v>1499</v>
      </c>
      <c r="L1377" s="3">
        <v>0.1</v>
      </c>
      <c r="M1377" s="12">
        <f>K1377*L1377</f>
        <v>149.9</v>
      </c>
      <c r="N1377" s="12">
        <f>K1377*J1377</f>
        <v>1499</v>
      </c>
      <c r="O1377" s="12">
        <f>N1377-M1377</f>
        <v>1349.1</v>
      </c>
      <c r="P1377" s="2" t="s">
        <v>17</v>
      </c>
      <c r="Q1377" s="2" t="s">
        <v>72</v>
      </c>
      <c r="R1377" s="2">
        <v>0</v>
      </c>
      <c r="S1377" s="20">
        <f>Table1[[#This Row],[Net_revenue]]/Table1[[#This Row],[Gross_revenue]]*100%</f>
        <v>0.89999999999999991</v>
      </c>
      <c r="T1377" s="18">
        <f>COUNTIFS(Table1[Customer ID], "&gt;1", Table1[Customer ID], 1)</f>
        <v>0</v>
      </c>
    </row>
    <row r="1378" spans="1:20" x14ac:dyDescent="0.3">
      <c r="A1378" s="2" t="s">
        <v>2046</v>
      </c>
      <c r="B1378" s="5">
        <v>45969</v>
      </c>
      <c r="C1378" s="5" t="str">
        <f>TEXT(B1378,"mmm")</f>
        <v>Nov</v>
      </c>
      <c r="D1378" s="2" t="s">
        <v>235</v>
      </c>
      <c r="E1378" s="2"/>
      <c r="F1378" s="2" t="str" cm="1">
        <f t="array" ref="F13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1378" s="2" t="str" cm="1">
        <f t="array" ref="G13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1378" s="2" t="s">
        <v>22</v>
      </c>
      <c r="I1378" s="2" t="s">
        <v>23</v>
      </c>
      <c r="J1378" s="2">
        <v>1</v>
      </c>
      <c r="K1378" s="8">
        <v>3999</v>
      </c>
      <c r="L1378" s="3">
        <v>0.05</v>
      </c>
      <c r="M1378" s="12">
        <f>K1378*L1378</f>
        <v>199.95000000000002</v>
      </c>
      <c r="N1378" s="12">
        <f>K1378*J1378</f>
        <v>3999</v>
      </c>
      <c r="O1378" s="12">
        <f>N1378-M1378</f>
        <v>3799.05</v>
      </c>
      <c r="P1378" s="2" t="s">
        <v>45</v>
      </c>
      <c r="Q1378" s="2" t="s">
        <v>18</v>
      </c>
      <c r="R1378" s="2">
        <v>0</v>
      </c>
      <c r="S1378" s="20">
        <f>Table1[[#This Row],[Net_revenue]]/Table1[[#This Row],[Gross_revenue]]*100%</f>
        <v>0.95000000000000007</v>
      </c>
      <c r="T1378" s="18">
        <f>COUNTIFS(Table1[Customer ID], "&gt;1", Table1[Customer ID], 1)</f>
        <v>0</v>
      </c>
    </row>
    <row r="1379" spans="1:20" hidden="1" x14ac:dyDescent="0.3">
      <c r="A1379" s="2" t="s">
        <v>2047</v>
      </c>
      <c r="B1379" s="5">
        <v>45685</v>
      </c>
      <c r="C1379" s="5" t="str">
        <f>TEXT(B1379,"mmm")</f>
        <v>Jan</v>
      </c>
      <c r="D1379" s="2" t="s">
        <v>677</v>
      </c>
      <c r="E1379" s="2" t="s">
        <v>14</v>
      </c>
      <c r="F1379" s="2" t="str" cm="1">
        <f t="array" ref="F13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79" s="2" t="str" cm="1">
        <f t="array" ref="G13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79" s="2" t="s">
        <v>44</v>
      </c>
      <c r="I1379" s="2" t="s">
        <v>16</v>
      </c>
      <c r="J1379" s="2">
        <v>1</v>
      </c>
      <c r="K1379" s="8">
        <v>1599</v>
      </c>
      <c r="L1379" s="3">
        <v>0.2</v>
      </c>
      <c r="M1379" s="12">
        <f>K1379*L1379</f>
        <v>319.8</v>
      </c>
      <c r="N1379" s="12">
        <f>K1379*J1379</f>
        <v>1599</v>
      </c>
      <c r="O1379" s="12">
        <f>N1379-M1379</f>
        <v>1279.2</v>
      </c>
      <c r="P1379" s="2" t="s">
        <v>24</v>
      </c>
      <c r="Q1379" s="2" t="s">
        <v>18</v>
      </c>
      <c r="R1379" s="2">
        <v>40</v>
      </c>
      <c r="S1379" s="20">
        <f>Table1[[#This Row],[Net_revenue]]/Table1[[#This Row],[Gross_revenue]]*100%</f>
        <v>0.8</v>
      </c>
      <c r="T1379" s="18">
        <f>COUNTIFS(Table1[Customer ID], "&gt;1", Table1[Customer ID], 1)</f>
        <v>0</v>
      </c>
    </row>
    <row r="1380" spans="1:20" hidden="1" x14ac:dyDescent="0.3">
      <c r="A1380" s="2" t="s">
        <v>2048</v>
      </c>
      <c r="B1380" s="5">
        <v>45678</v>
      </c>
      <c r="C1380" s="5" t="str">
        <f>TEXT(B1380,"mmm")</f>
        <v>Jan</v>
      </c>
      <c r="D1380" s="2" t="s">
        <v>389</v>
      </c>
      <c r="E1380" s="2" t="s">
        <v>21</v>
      </c>
      <c r="F1380" s="2" t="str" cm="1">
        <f t="array" ref="F13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80" s="2" t="str" cm="1">
        <f t="array" ref="G13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80" s="2" t="s">
        <v>28</v>
      </c>
      <c r="I1380" s="2" t="s">
        <v>29</v>
      </c>
      <c r="J1380" s="2">
        <v>1</v>
      </c>
      <c r="K1380" s="8">
        <v>2799</v>
      </c>
      <c r="L1380" s="3">
        <v>0</v>
      </c>
      <c r="M1380" s="12">
        <f>K1380*L1380</f>
        <v>0</v>
      </c>
      <c r="N1380" s="12">
        <f>K1380*J1380</f>
        <v>2799</v>
      </c>
      <c r="O1380" s="12">
        <f>N1380-M1380</f>
        <v>2799</v>
      </c>
      <c r="P1380" s="2" t="s">
        <v>17</v>
      </c>
      <c r="Q1380" s="2" t="s">
        <v>72</v>
      </c>
      <c r="R1380" s="2">
        <v>40</v>
      </c>
      <c r="S1380" s="20">
        <f>Table1[[#This Row],[Net_revenue]]/Table1[[#This Row],[Gross_revenue]]*100%</f>
        <v>1</v>
      </c>
      <c r="T1380" s="18">
        <f>COUNTIFS(Table1[Customer ID], "&gt;1", Table1[Customer ID], 1)</f>
        <v>0</v>
      </c>
    </row>
    <row r="1381" spans="1:20" hidden="1" x14ac:dyDescent="0.3">
      <c r="A1381" s="2" t="s">
        <v>2049</v>
      </c>
      <c r="B1381" s="5">
        <v>45760</v>
      </c>
      <c r="C1381" s="5" t="str">
        <f>TEXT(B1381,"mmm")</f>
        <v>Apr</v>
      </c>
      <c r="D1381" s="2" t="s">
        <v>687</v>
      </c>
      <c r="E1381" s="2" t="s">
        <v>21</v>
      </c>
      <c r="F1381" s="2" t="str" cm="1">
        <f t="array" ref="F13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81" s="2" t="str" cm="1">
        <f t="array" ref="G13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81" s="2" t="s">
        <v>22</v>
      </c>
      <c r="I1381" s="2" t="s">
        <v>23</v>
      </c>
      <c r="J1381" s="2">
        <v>1</v>
      </c>
      <c r="K1381" s="8">
        <v>3999</v>
      </c>
      <c r="L1381" s="3">
        <v>0.1</v>
      </c>
      <c r="M1381" s="12">
        <f>K1381*L1381</f>
        <v>399.90000000000003</v>
      </c>
      <c r="N1381" s="12">
        <f>K1381*J1381</f>
        <v>3999</v>
      </c>
      <c r="O1381" s="12">
        <f>N1381-M1381</f>
        <v>3599.1</v>
      </c>
      <c r="P1381" s="2" t="s">
        <v>17</v>
      </c>
      <c r="Q1381" s="2" t="s">
        <v>18</v>
      </c>
      <c r="R1381" s="2">
        <v>40</v>
      </c>
      <c r="S1381" s="20">
        <f>Table1[[#This Row],[Net_revenue]]/Table1[[#This Row],[Gross_revenue]]*100%</f>
        <v>0.9</v>
      </c>
      <c r="T1381" s="18">
        <f>COUNTIFS(Table1[Customer ID], "&gt;1", Table1[Customer ID], 1)</f>
        <v>0</v>
      </c>
    </row>
    <row r="1382" spans="1:20" hidden="1" x14ac:dyDescent="0.3">
      <c r="A1382" s="2" t="s">
        <v>2050</v>
      </c>
      <c r="B1382" s="5">
        <v>45711</v>
      </c>
      <c r="C1382" s="5" t="str">
        <f>TEXT(B1382,"mmm")</f>
        <v>Feb</v>
      </c>
      <c r="D1382" s="2" t="s">
        <v>1154</v>
      </c>
      <c r="E1382" s="2" t="s">
        <v>75</v>
      </c>
      <c r="F1382" s="2" t="str" cm="1">
        <f t="array" ref="F13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82" s="2" t="str" cm="1">
        <f t="array" ref="G13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82" s="2" t="s">
        <v>65</v>
      </c>
      <c r="I1382" s="2" t="s">
        <v>23</v>
      </c>
      <c r="J1382" s="2">
        <v>1</v>
      </c>
      <c r="K1382" s="8">
        <v>1899</v>
      </c>
      <c r="L1382" s="3">
        <v>0</v>
      </c>
      <c r="M1382" s="12">
        <f>K1382*L1382</f>
        <v>0</v>
      </c>
      <c r="N1382" s="12">
        <f>K1382*J1382</f>
        <v>1899</v>
      </c>
      <c r="O1382" s="12">
        <f>N1382-M1382</f>
        <v>1899</v>
      </c>
      <c r="P1382" s="2" t="s">
        <v>17</v>
      </c>
      <c r="Q1382" s="2" t="s">
        <v>18</v>
      </c>
      <c r="R1382" s="2">
        <v>0</v>
      </c>
      <c r="S1382" s="20">
        <f>Table1[[#This Row],[Net_revenue]]/Table1[[#This Row],[Gross_revenue]]*100%</f>
        <v>1</v>
      </c>
      <c r="T1382" s="18">
        <f>COUNTIFS(Table1[Customer ID], "&gt;1", Table1[Customer ID], 1)</f>
        <v>0</v>
      </c>
    </row>
    <row r="1383" spans="1:20" hidden="1" x14ac:dyDescent="0.3">
      <c r="A1383" s="2" t="s">
        <v>2051</v>
      </c>
      <c r="B1383" s="5">
        <v>45820</v>
      </c>
      <c r="C1383" s="5" t="str">
        <f>TEXT(B1383,"mmm")</f>
        <v>Jun</v>
      </c>
      <c r="D1383" s="2" t="s">
        <v>1493</v>
      </c>
      <c r="E1383" s="2" t="s">
        <v>21</v>
      </c>
      <c r="F1383" s="2" t="str" cm="1">
        <f t="array" ref="F13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83" s="2" t="str" cm="1">
        <f t="array" ref="G13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83" s="2" t="s">
        <v>49</v>
      </c>
      <c r="I1383" s="2" t="s">
        <v>23</v>
      </c>
      <c r="J1383" s="2">
        <v>2</v>
      </c>
      <c r="K1383" s="8">
        <v>1299</v>
      </c>
      <c r="L1383" s="3">
        <v>0.2</v>
      </c>
      <c r="M1383" s="12">
        <f>K1383*L1383</f>
        <v>259.8</v>
      </c>
      <c r="N1383" s="12">
        <f>K1383*J1383</f>
        <v>2598</v>
      </c>
      <c r="O1383" s="12">
        <f>N1383-M1383</f>
        <v>2338.1999999999998</v>
      </c>
      <c r="P1383" s="2" t="s">
        <v>45</v>
      </c>
      <c r="Q1383" s="2" t="s">
        <v>18</v>
      </c>
      <c r="R1383" s="2">
        <v>40</v>
      </c>
      <c r="S1383" s="20">
        <f>Table1[[#This Row],[Net_revenue]]/Table1[[#This Row],[Gross_revenue]]*100%</f>
        <v>0.89999999999999991</v>
      </c>
      <c r="T1383" s="18">
        <f>COUNTIFS(Table1[Customer ID], "&gt;1", Table1[Customer ID], 1)</f>
        <v>0</v>
      </c>
    </row>
    <row r="1384" spans="1:20" hidden="1" x14ac:dyDescent="0.3">
      <c r="A1384" s="2" t="s">
        <v>2052</v>
      </c>
      <c r="B1384" s="5">
        <v>45979</v>
      </c>
      <c r="C1384" s="5" t="str">
        <f>TEXT(B1384,"mmm")</f>
        <v>Nov</v>
      </c>
      <c r="D1384" s="2" t="s">
        <v>2053</v>
      </c>
      <c r="E1384" s="2" t="s">
        <v>40</v>
      </c>
      <c r="F1384" s="2" t="str" cm="1">
        <f t="array" ref="F13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84" s="2" t="str" cm="1">
        <f t="array" ref="G13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84" s="2" t="s">
        <v>28</v>
      </c>
      <c r="I1384" s="2" t="s">
        <v>29</v>
      </c>
      <c r="J1384" s="2">
        <v>3</v>
      </c>
      <c r="K1384" s="8">
        <v>2799</v>
      </c>
      <c r="L1384" s="3">
        <v>0.25</v>
      </c>
      <c r="M1384" s="12">
        <f>K1384*L1384</f>
        <v>699.75</v>
      </c>
      <c r="N1384" s="12">
        <f>K1384*J1384</f>
        <v>8397</v>
      </c>
      <c r="O1384" s="12">
        <f>N1384-M1384</f>
        <v>7697.25</v>
      </c>
      <c r="P1384" s="2" t="s">
        <v>30</v>
      </c>
      <c r="Q1384" s="2" t="s">
        <v>50</v>
      </c>
      <c r="R1384" s="2">
        <v>40</v>
      </c>
      <c r="S1384" s="20">
        <f>Table1[[#This Row],[Net_revenue]]/Table1[[#This Row],[Gross_revenue]]*100%</f>
        <v>0.91666666666666663</v>
      </c>
      <c r="T1384" s="18">
        <f>COUNTIFS(Table1[Customer ID], "&gt;1", Table1[Customer ID], 1)</f>
        <v>0</v>
      </c>
    </row>
    <row r="1385" spans="1:20" hidden="1" x14ac:dyDescent="0.3">
      <c r="A1385" s="2" t="s">
        <v>2054</v>
      </c>
      <c r="B1385" s="5">
        <v>45748</v>
      </c>
      <c r="C1385" s="5" t="str">
        <f>TEXT(B1385,"mmm")</f>
        <v>Apr</v>
      </c>
      <c r="D1385" s="2" t="s">
        <v>20</v>
      </c>
      <c r="E1385" s="2" t="s">
        <v>21</v>
      </c>
      <c r="F1385" s="2" t="str" cm="1">
        <f t="array" ref="F13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85" s="2" t="str" cm="1">
        <f t="array" ref="G13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85" s="2" t="s">
        <v>65</v>
      </c>
      <c r="I1385" s="2" t="s">
        <v>23</v>
      </c>
      <c r="J1385" s="2">
        <v>1</v>
      </c>
      <c r="K1385" s="8">
        <v>1899</v>
      </c>
      <c r="L1385" s="3">
        <v>0.25</v>
      </c>
      <c r="M1385" s="12">
        <f>K1385*L1385</f>
        <v>474.75</v>
      </c>
      <c r="N1385" s="12">
        <f>K1385*J1385</f>
        <v>1899</v>
      </c>
      <c r="O1385" s="12">
        <f>N1385-M1385</f>
        <v>1424.25</v>
      </c>
      <c r="P1385" s="2" t="s">
        <v>17</v>
      </c>
      <c r="Q1385" s="2" t="s">
        <v>18</v>
      </c>
      <c r="R1385" s="2">
        <v>60</v>
      </c>
      <c r="S1385" s="20">
        <f>Table1[[#This Row],[Net_revenue]]/Table1[[#This Row],[Gross_revenue]]*100%</f>
        <v>0.75</v>
      </c>
      <c r="T1385" s="18">
        <f>COUNTIFS(Table1[Customer ID], "&gt;1", Table1[Customer ID], 1)</f>
        <v>0</v>
      </c>
    </row>
    <row r="1386" spans="1:20" hidden="1" x14ac:dyDescent="0.3">
      <c r="A1386" s="2" t="s">
        <v>2055</v>
      </c>
      <c r="B1386" s="5">
        <v>45799</v>
      </c>
      <c r="C1386" s="5" t="str">
        <f>TEXT(B1386,"mmm")</f>
        <v>May</v>
      </c>
      <c r="D1386" s="2" t="s">
        <v>651</v>
      </c>
      <c r="E1386" s="2" t="s">
        <v>40</v>
      </c>
      <c r="F1386" s="2" t="str" cm="1">
        <f t="array" ref="F13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86" s="2" t="str" cm="1">
        <f t="array" ref="G13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86" s="2" t="s">
        <v>28</v>
      </c>
      <c r="I1386" s="2" t="s">
        <v>29</v>
      </c>
      <c r="J1386" s="2">
        <v>1</v>
      </c>
      <c r="K1386" s="8">
        <v>2799</v>
      </c>
      <c r="L1386" s="3">
        <v>0</v>
      </c>
      <c r="M1386" s="12">
        <f>K1386*L1386</f>
        <v>0</v>
      </c>
      <c r="N1386" s="12">
        <f>K1386*J1386</f>
        <v>2799</v>
      </c>
      <c r="O1386" s="12">
        <f>N1386-M1386</f>
        <v>2799</v>
      </c>
      <c r="P1386" s="2" t="s">
        <v>45</v>
      </c>
      <c r="Q1386" s="2" t="s">
        <v>18</v>
      </c>
      <c r="R1386" s="2">
        <v>80</v>
      </c>
      <c r="S1386" s="20">
        <f>Table1[[#This Row],[Net_revenue]]/Table1[[#This Row],[Gross_revenue]]*100%</f>
        <v>1</v>
      </c>
      <c r="T1386" s="18">
        <f>COUNTIFS(Table1[Customer ID], "&gt;1", Table1[Customer ID], 1)</f>
        <v>0</v>
      </c>
    </row>
    <row r="1387" spans="1:20" hidden="1" x14ac:dyDescent="0.3">
      <c r="A1387" s="2" t="s">
        <v>2056</v>
      </c>
      <c r="B1387" s="5">
        <v>45925</v>
      </c>
      <c r="C1387" s="5" t="str">
        <f>TEXT(B1387,"mmm")</f>
        <v>Sep</v>
      </c>
      <c r="D1387" s="2" t="s">
        <v>74</v>
      </c>
      <c r="E1387" s="2" t="s">
        <v>40</v>
      </c>
      <c r="F1387" s="2" t="str" cm="1">
        <f t="array" ref="F13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87" s="2" t="str" cm="1">
        <f t="array" ref="G13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87" s="2" t="s">
        <v>33</v>
      </c>
      <c r="I1387" s="2" t="s">
        <v>16</v>
      </c>
      <c r="J1387" s="2">
        <v>1</v>
      </c>
      <c r="K1387" s="8">
        <v>899</v>
      </c>
      <c r="L1387" s="3">
        <v>0.15</v>
      </c>
      <c r="M1387" s="12">
        <f>K1387*L1387</f>
        <v>134.85</v>
      </c>
      <c r="N1387" s="12">
        <f>K1387*J1387</f>
        <v>899</v>
      </c>
      <c r="O1387" s="12">
        <f>N1387-M1387</f>
        <v>764.15</v>
      </c>
      <c r="P1387" s="2" t="s">
        <v>45</v>
      </c>
      <c r="Q1387" s="2" t="s">
        <v>18</v>
      </c>
      <c r="R1387" s="2">
        <v>60</v>
      </c>
      <c r="S1387" s="20">
        <f>Table1[[#This Row],[Net_revenue]]/Table1[[#This Row],[Gross_revenue]]*100%</f>
        <v>0.85</v>
      </c>
      <c r="T1387" s="18">
        <f>COUNTIFS(Table1[Customer ID], "&gt;1", Table1[Customer ID], 1)</f>
        <v>0</v>
      </c>
    </row>
    <row r="1388" spans="1:20" hidden="1" x14ac:dyDescent="0.3">
      <c r="A1388" s="2" t="s">
        <v>2057</v>
      </c>
      <c r="B1388" s="5">
        <v>45854</v>
      </c>
      <c r="C1388" s="5" t="str">
        <f>TEXT(B1388,"mmm")</f>
        <v>Jul</v>
      </c>
      <c r="D1388" s="2" t="s">
        <v>43</v>
      </c>
      <c r="E1388" s="2" t="s">
        <v>14</v>
      </c>
      <c r="F1388" s="2" t="str" cm="1">
        <f t="array" ref="F13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388" s="2" t="str" cm="1">
        <f t="array" ref="G13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388" s="2" t="s">
        <v>80</v>
      </c>
      <c r="I1388" s="2" t="s">
        <v>23</v>
      </c>
      <c r="J1388" s="2">
        <v>1</v>
      </c>
      <c r="K1388" s="8">
        <v>799</v>
      </c>
      <c r="L1388" s="3">
        <v>0.1</v>
      </c>
      <c r="M1388" s="12">
        <f>K1388*L1388</f>
        <v>79.900000000000006</v>
      </c>
      <c r="N1388" s="12">
        <f>K1388*J1388</f>
        <v>799</v>
      </c>
      <c r="O1388" s="12">
        <f>N1388-M1388</f>
        <v>719.1</v>
      </c>
      <c r="P1388" s="2" t="s">
        <v>45</v>
      </c>
      <c r="Q1388" s="2" t="s">
        <v>18</v>
      </c>
      <c r="R1388" s="2">
        <v>80</v>
      </c>
      <c r="S1388" s="20">
        <f>Table1[[#This Row],[Net_revenue]]/Table1[[#This Row],[Gross_revenue]]*100%</f>
        <v>0.9</v>
      </c>
      <c r="T1388" s="18">
        <f>COUNTIFS(Table1[Customer ID], "&gt;1", Table1[Customer ID], 1)</f>
        <v>0</v>
      </c>
    </row>
    <row r="1389" spans="1:20" hidden="1" x14ac:dyDescent="0.3">
      <c r="A1389" s="2" t="s">
        <v>2058</v>
      </c>
      <c r="B1389" s="5">
        <v>45771</v>
      </c>
      <c r="C1389" s="5" t="str">
        <f>TEXT(B1389,"mmm")</f>
        <v>Apr</v>
      </c>
      <c r="D1389" s="2" t="s">
        <v>764</v>
      </c>
      <c r="E1389" s="2" t="s">
        <v>27</v>
      </c>
      <c r="F1389" s="2" t="str" cm="1">
        <f t="array" ref="F13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389" s="2" t="str" cm="1">
        <f t="array" ref="G13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89" s="2" t="s">
        <v>41</v>
      </c>
      <c r="I1389" s="2" t="s">
        <v>16</v>
      </c>
      <c r="J1389" s="2">
        <v>1</v>
      </c>
      <c r="K1389" s="8">
        <v>2299</v>
      </c>
      <c r="L1389" s="3">
        <v>0</v>
      </c>
      <c r="M1389" s="12">
        <f>K1389*L1389</f>
        <v>0</v>
      </c>
      <c r="N1389" s="12">
        <f>K1389*J1389</f>
        <v>2299</v>
      </c>
      <c r="O1389" s="12">
        <f>N1389-M1389</f>
        <v>2299</v>
      </c>
      <c r="P1389" s="2" t="s">
        <v>45</v>
      </c>
      <c r="Q1389" s="2" t="s">
        <v>18</v>
      </c>
      <c r="R1389" s="2">
        <v>80</v>
      </c>
      <c r="S1389" s="20">
        <f>Table1[[#This Row],[Net_revenue]]/Table1[[#This Row],[Gross_revenue]]*100%</f>
        <v>1</v>
      </c>
      <c r="T1389" s="18">
        <f>COUNTIFS(Table1[Customer ID], "&gt;1", Table1[Customer ID], 1)</f>
        <v>0</v>
      </c>
    </row>
    <row r="1390" spans="1:20" hidden="1" x14ac:dyDescent="0.3">
      <c r="A1390" s="2" t="s">
        <v>2059</v>
      </c>
      <c r="B1390" s="5">
        <v>45779</v>
      </c>
      <c r="C1390" s="5" t="str">
        <f>TEXT(B1390,"mmm")</f>
        <v>May</v>
      </c>
      <c r="D1390" s="2" t="s">
        <v>2060</v>
      </c>
      <c r="E1390" s="2" t="s">
        <v>75</v>
      </c>
      <c r="F1390" s="2" t="str" cm="1">
        <f t="array" ref="F13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90" s="2" t="str" cm="1">
        <f t="array" ref="G13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90" s="2" t="s">
        <v>22</v>
      </c>
      <c r="I1390" s="2" t="s">
        <v>23</v>
      </c>
      <c r="J1390" s="2">
        <v>1</v>
      </c>
      <c r="K1390" s="8">
        <v>3999</v>
      </c>
      <c r="L1390" s="3">
        <v>0</v>
      </c>
      <c r="M1390" s="12">
        <f>K1390*L1390</f>
        <v>0</v>
      </c>
      <c r="N1390" s="12">
        <f>K1390*J1390</f>
        <v>3999</v>
      </c>
      <c r="O1390" s="12">
        <f>N1390-M1390</f>
        <v>3999</v>
      </c>
      <c r="P1390" s="2" t="s">
        <v>45</v>
      </c>
      <c r="Q1390" s="2" t="s">
        <v>18</v>
      </c>
      <c r="R1390" s="2">
        <v>40</v>
      </c>
      <c r="S1390" s="20">
        <f>Table1[[#This Row],[Net_revenue]]/Table1[[#This Row],[Gross_revenue]]*100%</f>
        <v>1</v>
      </c>
      <c r="T1390" s="18">
        <f>COUNTIFS(Table1[Customer ID], "&gt;1", Table1[Customer ID], 1)</f>
        <v>0</v>
      </c>
    </row>
    <row r="1391" spans="1:20" hidden="1" x14ac:dyDescent="0.3">
      <c r="A1391" s="2" t="s">
        <v>2061</v>
      </c>
      <c r="B1391" s="5">
        <v>45872</v>
      </c>
      <c r="C1391" s="5" t="str">
        <f>TEXT(B1391,"mmm")</f>
        <v>Aug</v>
      </c>
      <c r="D1391" s="2" t="s">
        <v>1043</v>
      </c>
      <c r="E1391" s="2" t="s">
        <v>40</v>
      </c>
      <c r="F1391" s="2" t="str" cm="1">
        <f t="array" ref="F13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91" s="2" t="str" cm="1">
        <f t="array" ref="G13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91" s="2" t="s">
        <v>49</v>
      </c>
      <c r="I1391" s="2" t="s">
        <v>23</v>
      </c>
      <c r="J1391" s="2">
        <v>1</v>
      </c>
      <c r="K1391" s="8">
        <v>1299</v>
      </c>
      <c r="L1391" s="3">
        <v>0.05</v>
      </c>
      <c r="M1391" s="12">
        <f>K1391*L1391</f>
        <v>64.95</v>
      </c>
      <c r="N1391" s="12">
        <f>K1391*J1391</f>
        <v>1299</v>
      </c>
      <c r="O1391" s="12">
        <f>N1391-M1391</f>
        <v>1234.05</v>
      </c>
      <c r="P1391" s="2" t="s">
        <v>17</v>
      </c>
      <c r="Q1391" s="2" t="s">
        <v>18</v>
      </c>
      <c r="R1391" s="2">
        <v>80</v>
      </c>
      <c r="S1391" s="20">
        <f>Table1[[#This Row],[Net_revenue]]/Table1[[#This Row],[Gross_revenue]]*100%</f>
        <v>0.95</v>
      </c>
      <c r="T1391" s="18">
        <f>COUNTIFS(Table1[Customer ID], "&gt;1", Table1[Customer ID], 1)</f>
        <v>0</v>
      </c>
    </row>
    <row r="1392" spans="1:20" hidden="1" x14ac:dyDescent="0.3">
      <c r="A1392" s="2" t="s">
        <v>2062</v>
      </c>
      <c r="B1392" s="5">
        <v>45816</v>
      </c>
      <c r="C1392" s="5" t="str">
        <f>TEXT(B1392,"mmm")</f>
        <v>Jun</v>
      </c>
      <c r="D1392" s="2" t="s">
        <v>513</v>
      </c>
      <c r="E1392" s="2" t="s">
        <v>195</v>
      </c>
      <c r="F1392" s="2" t="str" cm="1">
        <f t="array" ref="F13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392" s="2" t="str" cm="1">
        <f t="array" ref="G13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92" s="2" t="s">
        <v>121</v>
      </c>
      <c r="I1392" s="2" t="s">
        <v>95</v>
      </c>
      <c r="J1392" s="2">
        <v>1</v>
      </c>
      <c r="K1392" s="8">
        <v>1299</v>
      </c>
      <c r="L1392" s="3">
        <v>0</v>
      </c>
      <c r="M1392" s="12">
        <f>K1392*L1392</f>
        <v>0</v>
      </c>
      <c r="N1392" s="12">
        <f>K1392*J1392</f>
        <v>1299</v>
      </c>
      <c r="O1392" s="12">
        <f>N1392-M1392</f>
        <v>1299</v>
      </c>
      <c r="P1392" s="2" t="s">
        <v>45</v>
      </c>
      <c r="Q1392" s="2" t="s">
        <v>18</v>
      </c>
      <c r="R1392" s="2">
        <v>40</v>
      </c>
      <c r="S1392" s="20">
        <f>Table1[[#This Row],[Net_revenue]]/Table1[[#This Row],[Gross_revenue]]*100%</f>
        <v>1</v>
      </c>
      <c r="T1392" s="18">
        <f>COUNTIFS(Table1[Customer ID], "&gt;1", Table1[Customer ID], 1)</f>
        <v>0</v>
      </c>
    </row>
    <row r="1393" spans="1:20" hidden="1" x14ac:dyDescent="0.3">
      <c r="A1393" s="2" t="s">
        <v>2063</v>
      </c>
      <c r="B1393" s="5">
        <v>45775</v>
      </c>
      <c r="C1393" s="5" t="str">
        <f>TEXT(B1393,"mmm")</f>
        <v>Apr</v>
      </c>
      <c r="D1393" s="2" t="s">
        <v>817</v>
      </c>
      <c r="E1393" s="2" t="s">
        <v>56</v>
      </c>
      <c r="F1393" s="2" t="str" cm="1">
        <f t="array" ref="F13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393" s="2" t="str" cm="1">
        <f t="array" ref="G13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93" s="2" t="s">
        <v>134</v>
      </c>
      <c r="I1393" s="2" t="s">
        <v>29</v>
      </c>
      <c r="J1393" s="2">
        <v>1</v>
      </c>
      <c r="K1393" s="8">
        <v>1499</v>
      </c>
      <c r="L1393" s="3">
        <v>0.1</v>
      </c>
      <c r="M1393" s="12">
        <f>K1393*L1393</f>
        <v>149.9</v>
      </c>
      <c r="N1393" s="12">
        <f>K1393*J1393</f>
        <v>1499</v>
      </c>
      <c r="O1393" s="12">
        <f>N1393-M1393</f>
        <v>1349.1</v>
      </c>
      <c r="P1393" s="2" t="s">
        <v>30</v>
      </c>
      <c r="Q1393" s="2" t="s">
        <v>72</v>
      </c>
      <c r="R1393" s="2">
        <v>40</v>
      </c>
      <c r="S1393" s="20">
        <f>Table1[[#This Row],[Net_revenue]]/Table1[[#This Row],[Gross_revenue]]*100%</f>
        <v>0.89999999999999991</v>
      </c>
      <c r="T1393" s="18">
        <f>COUNTIFS(Table1[Customer ID], "&gt;1", Table1[Customer ID], 1)</f>
        <v>0</v>
      </c>
    </row>
    <row r="1394" spans="1:20" hidden="1" x14ac:dyDescent="0.3">
      <c r="A1394" s="2" t="s">
        <v>2064</v>
      </c>
      <c r="B1394" s="5">
        <v>45888</v>
      </c>
      <c r="C1394" s="5" t="str">
        <f>TEXT(B1394,"mmm")</f>
        <v>Aug</v>
      </c>
      <c r="D1394" s="2" t="s">
        <v>659</v>
      </c>
      <c r="E1394" s="2" t="s">
        <v>40</v>
      </c>
      <c r="F1394" s="2" t="str" cm="1">
        <f t="array" ref="F13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94" s="2" t="str" cm="1">
        <f t="array" ref="G13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94" s="2" t="s">
        <v>98</v>
      </c>
      <c r="I1394" s="2" t="s">
        <v>37</v>
      </c>
      <c r="J1394" s="2">
        <v>1</v>
      </c>
      <c r="K1394" s="8">
        <v>299</v>
      </c>
      <c r="L1394" s="3">
        <v>0</v>
      </c>
      <c r="M1394" s="12">
        <f>K1394*L1394</f>
        <v>0</v>
      </c>
      <c r="N1394" s="12">
        <f>K1394*J1394</f>
        <v>299</v>
      </c>
      <c r="O1394" s="12">
        <f>N1394-M1394</f>
        <v>299</v>
      </c>
      <c r="P1394" s="2" t="s">
        <v>45</v>
      </c>
      <c r="Q1394" s="2" t="s">
        <v>18</v>
      </c>
      <c r="R1394" s="2">
        <v>60</v>
      </c>
      <c r="S1394" s="20">
        <f>Table1[[#This Row],[Net_revenue]]/Table1[[#This Row],[Gross_revenue]]*100%</f>
        <v>1</v>
      </c>
      <c r="T1394" s="18">
        <f>COUNTIFS(Table1[Customer ID], "&gt;1", Table1[Customer ID], 1)</f>
        <v>0</v>
      </c>
    </row>
    <row r="1395" spans="1:20" hidden="1" x14ac:dyDescent="0.3">
      <c r="A1395" s="2" t="s">
        <v>2065</v>
      </c>
      <c r="B1395" s="5">
        <v>45901</v>
      </c>
      <c r="C1395" s="5" t="str">
        <f>TEXT(B1395,"mmm")</f>
        <v>Sep</v>
      </c>
      <c r="D1395" s="2" t="s">
        <v>2066</v>
      </c>
      <c r="E1395" s="2" t="s">
        <v>40</v>
      </c>
      <c r="F1395" s="2" t="str" cm="1">
        <f t="array" ref="F13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395" s="2" t="str" cm="1">
        <f t="array" ref="G13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395" s="2" t="s">
        <v>89</v>
      </c>
      <c r="I1395" s="2" t="s">
        <v>29</v>
      </c>
      <c r="J1395" s="2">
        <v>2</v>
      </c>
      <c r="K1395" s="8">
        <v>449</v>
      </c>
      <c r="L1395" s="3">
        <v>0.1</v>
      </c>
      <c r="M1395" s="12">
        <f>K1395*L1395</f>
        <v>44.900000000000006</v>
      </c>
      <c r="N1395" s="12">
        <f>K1395*J1395</f>
        <v>898</v>
      </c>
      <c r="O1395" s="12">
        <f>N1395-M1395</f>
        <v>853.1</v>
      </c>
      <c r="P1395" s="2" t="s">
        <v>45</v>
      </c>
      <c r="Q1395" s="2" t="s">
        <v>18</v>
      </c>
      <c r="R1395" s="2">
        <v>0</v>
      </c>
      <c r="S1395" s="20">
        <f>Table1[[#This Row],[Net_revenue]]/Table1[[#This Row],[Gross_revenue]]*100%</f>
        <v>0.95000000000000007</v>
      </c>
      <c r="T1395" s="18">
        <f>COUNTIFS(Table1[Customer ID], "&gt;1", Table1[Customer ID], 1)</f>
        <v>0</v>
      </c>
    </row>
    <row r="1396" spans="1:20" hidden="1" x14ac:dyDescent="0.3">
      <c r="A1396" s="2" t="s">
        <v>2067</v>
      </c>
      <c r="B1396" s="5">
        <v>45968</v>
      </c>
      <c r="C1396" s="5" t="str">
        <f>TEXT(B1396,"mmm")</f>
        <v>Nov</v>
      </c>
      <c r="D1396" s="2" t="s">
        <v>2068</v>
      </c>
      <c r="E1396" s="2" t="s">
        <v>48</v>
      </c>
      <c r="F1396" s="2" t="str" cm="1">
        <f t="array" ref="F13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396" s="2" t="str" cm="1">
        <f t="array" ref="G13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396" s="2" t="s">
        <v>41</v>
      </c>
      <c r="I1396" s="2" t="s">
        <v>16</v>
      </c>
      <c r="J1396" s="2">
        <v>4</v>
      </c>
      <c r="K1396" s="8">
        <v>2299</v>
      </c>
      <c r="L1396" s="3">
        <v>0</v>
      </c>
      <c r="M1396" s="12">
        <f>K1396*L1396</f>
        <v>0</v>
      </c>
      <c r="N1396" s="12">
        <f>K1396*J1396</f>
        <v>9196</v>
      </c>
      <c r="O1396" s="12">
        <f>N1396-M1396</f>
        <v>9196</v>
      </c>
      <c r="P1396" s="2" t="s">
        <v>30</v>
      </c>
      <c r="Q1396" s="2" t="s">
        <v>18</v>
      </c>
      <c r="R1396" s="2">
        <v>0</v>
      </c>
      <c r="S1396" s="20">
        <f>Table1[[#This Row],[Net_revenue]]/Table1[[#This Row],[Gross_revenue]]*100%</f>
        <v>1</v>
      </c>
      <c r="T1396" s="18">
        <f>COUNTIFS(Table1[Customer ID], "&gt;1", Table1[Customer ID], 1)</f>
        <v>0</v>
      </c>
    </row>
    <row r="1397" spans="1:20" hidden="1" x14ac:dyDescent="0.3">
      <c r="A1397" s="2" t="s">
        <v>2069</v>
      </c>
      <c r="B1397" s="5">
        <v>45853</v>
      </c>
      <c r="C1397" s="5" t="str">
        <f>TEXT(B1397,"mmm")</f>
        <v>Jul</v>
      </c>
      <c r="D1397" s="2" t="s">
        <v>659</v>
      </c>
      <c r="E1397" s="2" t="s">
        <v>21</v>
      </c>
      <c r="F1397" s="2" t="str" cm="1">
        <f t="array" ref="F13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97" s="2" t="str" cm="1">
        <f t="array" ref="G13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97" s="2" t="s">
        <v>65</v>
      </c>
      <c r="I1397" s="2" t="s">
        <v>23</v>
      </c>
      <c r="J1397" s="2">
        <v>1</v>
      </c>
      <c r="K1397" s="8">
        <v>1899</v>
      </c>
      <c r="L1397" s="3">
        <v>0</v>
      </c>
      <c r="M1397" s="12">
        <f>K1397*L1397</f>
        <v>0</v>
      </c>
      <c r="N1397" s="12">
        <f>K1397*J1397</f>
        <v>1899</v>
      </c>
      <c r="O1397" s="12">
        <f>N1397-M1397</f>
        <v>1899</v>
      </c>
      <c r="P1397" s="2" t="s">
        <v>17</v>
      </c>
      <c r="Q1397" s="2" t="s">
        <v>50</v>
      </c>
      <c r="R1397" s="2">
        <v>60</v>
      </c>
      <c r="S1397" s="20">
        <f>Table1[[#This Row],[Net_revenue]]/Table1[[#This Row],[Gross_revenue]]*100%</f>
        <v>1</v>
      </c>
      <c r="T1397" s="18">
        <f>COUNTIFS(Table1[Customer ID], "&gt;1", Table1[Customer ID], 1)</f>
        <v>0</v>
      </c>
    </row>
    <row r="1398" spans="1:20" hidden="1" x14ac:dyDescent="0.3">
      <c r="A1398" s="2" t="s">
        <v>2070</v>
      </c>
      <c r="B1398" s="5">
        <v>45913</v>
      </c>
      <c r="C1398" s="5" t="str">
        <f>TEXT(B1398,"mmm")</f>
        <v>Sep</v>
      </c>
      <c r="D1398" s="2" t="s">
        <v>1598</v>
      </c>
      <c r="E1398" s="2" t="s">
        <v>75</v>
      </c>
      <c r="F1398" s="2" t="str" cm="1">
        <f t="array" ref="F13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398" s="2" t="str" cm="1">
        <f t="array" ref="G13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98" s="2" t="s">
        <v>134</v>
      </c>
      <c r="I1398" s="2" t="s">
        <v>29</v>
      </c>
      <c r="J1398" s="2">
        <v>1</v>
      </c>
      <c r="K1398" s="8">
        <v>1499</v>
      </c>
      <c r="L1398" s="3">
        <v>0</v>
      </c>
      <c r="M1398" s="12">
        <f>K1398*L1398</f>
        <v>0</v>
      </c>
      <c r="N1398" s="12">
        <f>K1398*J1398</f>
        <v>1499</v>
      </c>
      <c r="O1398" s="12">
        <f>N1398-M1398</f>
        <v>1499</v>
      </c>
      <c r="P1398" s="2" t="s">
        <v>45</v>
      </c>
      <c r="Q1398" s="2" t="s">
        <v>50</v>
      </c>
      <c r="R1398" s="2">
        <v>80</v>
      </c>
      <c r="S1398" s="20">
        <f>Table1[[#This Row],[Net_revenue]]/Table1[[#This Row],[Gross_revenue]]*100%</f>
        <v>1</v>
      </c>
      <c r="T1398" s="18">
        <f>COUNTIFS(Table1[Customer ID], "&gt;1", Table1[Customer ID], 1)</f>
        <v>0</v>
      </c>
    </row>
    <row r="1399" spans="1:20" hidden="1" x14ac:dyDescent="0.3">
      <c r="A1399" s="2" t="s">
        <v>2071</v>
      </c>
      <c r="B1399" s="5">
        <v>45772</v>
      </c>
      <c r="C1399" s="5" t="str">
        <f>TEXT(B1399,"mmm")</f>
        <v>Apr</v>
      </c>
      <c r="D1399" s="2" t="s">
        <v>759</v>
      </c>
      <c r="E1399" s="2" t="s">
        <v>21</v>
      </c>
      <c r="F1399" s="2" t="str" cm="1">
        <f t="array" ref="F13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399" s="2" t="str" cm="1">
        <f t="array" ref="G13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399" s="2" t="s">
        <v>33</v>
      </c>
      <c r="I1399" s="2" t="s">
        <v>16</v>
      </c>
      <c r="J1399" s="2">
        <v>1</v>
      </c>
      <c r="K1399" s="8">
        <v>899</v>
      </c>
      <c r="L1399" s="3">
        <v>0.1</v>
      </c>
      <c r="M1399" s="12">
        <f>K1399*L1399</f>
        <v>89.9</v>
      </c>
      <c r="N1399" s="12">
        <f>K1399*J1399</f>
        <v>899</v>
      </c>
      <c r="O1399" s="12">
        <f>N1399-M1399</f>
        <v>809.1</v>
      </c>
      <c r="P1399" s="2" t="s">
        <v>30</v>
      </c>
      <c r="Q1399" s="2" t="s">
        <v>18</v>
      </c>
      <c r="R1399" s="2">
        <v>80</v>
      </c>
      <c r="S1399" s="20">
        <f>Table1[[#This Row],[Net_revenue]]/Table1[[#This Row],[Gross_revenue]]*100%</f>
        <v>0.9</v>
      </c>
      <c r="T1399" s="18">
        <f>COUNTIFS(Table1[Customer ID], "&gt;1", Table1[Customer ID], 1)</f>
        <v>0</v>
      </c>
    </row>
    <row r="1400" spans="1:20" hidden="1" x14ac:dyDescent="0.3">
      <c r="A1400" s="2" t="s">
        <v>2072</v>
      </c>
      <c r="B1400" s="5">
        <v>45842</v>
      </c>
      <c r="C1400" s="5" t="str">
        <f>TEXT(B1400,"mmm")</f>
        <v>Jul</v>
      </c>
      <c r="D1400" s="2" t="s">
        <v>638</v>
      </c>
      <c r="E1400" s="2" t="s">
        <v>56</v>
      </c>
      <c r="F1400" s="2" t="str" cm="1">
        <f t="array" ref="F14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00" s="2" t="str" cm="1">
        <f t="array" ref="G14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00" s="2" t="s">
        <v>117</v>
      </c>
      <c r="I1400" s="2" t="s">
        <v>23</v>
      </c>
      <c r="J1400" s="2">
        <v>1</v>
      </c>
      <c r="K1400" s="8">
        <v>2199</v>
      </c>
      <c r="L1400" s="3">
        <v>0.25</v>
      </c>
      <c r="M1400" s="12">
        <f>K1400*L1400</f>
        <v>549.75</v>
      </c>
      <c r="N1400" s="12">
        <f>K1400*J1400</f>
        <v>2199</v>
      </c>
      <c r="O1400" s="12">
        <f>N1400-M1400</f>
        <v>1649.25</v>
      </c>
      <c r="P1400" s="2" t="s">
        <v>45</v>
      </c>
      <c r="Q1400" s="2" t="s">
        <v>18</v>
      </c>
      <c r="R1400" s="2">
        <v>60</v>
      </c>
      <c r="S1400" s="20">
        <f>Table1[[#This Row],[Net_revenue]]/Table1[[#This Row],[Gross_revenue]]*100%</f>
        <v>0.75</v>
      </c>
      <c r="T1400" s="18">
        <f>COUNTIFS(Table1[Customer ID], "&gt;1", Table1[Customer ID], 1)</f>
        <v>0</v>
      </c>
    </row>
    <row r="1401" spans="1:20" hidden="1" x14ac:dyDescent="0.3">
      <c r="A1401" s="2" t="s">
        <v>2073</v>
      </c>
      <c r="B1401" s="5">
        <v>45812</v>
      </c>
      <c r="C1401" s="5" t="str">
        <f>TEXT(B1401,"mmm")</f>
        <v>Jun</v>
      </c>
      <c r="D1401" s="2" t="s">
        <v>974</v>
      </c>
      <c r="E1401" s="2" t="s">
        <v>21</v>
      </c>
      <c r="F1401" s="2" t="str" cm="1">
        <f t="array" ref="F14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01" s="2" t="str" cm="1">
        <f t="array" ref="G14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01" s="2" t="s">
        <v>49</v>
      </c>
      <c r="I1401" s="2" t="s">
        <v>23</v>
      </c>
      <c r="J1401" s="2">
        <v>1</v>
      </c>
      <c r="K1401" s="8">
        <v>1299</v>
      </c>
      <c r="L1401" s="3">
        <v>0.2</v>
      </c>
      <c r="M1401" s="12">
        <f>K1401*L1401</f>
        <v>259.8</v>
      </c>
      <c r="N1401" s="12">
        <f>K1401*J1401</f>
        <v>1299</v>
      </c>
      <c r="O1401" s="12">
        <f>N1401-M1401</f>
        <v>1039.2</v>
      </c>
      <c r="P1401" s="2" t="s">
        <v>17</v>
      </c>
      <c r="Q1401" s="2" t="s">
        <v>18</v>
      </c>
      <c r="R1401" s="2">
        <v>80</v>
      </c>
      <c r="S1401" s="20">
        <f>Table1[[#This Row],[Net_revenue]]/Table1[[#This Row],[Gross_revenue]]*100%</f>
        <v>0.8</v>
      </c>
      <c r="T1401" s="18">
        <f>COUNTIFS(Table1[Customer ID], "&gt;1", Table1[Customer ID], 1)</f>
        <v>0</v>
      </c>
    </row>
    <row r="1402" spans="1:20" hidden="1" x14ac:dyDescent="0.3">
      <c r="A1402" s="2" t="s">
        <v>2074</v>
      </c>
      <c r="B1402" s="5">
        <v>46014</v>
      </c>
      <c r="C1402" s="5" t="str">
        <f>TEXT(B1402,"mmm")</f>
        <v>Dec</v>
      </c>
      <c r="D1402" s="2" t="s">
        <v>900</v>
      </c>
      <c r="E1402" s="2" t="s">
        <v>21</v>
      </c>
      <c r="F1402" s="2" t="str" cm="1">
        <f t="array" ref="F14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02" s="2" t="str" cm="1">
        <f t="array" ref="G14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02" s="2" t="s">
        <v>217</v>
      </c>
      <c r="I1402" s="2" t="s">
        <v>29</v>
      </c>
      <c r="J1402" s="2">
        <v>1</v>
      </c>
      <c r="K1402" s="8">
        <v>3299</v>
      </c>
      <c r="L1402" s="3">
        <v>0.25</v>
      </c>
      <c r="M1402" s="12">
        <f>K1402*L1402</f>
        <v>824.75</v>
      </c>
      <c r="N1402" s="12">
        <f>K1402*J1402</f>
        <v>3299</v>
      </c>
      <c r="O1402" s="12">
        <f>N1402-M1402</f>
        <v>2474.25</v>
      </c>
      <c r="P1402" s="2" t="s">
        <v>17</v>
      </c>
      <c r="Q1402" s="2" t="s">
        <v>18</v>
      </c>
      <c r="R1402" s="2">
        <v>0</v>
      </c>
      <c r="S1402" s="20">
        <f>Table1[[#This Row],[Net_revenue]]/Table1[[#This Row],[Gross_revenue]]*100%</f>
        <v>0.75</v>
      </c>
      <c r="T1402" s="18">
        <f>COUNTIFS(Table1[Customer ID], "&gt;1", Table1[Customer ID], 1)</f>
        <v>0</v>
      </c>
    </row>
    <row r="1403" spans="1:20" hidden="1" x14ac:dyDescent="0.3">
      <c r="A1403" s="2" t="s">
        <v>2075</v>
      </c>
      <c r="B1403" s="5">
        <v>45723</v>
      </c>
      <c r="C1403" s="5" t="str">
        <f>TEXT(B1403,"mmm")</f>
        <v>Mar</v>
      </c>
      <c r="D1403" s="2" t="s">
        <v>298</v>
      </c>
      <c r="E1403" s="2" t="s">
        <v>75</v>
      </c>
      <c r="F1403" s="2" t="str" cm="1">
        <f t="array" ref="F14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403" s="2" t="str" cm="1">
        <f t="array" ref="G14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03" s="2" t="s">
        <v>71</v>
      </c>
      <c r="I1403" s="2" t="s">
        <v>29</v>
      </c>
      <c r="J1403" s="2">
        <v>1</v>
      </c>
      <c r="K1403" s="8">
        <v>5499</v>
      </c>
      <c r="L1403" s="3">
        <v>0.25</v>
      </c>
      <c r="M1403" s="12">
        <f>K1403*L1403</f>
        <v>1374.75</v>
      </c>
      <c r="N1403" s="12">
        <f>K1403*J1403</f>
        <v>5499</v>
      </c>
      <c r="O1403" s="12">
        <f>N1403-M1403</f>
        <v>4124.25</v>
      </c>
      <c r="P1403" s="2" t="s">
        <v>30</v>
      </c>
      <c r="Q1403" s="2" t="s">
        <v>18</v>
      </c>
      <c r="R1403" s="2">
        <v>0</v>
      </c>
      <c r="S1403" s="20">
        <f>Table1[[#This Row],[Net_revenue]]/Table1[[#This Row],[Gross_revenue]]*100%</f>
        <v>0.75</v>
      </c>
      <c r="T1403" s="18">
        <f>COUNTIFS(Table1[Customer ID], "&gt;1", Table1[Customer ID], 1)</f>
        <v>0</v>
      </c>
    </row>
    <row r="1404" spans="1:20" hidden="1" x14ac:dyDescent="0.3">
      <c r="A1404" s="2" t="s">
        <v>2076</v>
      </c>
      <c r="B1404" s="5">
        <v>45982</v>
      </c>
      <c r="C1404" s="5" t="str">
        <f>TEXT(B1404,"mmm")</f>
        <v>Nov</v>
      </c>
      <c r="D1404" s="2" t="s">
        <v>592</v>
      </c>
      <c r="E1404" s="2" t="s">
        <v>21</v>
      </c>
      <c r="F1404" s="2" t="str" cm="1">
        <f t="array" ref="F14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04" s="2" t="str" cm="1">
        <f t="array" ref="G14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04" s="2" t="s">
        <v>183</v>
      </c>
      <c r="I1404" s="2" t="s">
        <v>37</v>
      </c>
      <c r="J1404" s="2">
        <v>1</v>
      </c>
      <c r="K1404" s="8">
        <v>499</v>
      </c>
      <c r="L1404" s="3">
        <v>0.1</v>
      </c>
      <c r="M1404" s="12">
        <f>K1404*L1404</f>
        <v>49.900000000000006</v>
      </c>
      <c r="N1404" s="12">
        <f>K1404*J1404</f>
        <v>499</v>
      </c>
      <c r="O1404" s="12">
        <f>N1404-M1404</f>
        <v>449.1</v>
      </c>
      <c r="P1404" s="2" t="s">
        <v>17</v>
      </c>
      <c r="Q1404" s="2" t="s">
        <v>18</v>
      </c>
      <c r="R1404" s="2">
        <v>60</v>
      </c>
      <c r="S1404" s="20">
        <f>Table1[[#This Row],[Net_revenue]]/Table1[[#This Row],[Gross_revenue]]*100%</f>
        <v>0.9</v>
      </c>
      <c r="T1404" s="18">
        <f>COUNTIFS(Table1[Customer ID], "&gt;1", Table1[Customer ID], 1)</f>
        <v>0</v>
      </c>
    </row>
    <row r="1405" spans="1:20" hidden="1" x14ac:dyDescent="0.3">
      <c r="A1405" s="2" t="s">
        <v>2077</v>
      </c>
      <c r="B1405" s="5">
        <v>45862</v>
      </c>
      <c r="C1405" s="5" t="str">
        <f>TEXT(B1405,"mmm")</f>
        <v>Jul</v>
      </c>
      <c r="D1405" s="2" t="s">
        <v>345</v>
      </c>
      <c r="E1405" s="2" t="s">
        <v>40</v>
      </c>
      <c r="F1405" s="2" t="str" cm="1">
        <f t="array" ref="F14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05" s="2" t="str" cm="1">
        <f t="array" ref="G14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05" s="2" t="s">
        <v>36</v>
      </c>
      <c r="I1405" s="2" t="s">
        <v>37</v>
      </c>
      <c r="J1405" s="2">
        <v>1</v>
      </c>
      <c r="K1405" s="8">
        <v>349</v>
      </c>
      <c r="L1405" s="3">
        <v>0.05</v>
      </c>
      <c r="M1405" s="12">
        <f>K1405*L1405</f>
        <v>17.45</v>
      </c>
      <c r="N1405" s="12">
        <f>K1405*J1405</f>
        <v>349</v>
      </c>
      <c r="O1405" s="12">
        <f>N1405-M1405</f>
        <v>331.55</v>
      </c>
      <c r="P1405" s="2" t="s">
        <v>45</v>
      </c>
      <c r="Q1405" s="2" t="s">
        <v>18</v>
      </c>
      <c r="R1405" s="2">
        <v>40</v>
      </c>
      <c r="S1405" s="20">
        <f>Table1[[#This Row],[Net_revenue]]/Table1[[#This Row],[Gross_revenue]]*100%</f>
        <v>0.95000000000000007</v>
      </c>
      <c r="T1405" s="18">
        <f>COUNTIFS(Table1[Customer ID], "&gt;1", Table1[Customer ID], 1)</f>
        <v>0</v>
      </c>
    </row>
    <row r="1406" spans="1:20" hidden="1" x14ac:dyDescent="0.3">
      <c r="A1406" s="2" t="s">
        <v>2078</v>
      </c>
      <c r="B1406" s="5">
        <v>45667</v>
      </c>
      <c r="C1406" s="5" t="str">
        <f>TEXT(B1406,"mmm")</f>
        <v>Jan</v>
      </c>
      <c r="D1406" s="2" t="s">
        <v>1212</v>
      </c>
      <c r="E1406" s="2" t="s">
        <v>21</v>
      </c>
      <c r="F1406" s="2" t="str" cm="1">
        <f t="array" ref="F14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06" s="2" t="str" cm="1">
        <f t="array" ref="G14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06" s="2" t="s">
        <v>98</v>
      </c>
      <c r="I1406" s="2" t="s">
        <v>37</v>
      </c>
      <c r="J1406" s="2">
        <v>2</v>
      </c>
      <c r="K1406" s="8">
        <v>299</v>
      </c>
      <c r="L1406" s="3">
        <v>0.1</v>
      </c>
      <c r="M1406" s="12">
        <f>K1406*L1406</f>
        <v>29.900000000000002</v>
      </c>
      <c r="N1406" s="12">
        <f>K1406*J1406</f>
        <v>598</v>
      </c>
      <c r="O1406" s="12">
        <f>N1406-M1406</f>
        <v>568.1</v>
      </c>
      <c r="P1406" s="2" t="s">
        <v>17</v>
      </c>
      <c r="Q1406" s="2" t="s">
        <v>18</v>
      </c>
      <c r="R1406" s="2">
        <v>0</v>
      </c>
      <c r="S1406" s="20">
        <f>Table1[[#This Row],[Net_revenue]]/Table1[[#This Row],[Gross_revenue]]*100%</f>
        <v>0.95000000000000007</v>
      </c>
      <c r="T1406" s="18">
        <f>COUNTIFS(Table1[Customer ID], "&gt;1", Table1[Customer ID], 1)</f>
        <v>0</v>
      </c>
    </row>
    <row r="1407" spans="1:20" hidden="1" x14ac:dyDescent="0.3">
      <c r="A1407" s="2" t="s">
        <v>2079</v>
      </c>
      <c r="B1407" s="5">
        <v>46014</v>
      </c>
      <c r="C1407" s="5" t="str">
        <f>TEXT(B1407,"mmm")</f>
        <v>Dec</v>
      </c>
      <c r="D1407" s="2" t="s">
        <v>253</v>
      </c>
      <c r="E1407" s="2" t="s">
        <v>120</v>
      </c>
      <c r="F1407" s="2" t="str" cm="1">
        <f t="array" ref="F14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07" s="2" t="str" cm="1">
        <f t="array" ref="G14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07" s="2" t="s">
        <v>107</v>
      </c>
      <c r="I1407" s="2" t="s">
        <v>95</v>
      </c>
      <c r="J1407" s="2">
        <v>3</v>
      </c>
      <c r="K1407" s="8">
        <v>1599</v>
      </c>
      <c r="L1407" s="3">
        <v>0.2</v>
      </c>
      <c r="M1407" s="12">
        <f>K1407*L1407</f>
        <v>319.8</v>
      </c>
      <c r="N1407" s="12">
        <f>K1407*J1407</f>
        <v>4797</v>
      </c>
      <c r="O1407" s="12">
        <f>N1407-M1407</f>
        <v>4477.2</v>
      </c>
      <c r="P1407" s="2" t="s">
        <v>30</v>
      </c>
      <c r="Q1407" s="2" t="s">
        <v>18</v>
      </c>
      <c r="R1407" s="2">
        <v>0</v>
      </c>
      <c r="S1407" s="20">
        <f>Table1[[#This Row],[Net_revenue]]/Table1[[#This Row],[Gross_revenue]]*100%</f>
        <v>0.93333333333333335</v>
      </c>
      <c r="T1407" s="18">
        <f>COUNTIFS(Table1[Customer ID], "&gt;1", Table1[Customer ID], 1)</f>
        <v>0</v>
      </c>
    </row>
    <row r="1408" spans="1:20" hidden="1" x14ac:dyDescent="0.3">
      <c r="A1408" s="2" t="s">
        <v>2080</v>
      </c>
      <c r="B1408" s="5">
        <v>46016</v>
      </c>
      <c r="C1408" s="5" t="str">
        <f>TEXT(B1408,"mmm")</f>
        <v>Dec</v>
      </c>
      <c r="D1408" s="2" t="s">
        <v>743</v>
      </c>
      <c r="E1408" s="2" t="s">
        <v>53</v>
      </c>
      <c r="F1408" s="2" t="str" cm="1">
        <f t="array" ref="F14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08" s="2" t="str" cm="1">
        <f t="array" ref="G14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08" s="2" t="s">
        <v>71</v>
      </c>
      <c r="I1408" s="2" t="s">
        <v>29</v>
      </c>
      <c r="J1408" s="2">
        <v>1</v>
      </c>
      <c r="K1408" s="8">
        <v>5499</v>
      </c>
      <c r="L1408" s="3">
        <v>0.2</v>
      </c>
      <c r="M1408" s="12">
        <f>K1408*L1408</f>
        <v>1099.8</v>
      </c>
      <c r="N1408" s="12">
        <f>K1408*J1408</f>
        <v>5499</v>
      </c>
      <c r="O1408" s="12">
        <f>N1408-M1408</f>
        <v>4399.2</v>
      </c>
      <c r="P1408" s="2" t="s">
        <v>45</v>
      </c>
      <c r="Q1408" s="2" t="s">
        <v>18</v>
      </c>
      <c r="R1408" s="2">
        <v>40</v>
      </c>
      <c r="S1408" s="20">
        <f>Table1[[#This Row],[Net_revenue]]/Table1[[#This Row],[Gross_revenue]]*100%</f>
        <v>0.79999999999999993</v>
      </c>
      <c r="T1408" s="18">
        <f>COUNTIFS(Table1[Customer ID], "&gt;1", Table1[Customer ID], 1)</f>
        <v>0</v>
      </c>
    </row>
    <row r="1409" spans="1:20" hidden="1" x14ac:dyDescent="0.3">
      <c r="A1409" s="2" t="s">
        <v>2081</v>
      </c>
      <c r="B1409" s="5">
        <v>45911</v>
      </c>
      <c r="C1409" s="5" t="str">
        <f>TEXT(B1409,"mmm")</f>
        <v>Sep</v>
      </c>
      <c r="D1409" s="2" t="s">
        <v>1197</v>
      </c>
      <c r="E1409" s="2" t="s">
        <v>40</v>
      </c>
      <c r="F1409" s="2" t="str" cm="1">
        <f t="array" ref="F14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09" s="2" t="str" cm="1">
        <f t="array" ref="G14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09" s="2" t="s">
        <v>71</v>
      </c>
      <c r="I1409" s="2" t="s">
        <v>29</v>
      </c>
      <c r="J1409" s="2">
        <v>1</v>
      </c>
      <c r="K1409" s="8">
        <v>5499</v>
      </c>
      <c r="L1409" s="3">
        <v>0.1</v>
      </c>
      <c r="M1409" s="12">
        <f>K1409*L1409</f>
        <v>549.9</v>
      </c>
      <c r="N1409" s="12">
        <f>K1409*J1409</f>
        <v>5499</v>
      </c>
      <c r="O1409" s="12">
        <f>N1409-M1409</f>
        <v>4949.1000000000004</v>
      </c>
      <c r="P1409" s="2" t="s">
        <v>45</v>
      </c>
      <c r="Q1409" s="2" t="s">
        <v>18</v>
      </c>
      <c r="R1409" s="2">
        <v>80</v>
      </c>
      <c r="S1409" s="20">
        <f>Table1[[#This Row],[Net_revenue]]/Table1[[#This Row],[Gross_revenue]]*100%</f>
        <v>0.9</v>
      </c>
      <c r="T1409" s="18">
        <f>COUNTIFS(Table1[Customer ID], "&gt;1", Table1[Customer ID], 1)</f>
        <v>0</v>
      </c>
    </row>
    <row r="1410" spans="1:20" hidden="1" x14ac:dyDescent="0.3">
      <c r="A1410" s="2" t="s">
        <v>2082</v>
      </c>
      <c r="B1410" s="5">
        <v>45978</v>
      </c>
      <c r="C1410" s="5" t="str">
        <f>TEXT(B1410,"mmm")</f>
        <v>Nov</v>
      </c>
      <c r="D1410" s="2" t="s">
        <v>856</v>
      </c>
      <c r="E1410" s="2" t="s">
        <v>56</v>
      </c>
      <c r="F1410" s="2" t="str" cm="1">
        <f t="array" ref="F14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10" s="2" t="str" cm="1">
        <f t="array" ref="G14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10" s="2" t="s">
        <v>22</v>
      </c>
      <c r="I1410" s="2" t="s">
        <v>23</v>
      </c>
      <c r="J1410" s="2">
        <v>1</v>
      </c>
      <c r="K1410" s="8">
        <v>3999</v>
      </c>
      <c r="L1410" s="3">
        <v>0.15</v>
      </c>
      <c r="M1410" s="12">
        <f>K1410*L1410</f>
        <v>599.85</v>
      </c>
      <c r="N1410" s="12">
        <f>K1410*J1410</f>
        <v>3999</v>
      </c>
      <c r="O1410" s="12">
        <f>N1410-M1410</f>
        <v>3399.15</v>
      </c>
      <c r="P1410" s="2" t="s">
        <v>45</v>
      </c>
      <c r="Q1410" s="2" t="s">
        <v>18</v>
      </c>
      <c r="R1410" s="2">
        <v>60</v>
      </c>
      <c r="S1410" s="20">
        <f>Table1[[#This Row],[Net_revenue]]/Table1[[#This Row],[Gross_revenue]]*100%</f>
        <v>0.85</v>
      </c>
      <c r="T1410" s="18">
        <f>COUNTIFS(Table1[Customer ID], "&gt;1", Table1[Customer ID], 1)</f>
        <v>0</v>
      </c>
    </row>
    <row r="1411" spans="1:20" hidden="1" x14ac:dyDescent="0.3">
      <c r="A1411" s="2" t="s">
        <v>2083</v>
      </c>
      <c r="B1411" s="5">
        <v>45687</v>
      </c>
      <c r="C1411" s="5" t="str">
        <f>TEXT(B1411,"mmm")</f>
        <v>Jan</v>
      </c>
      <c r="D1411" s="2" t="s">
        <v>532</v>
      </c>
      <c r="E1411" s="2" t="s">
        <v>120</v>
      </c>
      <c r="F1411" s="2" t="str" cm="1">
        <f t="array" ref="F14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11" s="2" t="str" cm="1">
        <f t="array" ref="G14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11" s="2" t="s">
        <v>89</v>
      </c>
      <c r="I1411" s="2" t="s">
        <v>29</v>
      </c>
      <c r="J1411" s="2">
        <v>1</v>
      </c>
      <c r="K1411" s="8">
        <v>449</v>
      </c>
      <c r="L1411" s="3">
        <v>0</v>
      </c>
      <c r="M1411" s="12">
        <f>K1411*L1411</f>
        <v>0</v>
      </c>
      <c r="N1411" s="12">
        <f>K1411*J1411</f>
        <v>449</v>
      </c>
      <c r="O1411" s="12">
        <f>N1411-M1411</f>
        <v>449</v>
      </c>
      <c r="P1411" s="2" t="s">
        <v>45</v>
      </c>
      <c r="Q1411" s="2" t="s">
        <v>18</v>
      </c>
      <c r="R1411" s="2">
        <v>60</v>
      </c>
      <c r="S1411" s="20">
        <f>Table1[[#This Row],[Net_revenue]]/Table1[[#This Row],[Gross_revenue]]*100%</f>
        <v>1</v>
      </c>
      <c r="T1411" s="18">
        <f>COUNTIFS(Table1[Customer ID], "&gt;1", Table1[Customer ID], 1)</f>
        <v>0</v>
      </c>
    </row>
    <row r="1412" spans="1:20" hidden="1" x14ac:dyDescent="0.3">
      <c r="A1412" s="2" t="s">
        <v>2084</v>
      </c>
      <c r="B1412" s="5">
        <v>45702</v>
      </c>
      <c r="C1412" s="5" t="str">
        <f>TEXT(B1412,"mmm")</f>
        <v>Feb</v>
      </c>
      <c r="D1412" s="2" t="s">
        <v>1418</v>
      </c>
      <c r="E1412" s="2" t="s">
        <v>40</v>
      </c>
      <c r="F1412" s="2" t="str" cm="1">
        <f t="array" ref="F14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12" s="2" t="str" cm="1">
        <f t="array" ref="G14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12" s="2" t="s">
        <v>134</v>
      </c>
      <c r="I1412" s="2" t="s">
        <v>29</v>
      </c>
      <c r="J1412" s="2">
        <v>1</v>
      </c>
      <c r="K1412" s="8">
        <v>1499</v>
      </c>
      <c r="L1412" s="3">
        <v>0</v>
      </c>
      <c r="M1412" s="12">
        <f>K1412*L1412</f>
        <v>0</v>
      </c>
      <c r="N1412" s="12">
        <f>K1412*J1412</f>
        <v>1499</v>
      </c>
      <c r="O1412" s="12">
        <f>N1412-M1412</f>
        <v>1499</v>
      </c>
      <c r="P1412" s="2" t="s">
        <v>30</v>
      </c>
      <c r="Q1412" s="2" t="s">
        <v>50</v>
      </c>
      <c r="R1412" s="2">
        <v>40</v>
      </c>
      <c r="S1412" s="20">
        <f>Table1[[#This Row],[Net_revenue]]/Table1[[#This Row],[Gross_revenue]]*100%</f>
        <v>1</v>
      </c>
      <c r="T1412" s="18">
        <f>COUNTIFS(Table1[Customer ID], "&gt;1", Table1[Customer ID], 1)</f>
        <v>0</v>
      </c>
    </row>
    <row r="1413" spans="1:20" hidden="1" x14ac:dyDescent="0.3">
      <c r="A1413" s="2" t="s">
        <v>2085</v>
      </c>
      <c r="B1413" s="5">
        <v>45851</v>
      </c>
      <c r="C1413" s="5" t="str">
        <f>TEXT(B1413,"mmm")</f>
        <v>Jul</v>
      </c>
      <c r="D1413" s="2" t="s">
        <v>926</v>
      </c>
      <c r="E1413" s="2" t="s">
        <v>40</v>
      </c>
      <c r="F1413" s="2" t="str" cm="1">
        <f t="array" ref="F14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13" s="2" t="str" cm="1">
        <f t="array" ref="G14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13" s="2" t="s">
        <v>94</v>
      </c>
      <c r="I1413" s="2" t="s">
        <v>95</v>
      </c>
      <c r="J1413" s="2">
        <v>4</v>
      </c>
      <c r="K1413" s="8">
        <v>399</v>
      </c>
      <c r="L1413" s="3">
        <v>0</v>
      </c>
      <c r="M1413" s="12">
        <f>K1413*L1413</f>
        <v>0</v>
      </c>
      <c r="N1413" s="12">
        <f>K1413*J1413</f>
        <v>1596</v>
      </c>
      <c r="O1413" s="12">
        <f>N1413-M1413</f>
        <v>1596</v>
      </c>
      <c r="P1413" s="2" t="s">
        <v>24</v>
      </c>
      <c r="Q1413" s="2" t="s">
        <v>18</v>
      </c>
      <c r="R1413" s="2">
        <v>80</v>
      </c>
      <c r="S1413" s="20">
        <f>Table1[[#This Row],[Net_revenue]]/Table1[[#This Row],[Gross_revenue]]*100%</f>
        <v>1</v>
      </c>
      <c r="T1413" s="18">
        <f>COUNTIFS(Table1[Customer ID], "&gt;1", Table1[Customer ID], 1)</f>
        <v>0</v>
      </c>
    </row>
    <row r="1414" spans="1:20" hidden="1" x14ac:dyDescent="0.3">
      <c r="A1414" s="2" t="s">
        <v>2086</v>
      </c>
      <c r="B1414" s="5">
        <v>45846</v>
      </c>
      <c r="C1414" s="5" t="str">
        <f>TEXT(B1414,"mmm")</f>
        <v>Jul</v>
      </c>
      <c r="D1414" s="2" t="s">
        <v>2087</v>
      </c>
      <c r="E1414" s="2" t="s">
        <v>56</v>
      </c>
      <c r="F1414" s="2" t="str" cm="1">
        <f t="array" ref="F14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14" s="2" t="str" cm="1">
        <f t="array" ref="G14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14" s="2" t="s">
        <v>44</v>
      </c>
      <c r="I1414" s="2" t="s">
        <v>16</v>
      </c>
      <c r="J1414" s="2">
        <v>1</v>
      </c>
      <c r="K1414" s="8">
        <v>1599</v>
      </c>
      <c r="L1414" s="3">
        <v>0</v>
      </c>
      <c r="M1414" s="12">
        <f>K1414*L1414</f>
        <v>0</v>
      </c>
      <c r="N1414" s="12">
        <f>K1414*J1414</f>
        <v>1599</v>
      </c>
      <c r="O1414" s="12">
        <f>N1414-M1414</f>
        <v>1599</v>
      </c>
      <c r="P1414" s="2" t="s">
        <v>45</v>
      </c>
      <c r="Q1414" s="2" t="s">
        <v>50</v>
      </c>
      <c r="R1414" s="2">
        <v>80</v>
      </c>
      <c r="S1414" s="20">
        <f>Table1[[#This Row],[Net_revenue]]/Table1[[#This Row],[Gross_revenue]]*100%</f>
        <v>1</v>
      </c>
      <c r="T1414" s="18">
        <f>COUNTIFS(Table1[Customer ID], "&gt;1", Table1[Customer ID], 1)</f>
        <v>0</v>
      </c>
    </row>
    <row r="1415" spans="1:20" hidden="1" x14ac:dyDescent="0.3">
      <c r="A1415" s="2" t="s">
        <v>2088</v>
      </c>
      <c r="B1415" s="5">
        <v>45988</v>
      </c>
      <c r="C1415" s="5" t="str">
        <f>TEXT(B1415,"mmm")</f>
        <v>Nov</v>
      </c>
      <c r="D1415" s="2" t="s">
        <v>109</v>
      </c>
      <c r="E1415" s="2" t="s">
        <v>21</v>
      </c>
      <c r="F1415" s="2" t="str" cm="1">
        <f t="array" ref="F14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15" s="2" t="str" cm="1">
        <f t="array" ref="G14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15" s="2" t="s">
        <v>188</v>
      </c>
      <c r="I1415" s="2" t="s">
        <v>95</v>
      </c>
      <c r="J1415" s="2">
        <v>1</v>
      </c>
      <c r="K1415" s="8">
        <v>699</v>
      </c>
      <c r="L1415" s="3">
        <v>0.2</v>
      </c>
      <c r="M1415" s="12">
        <f>K1415*L1415</f>
        <v>139.80000000000001</v>
      </c>
      <c r="N1415" s="12">
        <f>K1415*J1415</f>
        <v>699</v>
      </c>
      <c r="O1415" s="12">
        <f>N1415-M1415</f>
        <v>559.20000000000005</v>
      </c>
      <c r="P1415" s="2" t="s">
        <v>24</v>
      </c>
      <c r="Q1415" s="2" t="s">
        <v>18</v>
      </c>
      <c r="R1415" s="2">
        <v>40</v>
      </c>
      <c r="S1415" s="20">
        <f>Table1[[#This Row],[Net_revenue]]/Table1[[#This Row],[Gross_revenue]]*100%</f>
        <v>0.8</v>
      </c>
      <c r="T1415" s="18">
        <f>COUNTIFS(Table1[Customer ID], "&gt;1", Table1[Customer ID], 1)</f>
        <v>0</v>
      </c>
    </row>
    <row r="1416" spans="1:20" hidden="1" x14ac:dyDescent="0.3">
      <c r="A1416" s="2" t="s">
        <v>2089</v>
      </c>
      <c r="B1416" s="5">
        <v>45869</v>
      </c>
      <c r="C1416" s="5" t="str">
        <f>TEXT(B1416,"mmm")</f>
        <v>Jul</v>
      </c>
      <c r="D1416" s="2" t="s">
        <v>142</v>
      </c>
      <c r="E1416" s="2" t="s">
        <v>195</v>
      </c>
      <c r="F1416" s="2" t="str" cm="1">
        <f t="array" ref="F14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416" s="2" t="str" cm="1">
        <f t="array" ref="G14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16" s="2" t="s">
        <v>63</v>
      </c>
      <c r="I1416" s="2" t="s">
        <v>23</v>
      </c>
      <c r="J1416" s="2">
        <v>1</v>
      </c>
      <c r="K1416" s="8">
        <v>2499</v>
      </c>
      <c r="L1416" s="3">
        <v>0.05</v>
      </c>
      <c r="M1416" s="12">
        <f>K1416*L1416</f>
        <v>124.95</v>
      </c>
      <c r="N1416" s="12">
        <f>K1416*J1416</f>
        <v>2499</v>
      </c>
      <c r="O1416" s="12">
        <f>N1416-M1416</f>
        <v>2374.0500000000002</v>
      </c>
      <c r="P1416" s="2" t="s">
        <v>17</v>
      </c>
      <c r="Q1416" s="2" t="s">
        <v>18</v>
      </c>
      <c r="R1416" s="2">
        <v>0</v>
      </c>
      <c r="S1416" s="20">
        <f>Table1[[#This Row],[Net_revenue]]/Table1[[#This Row],[Gross_revenue]]*100%</f>
        <v>0.95000000000000007</v>
      </c>
      <c r="T1416" s="18">
        <f>COUNTIFS(Table1[Customer ID], "&gt;1", Table1[Customer ID], 1)</f>
        <v>0</v>
      </c>
    </row>
    <row r="1417" spans="1:20" hidden="1" x14ac:dyDescent="0.3">
      <c r="A1417" s="2" t="s">
        <v>2090</v>
      </c>
      <c r="B1417" s="5">
        <v>45673</v>
      </c>
      <c r="C1417" s="5" t="str">
        <f>TEXT(B1417,"mmm")</f>
        <v>Jan</v>
      </c>
      <c r="D1417" s="2" t="s">
        <v>1024</v>
      </c>
      <c r="E1417" s="2" t="s">
        <v>120</v>
      </c>
      <c r="F1417" s="2" t="str" cm="1">
        <f t="array" ref="F14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17" s="2" t="str" cm="1">
        <f t="array" ref="G14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17" s="2" t="s">
        <v>49</v>
      </c>
      <c r="I1417" s="2" t="s">
        <v>23</v>
      </c>
      <c r="J1417" s="2">
        <v>1</v>
      </c>
      <c r="K1417" s="8">
        <v>1299</v>
      </c>
      <c r="L1417" s="3">
        <v>0.1</v>
      </c>
      <c r="M1417" s="12">
        <f>K1417*L1417</f>
        <v>129.9</v>
      </c>
      <c r="N1417" s="12">
        <f>K1417*J1417</f>
        <v>1299</v>
      </c>
      <c r="O1417" s="12">
        <f>N1417-M1417</f>
        <v>1169.0999999999999</v>
      </c>
      <c r="P1417" s="2" t="s">
        <v>24</v>
      </c>
      <c r="Q1417" s="2" t="s">
        <v>18</v>
      </c>
      <c r="R1417" s="2">
        <v>40</v>
      </c>
      <c r="S1417" s="20">
        <f>Table1[[#This Row],[Net_revenue]]/Table1[[#This Row],[Gross_revenue]]*100%</f>
        <v>0.89999999999999991</v>
      </c>
      <c r="T1417" s="18">
        <f>COUNTIFS(Table1[Customer ID], "&gt;1", Table1[Customer ID], 1)</f>
        <v>0</v>
      </c>
    </row>
    <row r="1418" spans="1:20" hidden="1" x14ac:dyDescent="0.3">
      <c r="A1418" s="2" t="s">
        <v>2091</v>
      </c>
      <c r="B1418" s="5">
        <v>45969</v>
      </c>
      <c r="C1418" s="5" t="str">
        <f>TEXT(B1418,"mmm")</f>
        <v>Nov</v>
      </c>
      <c r="D1418" s="2" t="s">
        <v>1769</v>
      </c>
      <c r="E1418" s="2" t="s">
        <v>120</v>
      </c>
      <c r="F1418" s="2" t="str" cm="1">
        <f t="array" ref="F14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18" s="2" t="str" cm="1">
        <f t="array" ref="G14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18" s="2" t="s">
        <v>94</v>
      </c>
      <c r="I1418" s="2" t="s">
        <v>95</v>
      </c>
      <c r="J1418" s="2">
        <v>2</v>
      </c>
      <c r="K1418" s="8">
        <v>399</v>
      </c>
      <c r="L1418" s="3">
        <v>0.2</v>
      </c>
      <c r="M1418" s="12">
        <f>K1418*L1418</f>
        <v>79.800000000000011</v>
      </c>
      <c r="N1418" s="12">
        <f>K1418*J1418</f>
        <v>798</v>
      </c>
      <c r="O1418" s="12">
        <f>N1418-M1418</f>
        <v>718.2</v>
      </c>
      <c r="P1418" s="2" t="s">
        <v>24</v>
      </c>
      <c r="Q1418" s="2" t="s">
        <v>18</v>
      </c>
      <c r="R1418" s="2">
        <v>80</v>
      </c>
      <c r="S1418" s="20">
        <f>Table1[[#This Row],[Net_revenue]]/Table1[[#This Row],[Gross_revenue]]*100%</f>
        <v>0.9</v>
      </c>
      <c r="T1418" s="18">
        <f>COUNTIFS(Table1[Customer ID], "&gt;1", Table1[Customer ID], 1)</f>
        <v>0</v>
      </c>
    </row>
    <row r="1419" spans="1:20" hidden="1" x14ac:dyDescent="0.3">
      <c r="A1419" s="2" t="s">
        <v>2092</v>
      </c>
      <c r="B1419" s="5">
        <v>45987</v>
      </c>
      <c r="C1419" s="5" t="str">
        <f>TEXT(B1419,"mmm")</f>
        <v>Nov</v>
      </c>
      <c r="D1419" s="2" t="s">
        <v>2093</v>
      </c>
      <c r="E1419" s="2" t="s">
        <v>48</v>
      </c>
      <c r="F1419" s="2" t="str" cm="1">
        <f t="array" ref="F14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19" s="2" t="str" cm="1">
        <f t="array" ref="G14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19" s="2" t="s">
        <v>80</v>
      </c>
      <c r="I1419" s="2" t="s">
        <v>23</v>
      </c>
      <c r="J1419" s="2">
        <v>3</v>
      </c>
      <c r="K1419" s="8">
        <v>799</v>
      </c>
      <c r="L1419" s="3">
        <v>0.15</v>
      </c>
      <c r="M1419" s="12">
        <f>K1419*L1419</f>
        <v>119.85</v>
      </c>
      <c r="N1419" s="12">
        <f>K1419*J1419</f>
        <v>2397</v>
      </c>
      <c r="O1419" s="12">
        <f>N1419-M1419</f>
        <v>2277.15</v>
      </c>
      <c r="P1419" s="2" t="s">
        <v>45</v>
      </c>
      <c r="Q1419" s="2" t="s">
        <v>18</v>
      </c>
      <c r="R1419" s="2">
        <v>60</v>
      </c>
      <c r="S1419" s="20">
        <f>Table1[[#This Row],[Net_revenue]]/Table1[[#This Row],[Gross_revenue]]*100%</f>
        <v>0.95000000000000007</v>
      </c>
      <c r="T1419" s="18">
        <f>COUNTIFS(Table1[Customer ID], "&gt;1", Table1[Customer ID], 1)</f>
        <v>0</v>
      </c>
    </row>
    <row r="1420" spans="1:20" hidden="1" x14ac:dyDescent="0.3">
      <c r="A1420" s="2" t="s">
        <v>2094</v>
      </c>
      <c r="B1420" s="5">
        <v>45719</v>
      </c>
      <c r="C1420" s="5" t="str">
        <f>TEXT(B1420,"mmm")</f>
        <v>Mar</v>
      </c>
      <c r="D1420" s="2" t="s">
        <v>2095</v>
      </c>
      <c r="E1420" s="2" t="s">
        <v>27</v>
      </c>
      <c r="F1420" s="2" t="str" cm="1">
        <f t="array" ref="F14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20" s="2" t="str" cm="1">
        <f t="array" ref="G14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20" s="2" t="s">
        <v>107</v>
      </c>
      <c r="I1420" s="2" t="s">
        <v>95</v>
      </c>
      <c r="J1420" s="2">
        <v>1</v>
      </c>
      <c r="K1420" s="8">
        <v>1599</v>
      </c>
      <c r="L1420" s="3">
        <v>0.05</v>
      </c>
      <c r="M1420" s="12">
        <f>K1420*L1420</f>
        <v>79.95</v>
      </c>
      <c r="N1420" s="12">
        <f>K1420*J1420</f>
        <v>1599</v>
      </c>
      <c r="O1420" s="12">
        <f>N1420-M1420</f>
        <v>1519.05</v>
      </c>
      <c r="P1420" s="2" t="s">
        <v>45</v>
      </c>
      <c r="Q1420" s="2" t="s">
        <v>18</v>
      </c>
      <c r="R1420" s="2">
        <v>60</v>
      </c>
      <c r="S1420" s="20">
        <f>Table1[[#This Row],[Net_revenue]]/Table1[[#This Row],[Gross_revenue]]*100%</f>
        <v>0.95</v>
      </c>
      <c r="T1420" s="18">
        <f>COUNTIFS(Table1[Customer ID], "&gt;1", Table1[Customer ID], 1)</f>
        <v>0</v>
      </c>
    </row>
    <row r="1421" spans="1:20" hidden="1" x14ac:dyDescent="0.3">
      <c r="A1421" s="2" t="s">
        <v>2096</v>
      </c>
      <c r="B1421" s="5">
        <v>45772</v>
      </c>
      <c r="C1421" s="5" t="str">
        <f>TEXT(B1421,"mmm")</f>
        <v>Apr</v>
      </c>
      <c r="D1421" s="2" t="s">
        <v>695</v>
      </c>
      <c r="E1421" s="2" t="s">
        <v>120</v>
      </c>
      <c r="F1421" s="2" t="str" cm="1">
        <f t="array" ref="F14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21" s="2" t="str" cm="1">
        <f t="array" ref="G14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21" s="2" t="s">
        <v>36</v>
      </c>
      <c r="I1421" s="2" t="s">
        <v>37</v>
      </c>
      <c r="J1421" s="2">
        <v>2</v>
      </c>
      <c r="K1421" s="8">
        <v>349</v>
      </c>
      <c r="L1421" s="3">
        <v>0</v>
      </c>
      <c r="M1421" s="12">
        <f>K1421*L1421</f>
        <v>0</v>
      </c>
      <c r="N1421" s="12">
        <f>K1421*J1421</f>
        <v>698</v>
      </c>
      <c r="O1421" s="12">
        <f>N1421-M1421</f>
        <v>698</v>
      </c>
      <c r="P1421" s="2" t="s">
        <v>45</v>
      </c>
      <c r="Q1421" s="2" t="s">
        <v>18</v>
      </c>
      <c r="R1421" s="2">
        <v>60</v>
      </c>
      <c r="S1421" s="20">
        <f>Table1[[#This Row],[Net_revenue]]/Table1[[#This Row],[Gross_revenue]]*100%</f>
        <v>1</v>
      </c>
      <c r="T1421" s="18">
        <f>COUNTIFS(Table1[Customer ID], "&gt;1", Table1[Customer ID], 1)</f>
        <v>0</v>
      </c>
    </row>
    <row r="1422" spans="1:20" hidden="1" x14ac:dyDescent="0.3">
      <c r="A1422" s="2" t="s">
        <v>2097</v>
      </c>
      <c r="B1422" s="5">
        <v>45894</v>
      </c>
      <c r="C1422" s="5" t="str">
        <f>TEXT(B1422,"mmm")</f>
        <v>Aug</v>
      </c>
      <c r="D1422" s="2" t="s">
        <v>1620</v>
      </c>
      <c r="E1422" s="2" t="s">
        <v>27</v>
      </c>
      <c r="F1422" s="2" t="str" cm="1">
        <f t="array" ref="F14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22" s="2" t="str" cm="1">
        <f t="array" ref="G14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22" s="2" t="s">
        <v>94</v>
      </c>
      <c r="I1422" s="2" t="s">
        <v>95</v>
      </c>
      <c r="J1422" s="2">
        <v>3</v>
      </c>
      <c r="K1422" s="8">
        <v>399</v>
      </c>
      <c r="L1422" s="3">
        <v>0.25</v>
      </c>
      <c r="M1422" s="12">
        <f>K1422*L1422</f>
        <v>99.75</v>
      </c>
      <c r="N1422" s="12">
        <f>K1422*J1422</f>
        <v>1197</v>
      </c>
      <c r="O1422" s="12">
        <f>N1422-M1422</f>
        <v>1097.25</v>
      </c>
      <c r="P1422" s="2" t="s">
        <v>17</v>
      </c>
      <c r="Q1422" s="2" t="s">
        <v>18</v>
      </c>
      <c r="R1422" s="2">
        <v>80</v>
      </c>
      <c r="S1422" s="20">
        <f>Table1[[#This Row],[Net_revenue]]/Table1[[#This Row],[Gross_revenue]]*100%</f>
        <v>0.91666666666666663</v>
      </c>
      <c r="T1422" s="18">
        <f>COUNTIFS(Table1[Customer ID], "&gt;1", Table1[Customer ID], 1)</f>
        <v>0</v>
      </c>
    </row>
    <row r="1423" spans="1:20" hidden="1" x14ac:dyDescent="0.3">
      <c r="A1423" s="2" t="s">
        <v>2098</v>
      </c>
      <c r="B1423" s="5">
        <v>45942</v>
      </c>
      <c r="C1423" s="5" t="str">
        <f>TEXT(B1423,"mmm")</f>
        <v>Oct</v>
      </c>
      <c r="D1423" s="2" t="s">
        <v>2099</v>
      </c>
      <c r="E1423" s="2" t="s">
        <v>120</v>
      </c>
      <c r="F1423" s="2" t="str" cm="1">
        <f t="array" ref="F14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23" s="2" t="str" cm="1">
        <f t="array" ref="G14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23" s="2" t="s">
        <v>68</v>
      </c>
      <c r="I1423" s="2" t="s">
        <v>16</v>
      </c>
      <c r="J1423" s="2">
        <v>1</v>
      </c>
      <c r="K1423" s="8">
        <v>599</v>
      </c>
      <c r="L1423" s="3">
        <v>0.15</v>
      </c>
      <c r="M1423" s="12">
        <f>K1423*L1423</f>
        <v>89.85</v>
      </c>
      <c r="N1423" s="12">
        <f>K1423*J1423</f>
        <v>599</v>
      </c>
      <c r="O1423" s="12">
        <f>N1423-M1423</f>
        <v>509.15</v>
      </c>
      <c r="P1423" s="2" t="s">
        <v>17</v>
      </c>
      <c r="Q1423" s="2" t="s">
        <v>18</v>
      </c>
      <c r="R1423" s="2">
        <v>60</v>
      </c>
      <c r="S1423" s="20">
        <f>Table1[[#This Row],[Net_revenue]]/Table1[[#This Row],[Gross_revenue]]*100%</f>
        <v>0.85</v>
      </c>
      <c r="T1423" s="18">
        <f>COUNTIFS(Table1[Customer ID], "&gt;1", Table1[Customer ID], 1)</f>
        <v>0</v>
      </c>
    </row>
    <row r="1424" spans="1:20" hidden="1" x14ac:dyDescent="0.3">
      <c r="A1424" s="2" t="s">
        <v>2100</v>
      </c>
      <c r="B1424" s="5">
        <v>45699</v>
      </c>
      <c r="C1424" s="5" t="str">
        <f>TEXT(B1424,"mmm")</f>
        <v>Feb</v>
      </c>
      <c r="D1424" s="2" t="s">
        <v>1638</v>
      </c>
      <c r="E1424" s="2" t="s">
        <v>14</v>
      </c>
      <c r="F1424" s="2" t="str" cm="1">
        <f t="array" ref="F14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24" s="2" t="str" cm="1">
        <f t="array" ref="G14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24" s="2" t="s">
        <v>71</v>
      </c>
      <c r="I1424" s="2" t="s">
        <v>29</v>
      </c>
      <c r="J1424" s="2">
        <v>2</v>
      </c>
      <c r="K1424" s="8">
        <v>5499</v>
      </c>
      <c r="L1424" s="3">
        <v>0.25</v>
      </c>
      <c r="M1424" s="12">
        <f>K1424*L1424</f>
        <v>1374.75</v>
      </c>
      <c r="N1424" s="12">
        <f>K1424*J1424</f>
        <v>10998</v>
      </c>
      <c r="O1424" s="12">
        <f>N1424-M1424</f>
        <v>9623.25</v>
      </c>
      <c r="P1424" s="2" t="s">
        <v>45</v>
      </c>
      <c r="Q1424" s="2" t="s">
        <v>18</v>
      </c>
      <c r="R1424" s="2">
        <v>80</v>
      </c>
      <c r="S1424" s="20">
        <f>Table1[[#This Row],[Net_revenue]]/Table1[[#This Row],[Gross_revenue]]*100%</f>
        <v>0.875</v>
      </c>
      <c r="T1424" s="18">
        <f>COUNTIFS(Table1[Customer ID], "&gt;1", Table1[Customer ID], 1)</f>
        <v>0</v>
      </c>
    </row>
    <row r="1425" spans="1:20" hidden="1" x14ac:dyDescent="0.3">
      <c r="A1425" s="2" t="s">
        <v>2101</v>
      </c>
      <c r="B1425" s="5">
        <v>45950</v>
      </c>
      <c r="C1425" s="5" t="str">
        <f>TEXT(B1425,"mmm")</f>
        <v>Oct</v>
      </c>
      <c r="D1425" s="2" t="s">
        <v>1262</v>
      </c>
      <c r="E1425" s="2" t="s">
        <v>40</v>
      </c>
      <c r="F1425" s="2" t="str" cm="1">
        <f t="array" ref="F14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25" s="2" t="str" cm="1">
        <f t="array" ref="G14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25" s="2" t="s">
        <v>28</v>
      </c>
      <c r="I1425" s="2" t="s">
        <v>29</v>
      </c>
      <c r="J1425" s="2">
        <v>1</v>
      </c>
      <c r="K1425" s="8">
        <v>2799</v>
      </c>
      <c r="L1425" s="3">
        <v>0.1</v>
      </c>
      <c r="M1425" s="12">
        <f>K1425*L1425</f>
        <v>279.90000000000003</v>
      </c>
      <c r="N1425" s="12">
        <f>K1425*J1425</f>
        <v>2799</v>
      </c>
      <c r="O1425" s="12">
        <f>N1425-M1425</f>
        <v>2519.1</v>
      </c>
      <c r="P1425" s="2" t="s">
        <v>45</v>
      </c>
      <c r="Q1425" s="2" t="s">
        <v>18</v>
      </c>
      <c r="R1425" s="2">
        <v>0</v>
      </c>
      <c r="S1425" s="20">
        <f>Table1[[#This Row],[Net_revenue]]/Table1[[#This Row],[Gross_revenue]]*100%</f>
        <v>0.9</v>
      </c>
      <c r="T1425" s="18">
        <f>COUNTIFS(Table1[Customer ID], "&gt;1", Table1[Customer ID], 1)</f>
        <v>0</v>
      </c>
    </row>
    <row r="1426" spans="1:20" hidden="1" x14ac:dyDescent="0.3">
      <c r="A1426" s="2" t="s">
        <v>2102</v>
      </c>
      <c r="B1426" s="5">
        <v>45961</v>
      </c>
      <c r="C1426" s="5" t="str">
        <f>TEXT(B1426,"mmm")</f>
        <v>Oct</v>
      </c>
      <c r="D1426" s="2" t="s">
        <v>736</v>
      </c>
      <c r="E1426" s="2" t="s">
        <v>53</v>
      </c>
      <c r="F1426" s="2" t="str" cm="1">
        <f t="array" ref="F14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26" s="2" t="str" cm="1">
        <f t="array" ref="G14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26" s="2" t="s">
        <v>121</v>
      </c>
      <c r="I1426" s="2" t="s">
        <v>95</v>
      </c>
      <c r="J1426" s="2">
        <v>1</v>
      </c>
      <c r="K1426" s="8">
        <v>1299</v>
      </c>
      <c r="L1426" s="3">
        <v>0.25</v>
      </c>
      <c r="M1426" s="12">
        <f>K1426*L1426</f>
        <v>324.75</v>
      </c>
      <c r="N1426" s="12">
        <f>K1426*J1426</f>
        <v>1299</v>
      </c>
      <c r="O1426" s="12">
        <f>N1426-M1426</f>
        <v>974.25</v>
      </c>
      <c r="P1426" s="2" t="s">
        <v>45</v>
      </c>
      <c r="Q1426" s="2" t="s">
        <v>18</v>
      </c>
      <c r="R1426" s="2">
        <v>40</v>
      </c>
      <c r="S1426" s="20">
        <f>Table1[[#This Row],[Net_revenue]]/Table1[[#This Row],[Gross_revenue]]*100%</f>
        <v>0.75</v>
      </c>
      <c r="T1426" s="18">
        <f>COUNTIFS(Table1[Customer ID], "&gt;1", Table1[Customer ID], 1)</f>
        <v>0</v>
      </c>
    </row>
    <row r="1427" spans="1:20" hidden="1" x14ac:dyDescent="0.3">
      <c r="A1427" s="2" t="s">
        <v>2103</v>
      </c>
      <c r="B1427" s="5">
        <v>45777</v>
      </c>
      <c r="C1427" s="5" t="str">
        <f>TEXT(B1427,"mmm")</f>
        <v>Apr</v>
      </c>
      <c r="D1427" s="2" t="s">
        <v>2104</v>
      </c>
      <c r="E1427" s="2" t="s">
        <v>21</v>
      </c>
      <c r="F1427" s="2" t="str" cm="1">
        <f t="array" ref="F14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27" s="2" t="str" cm="1">
        <f t="array" ref="G14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27" s="2" t="s">
        <v>188</v>
      </c>
      <c r="I1427" s="2" t="s">
        <v>95</v>
      </c>
      <c r="J1427" s="2">
        <v>3</v>
      </c>
      <c r="K1427" s="8">
        <v>699</v>
      </c>
      <c r="L1427" s="3">
        <v>0</v>
      </c>
      <c r="M1427" s="12">
        <f>K1427*L1427</f>
        <v>0</v>
      </c>
      <c r="N1427" s="12">
        <f>K1427*J1427</f>
        <v>2097</v>
      </c>
      <c r="O1427" s="12">
        <f>N1427-M1427</f>
        <v>2097</v>
      </c>
      <c r="P1427" s="2" t="s">
        <v>45</v>
      </c>
      <c r="Q1427" s="2" t="s">
        <v>18</v>
      </c>
      <c r="R1427" s="2">
        <v>80</v>
      </c>
      <c r="S1427" s="20">
        <f>Table1[[#This Row],[Net_revenue]]/Table1[[#This Row],[Gross_revenue]]*100%</f>
        <v>1</v>
      </c>
      <c r="T1427" s="18">
        <f>COUNTIFS(Table1[Customer ID], "&gt;1", Table1[Customer ID], 1)</f>
        <v>0</v>
      </c>
    </row>
    <row r="1428" spans="1:20" hidden="1" x14ac:dyDescent="0.3">
      <c r="A1428" s="2" t="s">
        <v>2105</v>
      </c>
      <c r="B1428" s="5">
        <v>45814</v>
      </c>
      <c r="C1428" s="5" t="str">
        <f>TEXT(B1428,"mmm")</f>
        <v>Jun</v>
      </c>
      <c r="D1428" s="2" t="s">
        <v>2106</v>
      </c>
      <c r="E1428" s="2" t="s">
        <v>56</v>
      </c>
      <c r="F1428" s="2" t="str" cm="1">
        <f t="array" ref="F14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28" s="2" t="str" cm="1">
        <f t="array" ref="G14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28" s="2" t="s">
        <v>28</v>
      </c>
      <c r="I1428" s="2" t="s">
        <v>29</v>
      </c>
      <c r="J1428" s="2">
        <v>1</v>
      </c>
      <c r="K1428" s="8">
        <v>2799</v>
      </c>
      <c r="L1428" s="3">
        <v>0.15</v>
      </c>
      <c r="M1428" s="12">
        <f>K1428*L1428</f>
        <v>419.84999999999997</v>
      </c>
      <c r="N1428" s="12">
        <f>K1428*J1428</f>
        <v>2799</v>
      </c>
      <c r="O1428" s="12">
        <f>N1428-M1428</f>
        <v>2379.15</v>
      </c>
      <c r="P1428" s="2" t="s">
        <v>17</v>
      </c>
      <c r="Q1428" s="2" t="s">
        <v>18</v>
      </c>
      <c r="R1428" s="2">
        <v>80</v>
      </c>
      <c r="S1428" s="20">
        <f>Table1[[#This Row],[Net_revenue]]/Table1[[#This Row],[Gross_revenue]]*100%</f>
        <v>0.85</v>
      </c>
      <c r="T1428" s="18">
        <f>COUNTIFS(Table1[Customer ID], "&gt;1", Table1[Customer ID], 1)</f>
        <v>0</v>
      </c>
    </row>
    <row r="1429" spans="1:20" hidden="1" x14ac:dyDescent="0.3">
      <c r="A1429" s="2" t="s">
        <v>2107</v>
      </c>
      <c r="B1429" s="5">
        <v>45949</v>
      </c>
      <c r="C1429" s="5" t="str">
        <f>TEXT(B1429,"mmm")</f>
        <v>Oct</v>
      </c>
      <c r="D1429" s="2" t="s">
        <v>1775</v>
      </c>
      <c r="E1429" s="2" t="s">
        <v>195</v>
      </c>
      <c r="F1429" s="2" t="str" cm="1">
        <f t="array" ref="F14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429" s="2" t="str" cm="1">
        <f t="array" ref="G14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29" s="2" t="s">
        <v>107</v>
      </c>
      <c r="I1429" s="2" t="s">
        <v>95</v>
      </c>
      <c r="J1429" s="2">
        <v>1</v>
      </c>
      <c r="K1429" s="8">
        <v>1599</v>
      </c>
      <c r="L1429" s="3">
        <v>0.1</v>
      </c>
      <c r="M1429" s="12">
        <f>K1429*L1429</f>
        <v>159.9</v>
      </c>
      <c r="N1429" s="12">
        <f>K1429*J1429</f>
        <v>1599</v>
      </c>
      <c r="O1429" s="12">
        <f>N1429-M1429</f>
        <v>1439.1</v>
      </c>
      <c r="P1429" s="2" t="s">
        <v>24</v>
      </c>
      <c r="Q1429" s="2" t="s">
        <v>18</v>
      </c>
      <c r="R1429" s="2">
        <v>60</v>
      </c>
      <c r="S1429" s="20">
        <f>Table1[[#This Row],[Net_revenue]]/Table1[[#This Row],[Gross_revenue]]*100%</f>
        <v>0.89999999999999991</v>
      </c>
      <c r="T1429" s="18">
        <f>COUNTIFS(Table1[Customer ID], "&gt;1", Table1[Customer ID], 1)</f>
        <v>0</v>
      </c>
    </row>
    <row r="1430" spans="1:20" hidden="1" x14ac:dyDescent="0.3">
      <c r="A1430" s="2" t="s">
        <v>2108</v>
      </c>
      <c r="B1430" s="5">
        <v>45686</v>
      </c>
      <c r="C1430" s="5" t="str">
        <f>TEXT(B1430,"mmm")</f>
        <v>Jan</v>
      </c>
      <c r="D1430" s="2" t="s">
        <v>1516</v>
      </c>
      <c r="E1430" s="2" t="s">
        <v>120</v>
      </c>
      <c r="F1430" s="2" t="str" cm="1">
        <f t="array" ref="F14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30" s="2" t="str" cm="1">
        <f t="array" ref="G14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30" s="2" t="s">
        <v>134</v>
      </c>
      <c r="I1430" s="2" t="s">
        <v>29</v>
      </c>
      <c r="J1430" s="2">
        <v>2</v>
      </c>
      <c r="K1430" s="8">
        <v>1499</v>
      </c>
      <c r="L1430" s="3">
        <v>0</v>
      </c>
      <c r="M1430" s="12">
        <f>K1430*L1430</f>
        <v>0</v>
      </c>
      <c r="N1430" s="12">
        <f>K1430*J1430</f>
        <v>2998</v>
      </c>
      <c r="O1430" s="12">
        <f>N1430-M1430</f>
        <v>2998</v>
      </c>
      <c r="P1430" s="2" t="s">
        <v>17</v>
      </c>
      <c r="Q1430" s="2" t="s">
        <v>18</v>
      </c>
      <c r="R1430" s="2">
        <v>40</v>
      </c>
      <c r="S1430" s="20">
        <f>Table1[[#This Row],[Net_revenue]]/Table1[[#This Row],[Gross_revenue]]*100%</f>
        <v>1</v>
      </c>
      <c r="T1430" s="18">
        <f>COUNTIFS(Table1[Customer ID], "&gt;1", Table1[Customer ID], 1)</f>
        <v>0</v>
      </c>
    </row>
    <row r="1431" spans="1:20" hidden="1" x14ac:dyDescent="0.3">
      <c r="A1431" s="2" t="s">
        <v>2109</v>
      </c>
      <c r="B1431" s="5">
        <v>45863</v>
      </c>
      <c r="C1431" s="5" t="str">
        <f>TEXT(B1431,"mmm")</f>
        <v>Jul</v>
      </c>
      <c r="D1431" s="2" t="s">
        <v>695</v>
      </c>
      <c r="E1431" s="2" t="s">
        <v>21</v>
      </c>
      <c r="F1431" s="2" t="str" cm="1">
        <f t="array" ref="F14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31" s="2" t="str" cm="1">
        <f t="array" ref="G14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31" s="2" t="s">
        <v>217</v>
      </c>
      <c r="I1431" s="2" t="s">
        <v>29</v>
      </c>
      <c r="J1431" s="2">
        <v>1</v>
      </c>
      <c r="K1431" s="8">
        <v>3299</v>
      </c>
      <c r="L1431" s="3">
        <v>0.1</v>
      </c>
      <c r="M1431" s="12">
        <f>K1431*L1431</f>
        <v>329.90000000000003</v>
      </c>
      <c r="N1431" s="12">
        <f>K1431*J1431</f>
        <v>3299</v>
      </c>
      <c r="O1431" s="12">
        <f>N1431-M1431</f>
        <v>2969.1</v>
      </c>
      <c r="P1431" s="2" t="s">
        <v>17</v>
      </c>
      <c r="Q1431" s="2" t="s">
        <v>18</v>
      </c>
      <c r="R1431" s="2">
        <v>80</v>
      </c>
      <c r="S1431" s="20">
        <f>Table1[[#This Row],[Net_revenue]]/Table1[[#This Row],[Gross_revenue]]*100%</f>
        <v>0.9</v>
      </c>
      <c r="T1431" s="18">
        <f>COUNTIFS(Table1[Customer ID], "&gt;1", Table1[Customer ID], 1)</f>
        <v>0</v>
      </c>
    </row>
    <row r="1432" spans="1:20" hidden="1" x14ac:dyDescent="0.3">
      <c r="A1432" s="2" t="s">
        <v>2110</v>
      </c>
      <c r="B1432" s="5">
        <v>45872</v>
      </c>
      <c r="C1432" s="5" t="str">
        <f>TEXT(B1432,"mmm")</f>
        <v>Aug</v>
      </c>
      <c r="D1432" s="2" t="s">
        <v>230</v>
      </c>
      <c r="E1432" s="2" t="s">
        <v>48</v>
      </c>
      <c r="F1432" s="2" t="str" cm="1">
        <f t="array" ref="F14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32" s="2" t="str" cm="1">
        <f t="array" ref="G14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32" s="2" t="s">
        <v>36</v>
      </c>
      <c r="I1432" s="2" t="s">
        <v>37</v>
      </c>
      <c r="J1432" s="2">
        <v>1</v>
      </c>
      <c r="K1432" s="8">
        <v>349</v>
      </c>
      <c r="L1432" s="3">
        <v>0.1</v>
      </c>
      <c r="M1432" s="12">
        <f>K1432*L1432</f>
        <v>34.9</v>
      </c>
      <c r="N1432" s="12">
        <f>K1432*J1432</f>
        <v>349</v>
      </c>
      <c r="O1432" s="12">
        <f>N1432-M1432</f>
        <v>314.10000000000002</v>
      </c>
      <c r="P1432" s="2" t="s">
        <v>17</v>
      </c>
      <c r="Q1432" s="2" t="s">
        <v>18</v>
      </c>
      <c r="R1432" s="2">
        <v>40</v>
      </c>
      <c r="S1432" s="20">
        <f>Table1[[#This Row],[Net_revenue]]/Table1[[#This Row],[Gross_revenue]]*100%</f>
        <v>0.9</v>
      </c>
      <c r="T1432" s="18">
        <f>COUNTIFS(Table1[Customer ID], "&gt;1", Table1[Customer ID], 1)</f>
        <v>0</v>
      </c>
    </row>
    <row r="1433" spans="1:20" hidden="1" x14ac:dyDescent="0.3">
      <c r="A1433" s="2" t="s">
        <v>2111</v>
      </c>
      <c r="B1433" s="5">
        <v>45691</v>
      </c>
      <c r="C1433" s="5" t="str">
        <f>TEXT(B1433,"mmm")</f>
        <v>Feb</v>
      </c>
      <c r="D1433" s="2" t="s">
        <v>1825</v>
      </c>
      <c r="E1433" s="2" t="s">
        <v>27</v>
      </c>
      <c r="F1433" s="2" t="str" cm="1">
        <f t="array" ref="F14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33" s="2" t="str" cm="1">
        <f t="array" ref="G14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33" s="2" t="s">
        <v>121</v>
      </c>
      <c r="I1433" s="2" t="s">
        <v>95</v>
      </c>
      <c r="J1433" s="2">
        <v>1</v>
      </c>
      <c r="K1433" s="8">
        <v>1299</v>
      </c>
      <c r="L1433" s="3">
        <v>0.15</v>
      </c>
      <c r="M1433" s="12">
        <f>K1433*L1433</f>
        <v>194.85</v>
      </c>
      <c r="N1433" s="12">
        <f>K1433*J1433</f>
        <v>1299</v>
      </c>
      <c r="O1433" s="12">
        <f>N1433-M1433</f>
        <v>1104.1500000000001</v>
      </c>
      <c r="P1433" s="2" t="s">
        <v>45</v>
      </c>
      <c r="Q1433" s="2" t="s">
        <v>18</v>
      </c>
      <c r="R1433" s="2">
        <v>40</v>
      </c>
      <c r="S1433" s="20">
        <f>Table1[[#This Row],[Net_revenue]]/Table1[[#This Row],[Gross_revenue]]*100%</f>
        <v>0.85000000000000009</v>
      </c>
      <c r="T1433" s="18">
        <f>COUNTIFS(Table1[Customer ID], "&gt;1", Table1[Customer ID], 1)</f>
        <v>0</v>
      </c>
    </row>
    <row r="1434" spans="1:20" hidden="1" x14ac:dyDescent="0.3">
      <c r="A1434" s="2" t="s">
        <v>2112</v>
      </c>
      <c r="B1434" s="5">
        <v>45745</v>
      </c>
      <c r="C1434" s="5" t="str">
        <f>TEXT(B1434,"mmm")</f>
        <v>Mar</v>
      </c>
      <c r="D1434" s="2" t="s">
        <v>581</v>
      </c>
      <c r="E1434" s="2" t="s">
        <v>14</v>
      </c>
      <c r="F1434" s="2" t="str" cm="1">
        <f t="array" ref="F14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34" s="2" t="str" cm="1">
        <f t="array" ref="G14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34" s="2" t="s">
        <v>121</v>
      </c>
      <c r="I1434" s="2" t="s">
        <v>95</v>
      </c>
      <c r="J1434" s="2">
        <v>1</v>
      </c>
      <c r="K1434" s="8">
        <v>1299</v>
      </c>
      <c r="L1434" s="3">
        <v>0.1</v>
      </c>
      <c r="M1434" s="12">
        <f>K1434*L1434</f>
        <v>129.9</v>
      </c>
      <c r="N1434" s="12">
        <f>K1434*J1434</f>
        <v>1299</v>
      </c>
      <c r="O1434" s="12">
        <f>N1434-M1434</f>
        <v>1169.0999999999999</v>
      </c>
      <c r="P1434" s="2" t="s">
        <v>45</v>
      </c>
      <c r="Q1434" s="2" t="s">
        <v>18</v>
      </c>
      <c r="R1434" s="2">
        <v>0</v>
      </c>
      <c r="S1434" s="20">
        <f>Table1[[#This Row],[Net_revenue]]/Table1[[#This Row],[Gross_revenue]]*100%</f>
        <v>0.89999999999999991</v>
      </c>
      <c r="T1434" s="18">
        <f>COUNTIFS(Table1[Customer ID], "&gt;1", Table1[Customer ID], 1)</f>
        <v>0</v>
      </c>
    </row>
    <row r="1435" spans="1:20" hidden="1" x14ac:dyDescent="0.3">
      <c r="A1435" s="2" t="s">
        <v>2113</v>
      </c>
      <c r="B1435" s="5">
        <v>45835</v>
      </c>
      <c r="C1435" s="5" t="str">
        <f>TEXT(B1435,"mmm")</f>
        <v>Jun</v>
      </c>
      <c r="D1435" s="2" t="s">
        <v>487</v>
      </c>
      <c r="E1435" s="2" t="s">
        <v>27</v>
      </c>
      <c r="F1435" s="2" t="str" cm="1">
        <f t="array" ref="F14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35" s="2" t="str" cm="1">
        <f t="array" ref="G14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35" s="2" t="s">
        <v>134</v>
      </c>
      <c r="I1435" s="2" t="s">
        <v>29</v>
      </c>
      <c r="J1435" s="2">
        <v>2</v>
      </c>
      <c r="K1435" s="8">
        <v>1499</v>
      </c>
      <c r="L1435" s="3">
        <v>0.25</v>
      </c>
      <c r="M1435" s="12">
        <f>K1435*L1435</f>
        <v>374.75</v>
      </c>
      <c r="N1435" s="12">
        <f>K1435*J1435</f>
        <v>2998</v>
      </c>
      <c r="O1435" s="12">
        <f>N1435-M1435</f>
        <v>2623.25</v>
      </c>
      <c r="P1435" s="2" t="s">
        <v>30</v>
      </c>
      <c r="Q1435" s="2" t="s">
        <v>18</v>
      </c>
      <c r="R1435" s="2">
        <v>40</v>
      </c>
      <c r="S1435" s="20">
        <f>Table1[[#This Row],[Net_revenue]]/Table1[[#This Row],[Gross_revenue]]*100%</f>
        <v>0.875</v>
      </c>
      <c r="T1435" s="18">
        <f>COUNTIFS(Table1[Customer ID], "&gt;1", Table1[Customer ID], 1)</f>
        <v>0</v>
      </c>
    </row>
    <row r="1436" spans="1:20" hidden="1" x14ac:dyDescent="0.3">
      <c r="A1436" s="2" t="s">
        <v>2114</v>
      </c>
      <c r="B1436" s="5">
        <v>45672</v>
      </c>
      <c r="C1436" s="5" t="str">
        <f>TEXT(B1436,"mmm")</f>
        <v>Jan</v>
      </c>
      <c r="D1436" s="2" t="s">
        <v>530</v>
      </c>
      <c r="E1436" s="2" t="s">
        <v>14</v>
      </c>
      <c r="F1436" s="2" t="str" cm="1">
        <f t="array" ref="F14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36" s="2" t="str" cm="1">
        <f t="array" ref="G14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36" s="2" t="s">
        <v>68</v>
      </c>
      <c r="I1436" s="2" t="s">
        <v>16</v>
      </c>
      <c r="J1436" s="2">
        <v>1</v>
      </c>
      <c r="K1436" s="8">
        <v>599</v>
      </c>
      <c r="L1436" s="3">
        <v>0.05</v>
      </c>
      <c r="M1436" s="12">
        <f>K1436*L1436</f>
        <v>29.950000000000003</v>
      </c>
      <c r="N1436" s="12">
        <f>K1436*J1436</f>
        <v>599</v>
      </c>
      <c r="O1436" s="12">
        <f>N1436-M1436</f>
        <v>569.04999999999995</v>
      </c>
      <c r="P1436" s="2" t="s">
        <v>45</v>
      </c>
      <c r="Q1436" s="2" t="s">
        <v>72</v>
      </c>
      <c r="R1436" s="2">
        <v>0</v>
      </c>
      <c r="S1436" s="20">
        <f>Table1[[#This Row],[Net_revenue]]/Table1[[#This Row],[Gross_revenue]]*100%</f>
        <v>0.95</v>
      </c>
      <c r="T1436" s="18">
        <f>COUNTIFS(Table1[Customer ID], "&gt;1", Table1[Customer ID], 1)</f>
        <v>0</v>
      </c>
    </row>
    <row r="1437" spans="1:20" hidden="1" x14ac:dyDescent="0.3">
      <c r="A1437" s="2" t="s">
        <v>2115</v>
      </c>
      <c r="B1437" s="5">
        <v>46014</v>
      </c>
      <c r="C1437" s="5" t="str">
        <f>TEXT(B1437,"mmm")</f>
        <v>Dec</v>
      </c>
      <c r="D1437" s="2" t="s">
        <v>341</v>
      </c>
      <c r="E1437" s="2" t="s">
        <v>120</v>
      </c>
      <c r="F1437" s="2" t="str" cm="1">
        <f t="array" ref="F14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37" s="2" t="str" cm="1">
        <f t="array" ref="G14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37" s="2" t="s">
        <v>65</v>
      </c>
      <c r="I1437" s="2" t="s">
        <v>23</v>
      </c>
      <c r="J1437" s="2">
        <v>1</v>
      </c>
      <c r="K1437" s="8">
        <v>1899</v>
      </c>
      <c r="L1437" s="3">
        <v>0.1</v>
      </c>
      <c r="M1437" s="12">
        <f>K1437*L1437</f>
        <v>189.9</v>
      </c>
      <c r="N1437" s="12">
        <f>K1437*J1437</f>
        <v>1899</v>
      </c>
      <c r="O1437" s="12">
        <f>N1437-M1437</f>
        <v>1709.1</v>
      </c>
      <c r="P1437" s="2" t="s">
        <v>30</v>
      </c>
      <c r="Q1437" s="2" t="s">
        <v>18</v>
      </c>
      <c r="R1437" s="2">
        <v>0</v>
      </c>
      <c r="S1437" s="20">
        <f>Table1[[#This Row],[Net_revenue]]/Table1[[#This Row],[Gross_revenue]]*100%</f>
        <v>0.89999999999999991</v>
      </c>
      <c r="T1437" s="18">
        <f>COUNTIFS(Table1[Customer ID], "&gt;1", Table1[Customer ID], 1)</f>
        <v>0</v>
      </c>
    </row>
    <row r="1438" spans="1:20" hidden="1" x14ac:dyDescent="0.3">
      <c r="A1438" s="2" t="s">
        <v>2116</v>
      </c>
      <c r="B1438" s="5">
        <v>45825</v>
      </c>
      <c r="C1438" s="5" t="str">
        <f>TEXT(B1438,"mmm")</f>
        <v>Jun</v>
      </c>
      <c r="D1438" s="2" t="s">
        <v>1019</v>
      </c>
      <c r="E1438" s="2" t="s">
        <v>14</v>
      </c>
      <c r="F1438" s="2" t="str" cm="1">
        <f t="array" ref="F14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38" s="2" t="str" cm="1">
        <f t="array" ref="G14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38" s="2" t="s">
        <v>107</v>
      </c>
      <c r="I1438" s="2" t="s">
        <v>95</v>
      </c>
      <c r="J1438" s="2">
        <v>3</v>
      </c>
      <c r="K1438" s="8">
        <v>1599</v>
      </c>
      <c r="L1438" s="3">
        <v>0.05</v>
      </c>
      <c r="M1438" s="12">
        <f>K1438*L1438</f>
        <v>79.95</v>
      </c>
      <c r="N1438" s="12">
        <f>K1438*J1438</f>
        <v>4797</v>
      </c>
      <c r="O1438" s="12">
        <f>N1438-M1438</f>
        <v>4717.05</v>
      </c>
      <c r="P1438" s="2" t="s">
        <v>45</v>
      </c>
      <c r="Q1438" s="2" t="s">
        <v>18</v>
      </c>
      <c r="R1438" s="2">
        <v>0</v>
      </c>
      <c r="S1438" s="20">
        <f>Table1[[#This Row],[Net_revenue]]/Table1[[#This Row],[Gross_revenue]]*100%</f>
        <v>0.98333333333333339</v>
      </c>
      <c r="T1438" s="18">
        <f>COUNTIFS(Table1[Customer ID], "&gt;1", Table1[Customer ID], 1)</f>
        <v>0</v>
      </c>
    </row>
    <row r="1439" spans="1:20" hidden="1" x14ac:dyDescent="0.3">
      <c r="A1439" s="2" t="s">
        <v>2117</v>
      </c>
      <c r="B1439" s="5">
        <v>45970</v>
      </c>
      <c r="C1439" s="5" t="str">
        <f>TEXT(B1439,"mmm")</f>
        <v>Nov</v>
      </c>
      <c r="D1439" s="2" t="s">
        <v>13</v>
      </c>
      <c r="E1439" s="2" t="s">
        <v>48</v>
      </c>
      <c r="F1439" s="2" t="str" cm="1">
        <f t="array" ref="F14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39" s="2" t="str" cm="1">
        <f t="array" ref="G14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39" s="2" t="s">
        <v>217</v>
      </c>
      <c r="I1439" s="2" t="s">
        <v>29</v>
      </c>
      <c r="J1439" s="2">
        <v>2</v>
      </c>
      <c r="K1439" s="8">
        <v>3299</v>
      </c>
      <c r="L1439" s="3">
        <v>0.2</v>
      </c>
      <c r="M1439" s="12">
        <f>K1439*L1439</f>
        <v>659.80000000000007</v>
      </c>
      <c r="N1439" s="12">
        <f>K1439*J1439</f>
        <v>6598</v>
      </c>
      <c r="O1439" s="12">
        <f>N1439-M1439</f>
        <v>5938.2</v>
      </c>
      <c r="P1439" s="2" t="s">
        <v>17</v>
      </c>
      <c r="Q1439" s="2" t="s">
        <v>18</v>
      </c>
      <c r="R1439" s="2">
        <v>60</v>
      </c>
      <c r="S1439" s="20">
        <f>Table1[[#This Row],[Net_revenue]]/Table1[[#This Row],[Gross_revenue]]*100%</f>
        <v>0.9</v>
      </c>
      <c r="T1439" s="18">
        <f>COUNTIFS(Table1[Customer ID], "&gt;1", Table1[Customer ID], 1)</f>
        <v>0</v>
      </c>
    </row>
    <row r="1440" spans="1:20" hidden="1" x14ac:dyDescent="0.3">
      <c r="A1440" s="2" t="s">
        <v>2118</v>
      </c>
      <c r="B1440" s="5">
        <v>45696</v>
      </c>
      <c r="C1440" s="5" t="str">
        <f>TEXT(B1440,"mmm")</f>
        <v>Feb</v>
      </c>
      <c r="D1440" s="2" t="s">
        <v>1140</v>
      </c>
      <c r="E1440" s="2" t="s">
        <v>21</v>
      </c>
      <c r="F1440" s="2" t="str" cm="1">
        <f t="array" ref="F14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40" s="2" t="str" cm="1">
        <f t="array" ref="G14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40" s="2" t="s">
        <v>188</v>
      </c>
      <c r="I1440" s="2" t="s">
        <v>95</v>
      </c>
      <c r="J1440" s="2">
        <v>2</v>
      </c>
      <c r="K1440" s="8">
        <v>699</v>
      </c>
      <c r="L1440" s="3">
        <v>0</v>
      </c>
      <c r="M1440" s="12">
        <f>K1440*L1440</f>
        <v>0</v>
      </c>
      <c r="N1440" s="12">
        <f>K1440*J1440</f>
        <v>1398</v>
      </c>
      <c r="O1440" s="12">
        <f>N1440-M1440</f>
        <v>1398</v>
      </c>
      <c r="P1440" s="2" t="s">
        <v>30</v>
      </c>
      <c r="Q1440" s="2" t="s">
        <v>50</v>
      </c>
      <c r="R1440" s="2">
        <v>60</v>
      </c>
      <c r="S1440" s="20">
        <f>Table1[[#This Row],[Net_revenue]]/Table1[[#This Row],[Gross_revenue]]*100%</f>
        <v>1</v>
      </c>
      <c r="T1440" s="18">
        <f>COUNTIFS(Table1[Customer ID], "&gt;1", Table1[Customer ID], 1)</f>
        <v>0</v>
      </c>
    </row>
    <row r="1441" spans="1:20" hidden="1" x14ac:dyDescent="0.3">
      <c r="A1441" s="2" t="s">
        <v>2119</v>
      </c>
      <c r="B1441" s="5">
        <v>45817</v>
      </c>
      <c r="C1441" s="5" t="str">
        <f>TEXT(B1441,"mmm")</f>
        <v>Jun</v>
      </c>
      <c r="D1441" s="2" t="s">
        <v>2120</v>
      </c>
      <c r="E1441" s="2" t="s">
        <v>40</v>
      </c>
      <c r="F1441" s="2" t="str" cm="1">
        <f t="array" ref="F14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41" s="2" t="str" cm="1">
        <f t="array" ref="G14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41" s="2" t="s">
        <v>22</v>
      </c>
      <c r="I1441" s="2" t="s">
        <v>23</v>
      </c>
      <c r="J1441" s="2">
        <v>3</v>
      </c>
      <c r="K1441" s="8">
        <v>3999</v>
      </c>
      <c r="L1441" s="3">
        <v>0.1</v>
      </c>
      <c r="M1441" s="12">
        <f>K1441*L1441</f>
        <v>399.90000000000003</v>
      </c>
      <c r="N1441" s="12">
        <f>K1441*J1441</f>
        <v>11997</v>
      </c>
      <c r="O1441" s="12">
        <f>N1441-M1441</f>
        <v>11597.1</v>
      </c>
      <c r="P1441" s="2" t="s">
        <v>17</v>
      </c>
      <c r="Q1441" s="2" t="s">
        <v>18</v>
      </c>
      <c r="R1441" s="2">
        <v>60</v>
      </c>
      <c r="S1441" s="20">
        <f>Table1[[#This Row],[Net_revenue]]/Table1[[#This Row],[Gross_revenue]]*100%</f>
        <v>0.96666666666666667</v>
      </c>
      <c r="T1441" s="18">
        <f>COUNTIFS(Table1[Customer ID], "&gt;1", Table1[Customer ID], 1)</f>
        <v>0</v>
      </c>
    </row>
    <row r="1442" spans="1:20" hidden="1" x14ac:dyDescent="0.3">
      <c r="A1442" s="2" t="s">
        <v>2121</v>
      </c>
      <c r="B1442" s="5">
        <v>45894</v>
      </c>
      <c r="C1442" s="5" t="str">
        <f>TEXT(B1442,"mmm")</f>
        <v>Aug</v>
      </c>
      <c r="D1442" s="2" t="s">
        <v>570</v>
      </c>
      <c r="E1442" s="2" t="s">
        <v>14</v>
      </c>
      <c r="F1442" s="2" t="str" cm="1">
        <f t="array" ref="F14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42" s="2" t="str" cm="1">
        <f t="array" ref="G14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42" s="2" t="s">
        <v>41</v>
      </c>
      <c r="I1442" s="2" t="s">
        <v>16</v>
      </c>
      <c r="J1442" s="2">
        <v>1</v>
      </c>
      <c r="K1442" s="8">
        <v>2299</v>
      </c>
      <c r="L1442" s="3">
        <v>0</v>
      </c>
      <c r="M1442" s="12">
        <f>K1442*L1442</f>
        <v>0</v>
      </c>
      <c r="N1442" s="12">
        <f>K1442*J1442</f>
        <v>2299</v>
      </c>
      <c r="O1442" s="12">
        <f>N1442-M1442</f>
        <v>2299</v>
      </c>
      <c r="P1442" s="2" t="s">
        <v>30</v>
      </c>
      <c r="Q1442" s="2" t="s">
        <v>18</v>
      </c>
      <c r="R1442" s="2">
        <v>80</v>
      </c>
      <c r="S1442" s="20">
        <f>Table1[[#This Row],[Net_revenue]]/Table1[[#This Row],[Gross_revenue]]*100%</f>
        <v>1</v>
      </c>
      <c r="T1442" s="18">
        <f>COUNTIFS(Table1[Customer ID], "&gt;1", Table1[Customer ID], 1)</f>
        <v>0</v>
      </c>
    </row>
    <row r="1443" spans="1:20" hidden="1" x14ac:dyDescent="0.3">
      <c r="A1443" s="2" t="s">
        <v>2122</v>
      </c>
      <c r="B1443" s="5">
        <v>45751</v>
      </c>
      <c r="C1443" s="5" t="str">
        <f>TEXT(B1443,"mmm")</f>
        <v>Apr</v>
      </c>
      <c r="D1443" s="2" t="s">
        <v>1315</v>
      </c>
      <c r="E1443" s="2" t="s">
        <v>53</v>
      </c>
      <c r="F1443" s="2" t="str" cm="1">
        <f t="array" ref="F14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43" s="2" t="str" cm="1">
        <f t="array" ref="G14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43" s="2" t="s">
        <v>33</v>
      </c>
      <c r="I1443" s="2" t="s">
        <v>16</v>
      </c>
      <c r="J1443" s="2">
        <v>1</v>
      </c>
      <c r="K1443" s="8">
        <v>899</v>
      </c>
      <c r="L1443" s="3">
        <v>0.1</v>
      </c>
      <c r="M1443" s="12">
        <f>K1443*L1443</f>
        <v>89.9</v>
      </c>
      <c r="N1443" s="12">
        <f>K1443*J1443</f>
        <v>899</v>
      </c>
      <c r="O1443" s="12">
        <f>N1443-M1443</f>
        <v>809.1</v>
      </c>
      <c r="P1443" s="2" t="s">
        <v>30</v>
      </c>
      <c r="Q1443" s="2" t="s">
        <v>18</v>
      </c>
      <c r="R1443" s="2">
        <v>40</v>
      </c>
      <c r="S1443" s="20">
        <f>Table1[[#This Row],[Net_revenue]]/Table1[[#This Row],[Gross_revenue]]*100%</f>
        <v>0.9</v>
      </c>
      <c r="T1443" s="18">
        <f>COUNTIFS(Table1[Customer ID], "&gt;1", Table1[Customer ID], 1)</f>
        <v>0</v>
      </c>
    </row>
    <row r="1444" spans="1:20" hidden="1" x14ac:dyDescent="0.3">
      <c r="A1444" s="2" t="s">
        <v>2123</v>
      </c>
      <c r="B1444" s="5">
        <v>45726</v>
      </c>
      <c r="C1444" s="5" t="str">
        <f>TEXT(B1444,"mmm")</f>
        <v>Mar</v>
      </c>
      <c r="D1444" s="2" t="s">
        <v>572</v>
      </c>
      <c r="E1444" s="2" t="s">
        <v>48</v>
      </c>
      <c r="F1444" s="2" t="str" cm="1">
        <f t="array" ref="F14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44" s="2" t="str" cm="1">
        <f t="array" ref="G14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44" s="2" t="s">
        <v>188</v>
      </c>
      <c r="I1444" s="2" t="s">
        <v>95</v>
      </c>
      <c r="J1444" s="2">
        <v>1</v>
      </c>
      <c r="K1444" s="8">
        <v>699</v>
      </c>
      <c r="L1444" s="3">
        <v>0.2</v>
      </c>
      <c r="M1444" s="12">
        <f>K1444*L1444</f>
        <v>139.80000000000001</v>
      </c>
      <c r="N1444" s="12">
        <f>K1444*J1444</f>
        <v>699</v>
      </c>
      <c r="O1444" s="12">
        <f>N1444-M1444</f>
        <v>559.20000000000005</v>
      </c>
      <c r="P1444" s="2" t="s">
        <v>45</v>
      </c>
      <c r="Q1444" s="2" t="s">
        <v>18</v>
      </c>
      <c r="R1444" s="2">
        <v>60</v>
      </c>
      <c r="S1444" s="20">
        <f>Table1[[#This Row],[Net_revenue]]/Table1[[#This Row],[Gross_revenue]]*100%</f>
        <v>0.8</v>
      </c>
      <c r="T1444" s="18">
        <f>COUNTIFS(Table1[Customer ID], "&gt;1", Table1[Customer ID], 1)</f>
        <v>0</v>
      </c>
    </row>
    <row r="1445" spans="1:20" hidden="1" x14ac:dyDescent="0.3">
      <c r="A1445" s="2" t="s">
        <v>2124</v>
      </c>
      <c r="B1445" s="5">
        <v>45812</v>
      </c>
      <c r="C1445" s="5" t="str">
        <f>TEXT(B1445,"mmm")</f>
        <v>Jun</v>
      </c>
      <c r="D1445" s="2" t="s">
        <v>77</v>
      </c>
      <c r="E1445" s="2" t="s">
        <v>53</v>
      </c>
      <c r="F1445" s="2" t="str" cm="1">
        <f t="array" ref="F14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45" s="2" t="str" cm="1">
        <f t="array" ref="G14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45" s="2" t="s">
        <v>44</v>
      </c>
      <c r="I1445" s="2" t="s">
        <v>16</v>
      </c>
      <c r="J1445" s="2">
        <v>1</v>
      </c>
      <c r="K1445" s="8">
        <v>1599</v>
      </c>
      <c r="L1445" s="3">
        <v>0.1</v>
      </c>
      <c r="M1445" s="12">
        <f>K1445*L1445</f>
        <v>159.9</v>
      </c>
      <c r="N1445" s="12">
        <f>K1445*J1445</f>
        <v>1599</v>
      </c>
      <c r="O1445" s="12">
        <f>N1445-M1445</f>
        <v>1439.1</v>
      </c>
      <c r="P1445" s="2" t="s">
        <v>30</v>
      </c>
      <c r="Q1445" s="2" t="s">
        <v>18</v>
      </c>
      <c r="R1445" s="2">
        <v>40</v>
      </c>
      <c r="S1445" s="20">
        <f>Table1[[#This Row],[Net_revenue]]/Table1[[#This Row],[Gross_revenue]]*100%</f>
        <v>0.89999999999999991</v>
      </c>
      <c r="T1445" s="18">
        <f>COUNTIFS(Table1[Customer ID], "&gt;1", Table1[Customer ID], 1)</f>
        <v>0</v>
      </c>
    </row>
    <row r="1446" spans="1:20" hidden="1" x14ac:dyDescent="0.3">
      <c r="A1446" s="2" t="s">
        <v>2125</v>
      </c>
      <c r="B1446" s="5">
        <v>45828</v>
      </c>
      <c r="C1446" s="5" t="str">
        <f>TEXT(B1446,"mmm")</f>
        <v>Jun</v>
      </c>
      <c r="D1446" s="2" t="s">
        <v>970</v>
      </c>
      <c r="E1446" s="2" t="s">
        <v>40</v>
      </c>
      <c r="F1446" s="2" t="str" cm="1">
        <f t="array" ref="F14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46" s="2" t="str" cm="1">
        <f t="array" ref="G14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46" s="2" t="s">
        <v>49</v>
      </c>
      <c r="I1446" s="2" t="s">
        <v>23</v>
      </c>
      <c r="J1446" s="2">
        <v>1</v>
      </c>
      <c r="K1446" s="8">
        <v>1299</v>
      </c>
      <c r="L1446" s="3">
        <v>0.15</v>
      </c>
      <c r="M1446" s="12">
        <f>K1446*L1446</f>
        <v>194.85</v>
      </c>
      <c r="N1446" s="12">
        <f>K1446*J1446</f>
        <v>1299</v>
      </c>
      <c r="O1446" s="12">
        <f>N1446-M1446</f>
        <v>1104.1500000000001</v>
      </c>
      <c r="P1446" s="2" t="s">
        <v>45</v>
      </c>
      <c r="Q1446" s="2" t="s">
        <v>18</v>
      </c>
      <c r="R1446" s="2">
        <v>0</v>
      </c>
      <c r="S1446" s="20">
        <f>Table1[[#This Row],[Net_revenue]]/Table1[[#This Row],[Gross_revenue]]*100%</f>
        <v>0.85000000000000009</v>
      </c>
      <c r="T1446" s="18">
        <f>COUNTIFS(Table1[Customer ID], "&gt;1", Table1[Customer ID], 1)</f>
        <v>0</v>
      </c>
    </row>
    <row r="1447" spans="1:20" hidden="1" x14ac:dyDescent="0.3">
      <c r="A1447" s="2" t="s">
        <v>2126</v>
      </c>
      <c r="B1447" s="5">
        <v>45947</v>
      </c>
      <c r="C1447" s="5" t="str">
        <f>TEXT(B1447,"mmm")</f>
        <v>Oct</v>
      </c>
      <c r="D1447" s="2" t="s">
        <v>674</v>
      </c>
      <c r="E1447" s="2" t="s">
        <v>21</v>
      </c>
      <c r="F1447" s="2" t="str" cm="1">
        <f t="array" ref="F14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47" s="2" t="str" cm="1">
        <f t="array" ref="G14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47" s="2" t="s">
        <v>15</v>
      </c>
      <c r="I1447" s="2" t="s">
        <v>16</v>
      </c>
      <c r="J1447" s="2">
        <v>3</v>
      </c>
      <c r="K1447" s="8">
        <v>1799</v>
      </c>
      <c r="L1447" s="3">
        <v>0.25</v>
      </c>
      <c r="M1447" s="12">
        <f>K1447*L1447</f>
        <v>449.75</v>
      </c>
      <c r="N1447" s="12">
        <f>K1447*J1447</f>
        <v>5397</v>
      </c>
      <c r="O1447" s="12">
        <f>N1447-M1447</f>
        <v>4947.25</v>
      </c>
      <c r="P1447" s="2" t="s">
        <v>45</v>
      </c>
      <c r="Q1447" s="2" t="s">
        <v>72</v>
      </c>
      <c r="R1447" s="2">
        <v>0</v>
      </c>
      <c r="S1447" s="20">
        <f>Table1[[#This Row],[Net_revenue]]/Table1[[#This Row],[Gross_revenue]]*100%</f>
        <v>0.91666666666666663</v>
      </c>
      <c r="T1447" s="18">
        <f>COUNTIFS(Table1[Customer ID], "&gt;1", Table1[Customer ID], 1)</f>
        <v>0</v>
      </c>
    </row>
    <row r="1448" spans="1:20" hidden="1" x14ac:dyDescent="0.3">
      <c r="A1448" s="2" t="s">
        <v>2127</v>
      </c>
      <c r="B1448" s="5">
        <v>45698</v>
      </c>
      <c r="C1448" s="5" t="str">
        <f>TEXT(B1448,"mmm")</f>
        <v>Feb</v>
      </c>
      <c r="D1448" s="2" t="s">
        <v>180</v>
      </c>
      <c r="E1448" s="2" t="s">
        <v>48</v>
      </c>
      <c r="F1448" s="2" t="str" cm="1">
        <f t="array" ref="F14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48" s="2" t="str" cm="1">
        <f t="array" ref="G14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48" s="2" t="s">
        <v>49</v>
      </c>
      <c r="I1448" s="2" t="s">
        <v>23</v>
      </c>
      <c r="J1448" s="2">
        <v>1</v>
      </c>
      <c r="K1448" s="8">
        <v>1299</v>
      </c>
      <c r="L1448" s="3">
        <v>0.15</v>
      </c>
      <c r="M1448" s="12">
        <f>K1448*L1448</f>
        <v>194.85</v>
      </c>
      <c r="N1448" s="12">
        <f>K1448*J1448</f>
        <v>1299</v>
      </c>
      <c r="O1448" s="12">
        <f>N1448-M1448</f>
        <v>1104.1500000000001</v>
      </c>
      <c r="P1448" s="2" t="s">
        <v>30</v>
      </c>
      <c r="Q1448" s="2" t="s">
        <v>18</v>
      </c>
      <c r="R1448" s="2">
        <v>80</v>
      </c>
      <c r="S1448" s="20">
        <f>Table1[[#This Row],[Net_revenue]]/Table1[[#This Row],[Gross_revenue]]*100%</f>
        <v>0.85000000000000009</v>
      </c>
      <c r="T1448" s="18">
        <f>COUNTIFS(Table1[Customer ID], "&gt;1", Table1[Customer ID], 1)</f>
        <v>0</v>
      </c>
    </row>
    <row r="1449" spans="1:20" hidden="1" x14ac:dyDescent="0.3">
      <c r="A1449" s="2" t="s">
        <v>2128</v>
      </c>
      <c r="B1449" s="5">
        <v>45927</v>
      </c>
      <c r="C1449" s="5" t="str">
        <f>TEXT(B1449,"mmm")</f>
        <v>Sep</v>
      </c>
      <c r="D1449" s="2" t="s">
        <v>599</v>
      </c>
      <c r="E1449" s="2" t="s">
        <v>21</v>
      </c>
      <c r="F1449" s="2" t="str" cm="1">
        <f t="array" ref="F14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49" s="2" t="str" cm="1">
        <f t="array" ref="G14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49" s="2" t="s">
        <v>28</v>
      </c>
      <c r="I1449" s="2" t="s">
        <v>29</v>
      </c>
      <c r="J1449" s="2">
        <v>3</v>
      </c>
      <c r="K1449" s="8">
        <v>2799</v>
      </c>
      <c r="L1449" s="3">
        <v>0.2</v>
      </c>
      <c r="M1449" s="12">
        <f>K1449*L1449</f>
        <v>559.80000000000007</v>
      </c>
      <c r="N1449" s="12">
        <f>K1449*J1449</f>
        <v>8397</v>
      </c>
      <c r="O1449" s="12">
        <f>N1449-M1449</f>
        <v>7837.2</v>
      </c>
      <c r="P1449" s="2" t="s">
        <v>45</v>
      </c>
      <c r="Q1449" s="2" t="s">
        <v>18</v>
      </c>
      <c r="R1449" s="2">
        <v>40</v>
      </c>
      <c r="S1449" s="20">
        <f>Table1[[#This Row],[Net_revenue]]/Table1[[#This Row],[Gross_revenue]]*100%</f>
        <v>0.93333333333333335</v>
      </c>
      <c r="T1449" s="18">
        <f>COUNTIFS(Table1[Customer ID], "&gt;1", Table1[Customer ID], 1)</f>
        <v>0</v>
      </c>
    </row>
    <row r="1450" spans="1:20" hidden="1" x14ac:dyDescent="0.3">
      <c r="A1450" s="2" t="s">
        <v>2129</v>
      </c>
      <c r="B1450" s="5">
        <v>45905</v>
      </c>
      <c r="C1450" s="5" t="str">
        <f>TEXT(B1450,"mmm")</f>
        <v>Sep</v>
      </c>
      <c r="D1450" s="2" t="s">
        <v>1758</v>
      </c>
      <c r="E1450" s="2" t="s">
        <v>40</v>
      </c>
      <c r="F1450" s="2" t="str" cm="1">
        <f t="array" ref="F14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50" s="2" t="str" cm="1">
        <f t="array" ref="G14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50" s="2" t="s">
        <v>188</v>
      </c>
      <c r="I1450" s="2" t="s">
        <v>95</v>
      </c>
      <c r="J1450" s="2">
        <v>1</v>
      </c>
      <c r="K1450" s="8">
        <v>699</v>
      </c>
      <c r="L1450" s="3">
        <v>0</v>
      </c>
      <c r="M1450" s="12">
        <f>K1450*L1450</f>
        <v>0</v>
      </c>
      <c r="N1450" s="12">
        <f>K1450*J1450</f>
        <v>699</v>
      </c>
      <c r="O1450" s="12">
        <f>N1450-M1450</f>
        <v>699</v>
      </c>
      <c r="P1450" s="2" t="s">
        <v>17</v>
      </c>
      <c r="Q1450" s="2" t="s">
        <v>18</v>
      </c>
      <c r="R1450" s="2">
        <v>0</v>
      </c>
      <c r="S1450" s="20">
        <f>Table1[[#This Row],[Net_revenue]]/Table1[[#This Row],[Gross_revenue]]*100%</f>
        <v>1</v>
      </c>
      <c r="T1450" s="18">
        <f>COUNTIFS(Table1[Customer ID], "&gt;1", Table1[Customer ID], 1)</f>
        <v>0</v>
      </c>
    </row>
    <row r="1451" spans="1:20" hidden="1" x14ac:dyDescent="0.3">
      <c r="A1451" s="2" t="s">
        <v>2130</v>
      </c>
      <c r="B1451" s="5">
        <v>45711</v>
      </c>
      <c r="C1451" s="5" t="str">
        <f>TEXT(B1451,"mmm")</f>
        <v>Feb</v>
      </c>
      <c r="D1451" s="2" t="s">
        <v>383</v>
      </c>
      <c r="E1451" s="2" t="s">
        <v>48</v>
      </c>
      <c r="F1451" s="2" t="str" cm="1">
        <f t="array" ref="F14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51" s="2" t="str" cm="1">
        <f t="array" ref="G14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51" s="2" t="s">
        <v>89</v>
      </c>
      <c r="I1451" s="2" t="s">
        <v>29</v>
      </c>
      <c r="J1451" s="2">
        <v>2</v>
      </c>
      <c r="K1451" s="8">
        <v>449</v>
      </c>
      <c r="L1451" s="3">
        <v>0.15</v>
      </c>
      <c r="M1451" s="12">
        <f>K1451*L1451</f>
        <v>67.349999999999994</v>
      </c>
      <c r="N1451" s="12">
        <f>K1451*J1451</f>
        <v>898</v>
      </c>
      <c r="O1451" s="12">
        <f>N1451-M1451</f>
        <v>830.65</v>
      </c>
      <c r="P1451" s="2" t="s">
        <v>24</v>
      </c>
      <c r="Q1451" s="2" t="s">
        <v>18</v>
      </c>
      <c r="R1451" s="2">
        <v>40</v>
      </c>
      <c r="S1451" s="20">
        <f>Table1[[#This Row],[Net_revenue]]/Table1[[#This Row],[Gross_revenue]]*100%</f>
        <v>0.92499999999999993</v>
      </c>
      <c r="T1451" s="18">
        <f>COUNTIFS(Table1[Customer ID], "&gt;1", Table1[Customer ID], 1)</f>
        <v>0</v>
      </c>
    </row>
    <row r="1452" spans="1:20" hidden="1" x14ac:dyDescent="0.3">
      <c r="A1452" s="2" t="s">
        <v>2131</v>
      </c>
      <c r="B1452" s="5">
        <v>45934</v>
      </c>
      <c r="C1452" s="5" t="str">
        <f>TEXT(B1452,"mmm")</f>
        <v>Oct</v>
      </c>
      <c r="D1452" s="2" t="s">
        <v>432</v>
      </c>
      <c r="E1452" s="2" t="s">
        <v>120</v>
      </c>
      <c r="F1452" s="2" t="str" cm="1">
        <f t="array" ref="F14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52" s="2" t="str" cm="1">
        <f t="array" ref="G14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52" s="2" t="s">
        <v>36</v>
      </c>
      <c r="I1452" s="2" t="s">
        <v>37</v>
      </c>
      <c r="J1452" s="2">
        <v>1</v>
      </c>
      <c r="K1452" s="8">
        <v>349</v>
      </c>
      <c r="L1452" s="3">
        <v>0.1</v>
      </c>
      <c r="M1452" s="12">
        <f>K1452*L1452</f>
        <v>34.9</v>
      </c>
      <c r="N1452" s="12">
        <f>K1452*J1452</f>
        <v>349</v>
      </c>
      <c r="O1452" s="12">
        <f>N1452-M1452</f>
        <v>314.10000000000002</v>
      </c>
      <c r="P1452" s="2" t="s">
        <v>45</v>
      </c>
      <c r="Q1452" s="2" t="s">
        <v>18</v>
      </c>
      <c r="R1452" s="2">
        <v>40</v>
      </c>
      <c r="S1452" s="20">
        <f>Table1[[#This Row],[Net_revenue]]/Table1[[#This Row],[Gross_revenue]]*100%</f>
        <v>0.9</v>
      </c>
      <c r="T1452" s="18">
        <f>COUNTIFS(Table1[Customer ID], "&gt;1", Table1[Customer ID], 1)</f>
        <v>0</v>
      </c>
    </row>
    <row r="1453" spans="1:20" hidden="1" x14ac:dyDescent="0.3">
      <c r="A1453" s="2" t="s">
        <v>2132</v>
      </c>
      <c r="B1453" s="5">
        <v>45901</v>
      </c>
      <c r="C1453" s="5" t="str">
        <f>TEXT(B1453,"mmm")</f>
        <v>Sep</v>
      </c>
      <c r="D1453" s="2" t="s">
        <v>906</v>
      </c>
      <c r="E1453" s="2" t="s">
        <v>21</v>
      </c>
      <c r="F1453" s="2" t="str" cm="1">
        <f t="array" ref="F14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53" s="2" t="str" cm="1">
        <f t="array" ref="G14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53" s="2" t="s">
        <v>22</v>
      </c>
      <c r="I1453" s="2" t="s">
        <v>23</v>
      </c>
      <c r="J1453" s="2">
        <v>3</v>
      </c>
      <c r="K1453" s="8">
        <v>3999</v>
      </c>
      <c r="L1453" s="3">
        <v>0</v>
      </c>
      <c r="M1453" s="12">
        <f>K1453*L1453</f>
        <v>0</v>
      </c>
      <c r="N1453" s="12">
        <f>K1453*J1453</f>
        <v>11997</v>
      </c>
      <c r="O1453" s="12">
        <f>N1453-M1453</f>
        <v>11997</v>
      </c>
      <c r="P1453" s="2" t="s">
        <v>17</v>
      </c>
      <c r="Q1453" s="2" t="s">
        <v>18</v>
      </c>
      <c r="R1453" s="2">
        <v>40</v>
      </c>
      <c r="S1453" s="20">
        <f>Table1[[#This Row],[Net_revenue]]/Table1[[#This Row],[Gross_revenue]]*100%</f>
        <v>1</v>
      </c>
      <c r="T1453" s="18">
        <f>COUNTIFS(Table1[Customer ID], "&gt;1", Table1[Customer ID], 1)</f>
        <v>0</v>
      </c>
    </row>
    <row r="1454" spans="1:20" hidden="1" x14ac:dyDescent="0.3">
      <c r="A1454" s="2" t="s">
        <v>2133</v>
      </c>
      <c r="B1454" s="5">
        <v>45738</v>
      </c>
      <c r="C1454" s="5" t="str">
        <f>TEXT(B1454,"mmm")</f>
        <v>Mar</v>
      </c>
      <c r="D1454" s="2" t="s">
        <v>407</v>
      </c>
      <c r="E1454" s="2" t="s">
        <v>48</v>
      </c>
      <c r="F1454" s="2" t="str" cm="1">
        <f t="array" ref="F14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54" s="2" t="str" cm="1">
        <f t="array" ref="G14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54" s="2" t="s">
        <v>80</v>
      </c>
      <c r="I1454" s="2" t="s">
        <v>23</v>
      </c>
      <c r="J1454" s="2">
        <v>1</v>
      </c>
      <c r="K1454" s="8">
        <v>799</v>
      </c>
      <c r="L1454" s="3">
        <v>0.25</v>
      </c>
      <c r="M1454" s="12">
        <f>K1454*L1454</f>
        <v>199.75</v>
      </c>
      <c r="N1454" s="12">
        <f>K1454*J1454</f>
        <v>799</v>
      </c>
      <c r="O1454" s="12">
        <f>N1454-M1454</f>
        <v>599.25</v>
      </c>
      <c r="P1454" s="2" t="s">
        <v>24</v>
      </c>
      <c r="Q1454" s="2" t="s">
        <v>50</v>
      </c>
      <c r="R1454" s="2">
        <v>80</v>
      </c>
      <c r="S1454" s="20">
        <f>Table1[[#This Row],[Net_revenue]]/Table1[[#This Row],[Gross_revenue]]*100%</f>
        <v>0.75</v>
      </c>
      <c r="T1454" s="18">
        <f>COUNTIFS(Table1[Customer ID], "&gt;1", Table1[Customer ID], 1)</f>
        <v>0</v>
      </c>
    </row>
    <row r="1455" spans="1:20" hidden="1" x14ac:dyDescent="0.3">
      <c r="A1455" s="2" t="s">
        <v>2134</v>
      </c>
      <c r="B1455" s="5">
        <v>45957</v>
      </c>
      <c r="C1455" s="5" t="str">
        <f>TEXT(B1455,"mmm")</f>
        <v>Oct</v>
      </c>
      <c r="D1455" s="2" t="s">
        <v>1581</v>
      </c>
      <c r="E1455" s="2" t="s">
        <v>56</v>
      </c>
      <c r="F1455" s="2" t="str" cm="1">
        <f t="array" ref="F14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55" s="2" t="str" cm="1">
        <f t="array" ref="G14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55" s="2" t="s">
        <v>44</v>
      </c>
      <c r="I1455" s="2" t="s">
        <v>16</v>
      </c>
      <c r="J1455" s="2">
        <v>1</v>
      </c>
      <c r="K1455" s="8">
        <v>1599</v>
      </c>
      <c r="L1455" s="3">
        <v>0</v>
      </c>
      <c r="M1455" s="12">
        <f>K1455*L1455</f>
        <v>0</v>
      </c>
      <c r="N1455" s="12">
        <f>K1455*J1455</f>
        <v>1599</v>
      </c>
      <c r="O1455" s="12">
        <f>N1455-M1455</f>
        <v>1599</v>
      </c>
      <c r="P1455" s="2" t="s">
        <v>45</v>
      </c>
      <c r="Q1455" s="2" t="s">
        <v>50</v>
      </c>
      <c r="R1455" s="2">
        <v>80</v>
      </c>
      <c r="S1455" s="20">
        <f>Table1[[#This Row],[Net_revenue]]/Table1[[#This Row],[Gross_revenue]]*100%</f>
        <v>1</v>
      </c>
      <c r="T1455" s="18">
        <f>COUNTIFS(Table1[Customer ID], "&gt;1", Table1[Customer ID], 1)</f>
        <v>0</v>
      </c>
    </row>
    <row r="1456" spans="1:20" hidden="1" x14ac:dyDescent="0.3">
      <c r="A1456" s="2" t="s">
        <v>2135</v>
      </c>
      <c r="B1456" s="5">
        <v>45835</v>
      </c>
      <c r="C1456" s="5" t="str">
        <f>TEXT(B1456,"mmm")</f>
        <v>Jun</v>
      </c>
      <c r="D1456" s="2" t="s">
        <v>2136</v>
      </c>
      <c r="E1456" s="2" t="s">
        <v>195</v>
      </c>
      <c r="F1456" s="2" t="str" cm="1">
        <f t="array" ref="F14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456" s="2" t="str" cm="1">
        <f t="array" ref="G14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56" s="2" t="s">
        <v>71</v>
      </c>
      <c r="I1456" s="2" t="s">
        <v>29</v>
      </c>
      <c r="J1456" s="2">
        <v>2</v>
      </c>
      <c r="K1456" s="8">
        <v>5499</v>
      </c>
      <c r="L1456" s="3">
        <v>0.1</v>
      </c>
      <c r="M1456" s="12">
        <f>K1456*L1456</f>
        <v>549.9</v>
      </c>
      <c r="N1456" s="12">
        <f>K1456*J1456</f>
        <v>10998</v>
      </c>
      <c r="O1456" s="12">
        <f>N1456-M1456</f>
        <v>10448.1</v>
      </c>
      <c r="P1456" s="2" t="s">
        <v>45</v>
      </c>
      <c r="Q1456" s="2" t="s">
        <v>18</v>
      </c>
      <c r="R1456" s="2">
        <v>60</v>
      </c>
      <c r="S1456" s="20">
        <f>Table1[[#This Row],[Net_revenue]]/Table1[[#This Row],[Gross_revenue]]*100%</f>
        <v>0.95000000000000007</v>
      </c>
      <c r="T1456" s="18">
        <f>COUNTIFS(Table1[Customer ID], "&gt;1", Table1[Customer ID], 1)</f>
        <v>0</v>
      </c>
    </row>
    <row r="1457" spans="1:20" hidden="1" x14ac:dyDescent="0.3">
      <c r="A1457" s="2" t="s">
        <v>2137</v>
      </c>
      <c r="B1457" s="5">
        <v>45993</v>
      </c>
      <c r="C1457" s="5" t="str">
        <f>TEXT(B1457,"mmm")</f>
        <v>Dec</v>
      </c>
      <c r="D1457" s="2" t="s">
        <v>2104</v>
      </c>
      <c r="E1457" s="2" t="s">
        <v>195</v>
      </c>
      <c r="F1457" s="2" t="str" cm="1">
        <f t="array" ref="F14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457" s="2" t="str" cm="1">
        <f t="array" ref="G14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57" s="2" t="s">
        <v>49</v>
      </c>
      <c r="I1457" s="2" t="s">
        <v>23</v>
      </c>
      <c r="J1457" s="2">
        <v>1</v>
      </c>
      <c r="K1457" s="8">
        <v>1299</v>
      </c>
      <c r="L1457" s="3">
        <v>0.2</v>
      </c>
      <c r="M1457" s="12">
        <f>K1457*L1457</f>
        <v>259.8</v>
      </c>
      <c r="N1457" s="12">
        <f>K1457*J1457</f>
        <v>1299</v>
      </c>
      <c r="O1457" s="12">
        <f>N1457-M1457</f>
        <v>1039.2</v>
      </c>
      <c r="P1457" s="2" t="s">
        <v>45</v>
      </c>
      <c r="Q1457" s="2" t="s">
        <v>18</v>
      </c>
      <c r="R1457" s="2">
        <v>80</v>
      </c>
      <c r="S1457" s="20">
        <f>Table1[[#This Row],[Net_revenue]]/Table1[[#This Row],[Gross_revenue]]*100%</f>
        <v>0.8</v>
      </c>
      <c r="T1457" s="18">
        <f>COUNTIFS(Table1[Customer ID], "&gt;1", Table1[Customer ID], 1)</f>
        <v>0</v>
      </c>
    </row>
    <row r="1458" spans="1:20" hidden="1" x14ac:dyDescent="0.3">
      <c r="A1458" s="2" t="s">
        <v>2138</v>
      </c>
      <c r="B1458" s="5">
        <v>46004</v>
      </c>
      <c r="C1458" s="5" t="str">
        <f>TEXT(B1458,"mmm")</f>
        <v>Dec</v>
      </c>
      <c r="D1458" s="2" t="s">
        <v>1073</v>
      </c>
      <c r="E1458" s="2" t="s">
        <v>195</v>
      </c>
      <c r="F1458" s="2" t="str" cm="1">
        <f t="array" ref="F14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458" s="2" t="str" cm="1">
        <f t="array" ref="G14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58" s="2" t="s">
        <v>41</v>
      </c>
      <c r="I1458" s="2" t="s">
        <v>16</v>
      </c>
      <c r="J1458" s="2">
        <v>2</v>
      </c>
      <c r="K1458" s="8">
        <v>2299</v>
      </c>
      <c r="L1458" s="3">
        <v>0.05</v>
      </c>
      <c r="M1458" s="12">
        <f>K1458*L1458</f>
        <v>114.95</v>
      </c>
      <c r="N1458" s="12">
        <f>K1458*J1458</f>
        <v>4598</v>
      </c>
      <c r="O1458" s="12">
        <f>N1458-M1458</f>
        <v>4483.05</v>
      </c>
      <c r="P1458" s="2" t="s">
        <v>17</v>
      </c>
      <c r="Q1458" s="2" t="s">
        <v>18</v>
      </c>
      <c r="R1458" s="2">
        <v>0</v>
      </c>
      <c r="S1458" s="20">
        <f>Table1[[#This Row],[Net_revenue]]/Table1[[#This Row],[Gross_revenue]]*100%</f>
        <v>0.97500000000000009</v>
      </c>
      <c r="T1458" s="18">
        <f>COUNTIFS(Table1[Customer ID], "&gt;1", Table1[Customer ID], 1)</f>
        <v>0</v>
      </c>
    </row>
    <row r="1459" spans="1:20" hidden="1" x14ac:dyDescent="0.3">
      <c r="A1459" s="2" t="s">
        <v>2139</v>
      </c>
      <c r="B1459" s="5">
        <v>45805</v>
      </c>
      <c r="C1459" s="5" t="str">
        <f>TEXT(B1459,"mmm")</f>
        <v>May</v>
      </c>
      <c r="D1459" s="2" t="s">
        <v>1315</v>
      </c>
      <c r="E1459" s="2" t="s">
        <v>27</v>
      </c>
      <c r="F1459" s="2" t="str" cm="1">
        <f t="array" ref="F14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59" s="2" t="str" cm="1">
        <f t="array" ref="G14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59" s="2" t="s">
        <v>49</v>
      </c>
      <c r="I1459" s="2" t="s">
        <v>23</v>
      </c>
      <c r="J1459" s="2">
        <v>3</v>
      </c>
      <c r="K1459" s="8">
        <v>1299</v>
      </c>
      <c r="L1459" s="3">
        <v>0.05</v>
      </c>
      <c r="M1459" s="12">
        <f>K1459*L1459</f>
        <v>64.95</v>
      </c>
      <c r="N1459" s="12">
        <f>K1459*J1459</f>
        <v>3897</v>
      </c>
      <c r="O1459" s="12">
        <f>N1459-M1459</f>
        <v>3832.05</v>
      </c>
      <c r="P1459" s="2" t="s">
        <v>30</v>
      </c>
      <c r="Q1459" s="2" t="s">
        <v>18</v>
      </c>
      <c r="R1459" s="2">
        <v>0</v>
      </c>
      <c r="S1459" s="20">
        <f>Table1[[#This Row],[Net_revenue]]/Table1[[#This Row],[Gross_revenue]]*100%</f>
        <v>0.98333333333333339</v>
      </c>
      <c r="T1459" s="18">
        <f>COUNTIFS(Table1[Customer ID], "&gt;1", Table1[Customer ID], 1)</f>
        <v>0</v>
      </c>
    </row>
    <row r="1460" spans="1:20" hidden="1" x14ac:dyDescent="0.3">
      <c r="A1460" s="2" t="s">
        <v>2140</v>
      </c>
      <c r="B1460" s="5">
        <v>45859</v>
      </c>
      <c r="C1460" s="5" t="str">
        <f>TEXT(B1460,"mmm")</f>
        <v>Jul</v>
      </c>
      <c r="D1460" s="2" t="s">
        <v>1343</v>
      </c>
      <c r="E1460" s="2" t="s">
        <v>56</v>
      </c>
      <c r="F1460" s="2" t="str" cm="1">
        <f t="array" ref="F14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60" s="2" t="str" cm="1">
        <f t="array" ref="G14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60" s="2" t="s">
        <v>22</v>
      </c>
      <c r="I1460" s="2" t="s">
        <v>23</v>
      </c>
      <c r="J1460" s="2">
        <v>1</v>
      </c>
      <c r="K1460" s="8">
        <v>3999</v>
      </c>
      <c r="L1460" s="3">
        <v>0.05</v>
      </c>
      <c r="M1460" s="12">
        <f>K1460*L1460</f>
        <v>199.95000000000002</v>
      </c>
      <c r="N1460" s="12">
        <f>K1460*J1460</f>
        <v>3999</v>
      </c>
      <c r="O1460" s="12">
        <f>N1460-M1460</f>
        <v>3799.05</v>
      </c>
      <c r="P1460" s="2" t="s">
        <v>45</v>
      </c>
      <c r="Q1460" s="2" t="s">
        <v>18</v>
      </c>
      <c r="R1460" s="2">
        <v>0</v>
      </c>
      <c r="S1460" s="20">
        <f>Table1[[#This Row],[Net_revenue]]/Table1[[#This Row],[Gross_revenue]]*100%</f>
        <v>0.95000000000000007</v>
      </c>
      <c r="T1460" s="18">
        <f>COUNTIFS(Table1[Customer ID], "&gt;1", Table1[Customer ID], 1)</f>
        <v>0</v>
      </c>
    </row>
    <row r="1461" spans="1:20" hidden="1" x14ac:dyDescent="0.3">
      <c r="A1461" s="2" t="s">
        <v>2141</v>
      </c>
      <c r="B1461" s="5">
        <v>45977</v>
      </c>
      <c r="C1461" s="5" t="str">
        <f>TEXT(B1461,"mmm")</f>
        <v>Nov</v>
      </c>
      <c r="D1461" s="2" t="s">
        <v>148</v>
      </c>
      <c r="E1461" s="2" t="s">
        <v>48</v>
      </c>
      <c r="F1461" s="2" t="str" cm="1">
        <f t="array" ref="F14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61" s="2" t="str" cm="1">
        <f t="array" ref="G14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61" s="2" t="s">
        <v>89</v>
      </c>
      <c r="I1461" s="2" t="s">
        <v>29</v>
      </c>
      <c r="J1461" s="2">
        <v>1</v>
      </c>
      <c r="K1461" s="8">
        <v>449</v>
      </c>
      <c r="L1461" s="3">
        <v>0.1</v>
      </c>
      <c r="M1461" s="12">
        <f>K1461*L1461</f>
        <v>44.900000000000006</v>
      </c>
      <c r="N1461" s="12">
        <f>K1461*J1461</f>
        <v>449</v>
      </c>
      <c r="O1461" s="12">
        <f>N1461-M1461</f>
        <v>404.1</v>
      </c>
      <c r="P1461" s="2" t="s">
        <v>30</v>
      </c>
      <c r="Q1461" s="2" t="s">
        <v>18</v>
      </c>
      <c r="R1461" s="2">
        <v>80</v>
      </c>
      <c r="S1461" s="20">
        <f>Table1[[#This Row],[Net_revenue]]/Table1[[#This Row],[Gross_revenue]]*100%</f>
        <v>0.9</v>
      </c>
      <c r="T1461" s="18">
        <f>COUNTIFS(Table1[Customer ID], "&gt;1", Table1[Customer ID], 1)</f>
        <v>0</v>
      </c>
    </row>
    <row r="1462" spans="1:20" hidden="1" x14ac:dyDescent="0.3">
      <c r="A1462" s="2" t="s">
        <v>2142</v>
      </c>
      <c r="B1462" s="5">
        <v>45762</v>
      </c>
      <c r="C1462" s="5" t="str">
        <f>TEXT(B1462,"mmm")</f>
        <v>Apr</v>
      </c>
      <c r="D1462" s="2" t="s">
        <v>2143</v>
      </c>
      <c r="E1462" s="2" t="s">
        <v>56</v>
      </c>
      <c r="F1462" s="2" t="str" cm="1">
        <f t="array" ref="F14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62" s="2" t="str" cm="1">
        <f t="array" ref="G14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62" s="2" t="s">
        <v>63</v>
      </c>
      <c r="I1462" s="2" t="s">
        <v>23</v>
      </c>
      <c r="J1462" s="2">
        <v>2</v>
      </c>
      <c r="K1462" s="8">
        <v>2499</v>
      </c>
      <c r="L1462" s="3">
        <v>0.25</v>
      </c>
      <c r="M1462" s="12">
        <f>K1462*L1462</f>
        <v>624.75</v>
      </c>
      <c r="N1462" s="12">
        <f>K1462*J1462</f>
        <v>4998</v>
      </c>
      <c r="O1462" s="12">
        <f>N1462-M1462</f>
        <v>4373.25</v>
      </c>
      <c r="P1462" s="2" t="s">
        <v>24</v>
      </c>
      <c r="Q1462" s="2" t="s">
        <v>18</v>
      </c>
      <c r="R1462" s="2">
        <v>0</v>
      </c>
      <c r="S1462" s="20">
        <f>Table1[[#This Row],[Net_revenue]]/Table1[[#This Row],[Gross_revenue]]*100%</f>
        <v>0.875</v>
      </c>
      <c r="T1462" s="18">
        <f>COUNTIFS(Table1[Customer ID], "&gt;1", Table1[Customer ID], 1)</f>
        <v>0</v>
      </c>
    </row>
    <row r="1463" spans="1:20" hidden="1" x14ac:dyDescent="0.3">
      <c r="A1463" s="2" t="s">
        <v>2144</v>
      </c>
      <c r="B1463" s="5">
        <v>45814</v>
      </c>
      <c r="C1463" s="5" t="str">
        <f>TEXT(B1463,"mmm")</f>
        <v>Jun</v>
      </c>
      <c r="D1463" s="2" t="s">
        <v>585</v>
      </c>
      <c r="E1463" s="2" t="s">
        <v>21</v>
      </c>
      <c r="F1463" s="2" t="str" cm="1">
        <f t="array" ref="F14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63" s="2" t="str" cm="1">
        <f t="array" ref="G14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63" s="2" t="s">
        <v>22</v>
      </c>
      <c r="I1463" s="2" t="s">
        <v>23</v>
      </c>
      <c r="J1463" s="2">
        <v>1</v>
      </c>
      <c r="K1463" s="8">
        <v>3999</v>
      </c>
      <c r="L1463" s="3">
        <v>0.1</v>
      </c>
      <c r="M1463" s="12">
        <f>K1463*L1463</f>
        <v>399.90000000000003</v>
      </c>
      <c r="N1463" s="12">
        <f>K1463*J1463</f>
        <v>3999</v>
      </c>
      <c r="O1463" s="12">
        <f>N1463-M1463</f>
        <v>3599.1</v>
      </c>
      <c r="P1463" s="2" t="s">
        <v>17</v>
      </c>
      <c r="Q1463" s="2" t="s">
        <v>18</v>
      </c>
      <c r="R1463" s="2">
        <v>80</v>
      </c>
      <c r="S1463" s="20">
        <f>Table1[[#This Row],[Net_revenue]]/Table1[[#This Row],[Gross_revenue]]*100%</f>
        <v>0.9</v>
      </c>
      <c r="T1463" s="18">
        <f>COUNTIFS(Table1[Customer ID], "&gt;1", Table1[Customer ID], 1)</f>
        <v>0</v>
      </c>
    </row>
    <row r="1464" spans="1:20" hidden="1" x14ac:dyDescent="0.3">
      <c r="A1464" s="2" t="s">
        <v>2145</v>
      </c>
      <c r="B1464" s="5">
        <v>46021</v>
      </c>
      <c r="C1464" s="5" t="str">
        <f>TEXT(B1464,"mmm")</f>
        <v>Dec</v>
      </c>
      <c r="D1464" s="2" t="s">
        <v>663</v>
      </c>
      <c r="E1464" s="2" t="s">
        <v>21</v>
      </c>
      <c r="F1464" s="2" t="str" cm="1">
        <f t="array" ref="F14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64" s="2" t="str" cm="1">
        <f t="array" ref="G14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64" s="2" t="s">
        <v>94</v>
      </c>
      <c r="I1464" s="2" t="s">
        <v>95</v>
      </c>
      <c r="J1464" s="2">
        <v>2</v>
      </c>
      <c r="K1464" s="8">
        <v>399</v>
      </c>
      <c r="L1464" s="3">
        <v>0.05</v>
      </c>
      <c r="M1464" s="12">
        <f>K1464*L1464</f>
        <v>19.950000000000003</v>
      </c>
      <c r="N1464" s="12">
        <f>K1464*J1464</f>
        <v>798</v>
      </c>
      <c r="O1464" s="12">
        <f>N1464-M1464</f>
        <v>778.05</v>
      </c>
      <c r="P1464" s="2" t="s">
        <v>45</v>
      </c>
      <c r="Q1464" s="2" t="s">
        <v>18</v>
      </c>
      <c r="R1464" s="2">
        <v>80</v>
      </c>
      <c r="S1464" s="20">
        <f>Table1[[#This Row],[Net_revenue]]/Table1[[#This Row],[Gross_revenue]]*100%</f>
        <v>0.97499999999999998</v>
      </c>
      <c r="T1464" s="18">
        <f>COUNTIFS(Table1[Customer ID], "&gt;1", Table1[Customer ID], 1)</f>
        <v>0</v>
      </c>
    </row>
    <row r="1465" spans="1:20" hidden="1" x14ac:dyDescent="0.3">
      <c r="A1465" s="2" t="s">
        <v>2146</v>
      </c>
      <c r="B1465" s="5">
        <v>45682</v>
      </c>
      <c r="C1465" s="5" t="str">
        <f>TEXT(B1465,"mmm")</f>
        <v>Jan</v>
      </c>
      <c r="D1465" s="2" t="s">
        <v>247</v>
      </c>
      <c r="E1465" s="2" t="s">
        <v>14</v>
      </c>
      <c r="F1465" s="2" t="str" cm="1">
        <f t="array" ref="F14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65" s="2" t="str" cm="1">
        <f t="array" ref="G14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65" s="2" t="s">
        <v>28</v>
      </c>
      <c r="I1465" s="2" t="s">
        <v>29</v>
      </c>
      <c r="J1465" s="2">
        <v>1</v>
      </c>
      <c r="K1465" s="8">
        <v>2799</v>
      </c>
      <c r="L1465" s="3">
        <v>0</v>
      </c>
      <c r="M1465" s="12">
        <f>K1465*L1465</f>
        <v>0</v>
      </c>
      <c r="N1465" s="12">
        <f>K1465*J1465</f>
        <v>2799</v>
      </c>
      <c r="O1465" s="12">
        <f>N1465-M1465</f>
        <v>2799</v>
      </c>
      <c r="P1465" s="2" t="s">
        <v>17</v>
      </c>
      <c r="Q1465" s="2" t="s">
        <v>18</v>
      </c>
      <c r="R1465" s="2">
        <v>60</v>
      </c>
      <c r="S1465" s="20">
        <f>Table1[[#This Row],[Net_revenue]]/Table1[[#This Row],[Gross_revenue]]*100%</f>
        <v>1</v>
      </c>
      <c r="T1465" s="18">
        <f>COUNTIFS(Table1[Customer ID], "&gt;1", Table1[Customer ID], 1)</f>
        <v>0</v>
      </c>
    </row>
    <row r="1466" spans="1:20" hidden="1" x14ac:dyDescent="0.3">
      <c r="A1466" s="2" t="s">
        <v>2147</v>
      </c>
      <c r="B1466" s="5">
        <v>45845</v>
      </c>
      <c r="C1466" s="5" t="str">
        <f>TEXT(B1466,"mmm")</f>
        <v>Jul</v>
      </c>
      <c r="D1466" s="2" t="s">
        <v>164</v>
      </c>
      <c r="E1466" s="2" t="s">
        <v>75</v>
      </c>
      <c r="F1466" s="2" t="str" cm="1">
        <f t="array" ref="F14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466" s="2" t="str" cm="1">
        <f t="array" ref="G14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66" s="2" t="s">
        <v>217</v>
      </c>
      <c r="I1466" s="2" t="s">
        <v>29</v>
      </c>
      <c r="J1466" s="2">
        <v>2</v>
      </c>
      <c r="K1466" s="8">
        <v>3299</v>
      </c>
      <c r="L1466" s="3">
        <v>0</v>
      </c>
      <c r="M1466" s="12">
        <f>K1466*L1466</f>
        <v>0</v>
      </c>
      <c r="N1466" s="12">
        <f>K1466*J1466</f>
        <v>6598</v>
      </c>
      <c r="O1466" s="12">
        <f>N1466-M1466</f>
        <v>6598</v>
      </c>
      <c r="P1466" s="2" t="s">
        <v>17</v>
      </c>
      <c r="Q1466" s="2" t="s">
        <v>18</v>
      </c>
      <c r="R1466" s="2">
        <v>0</v>
      </c>
      <c r="S1466" s="20">
        <f>Table1[[#This Row],[Net_revenue]]/Table1[[#This Row],[Gross_revenue]]*100%</f>
        <v>1</v>
      </c>
      <c r="T1466" s="18">
        <f>COUNTIFS(Table1[Customer ID], "&gt;1", Table1[Customer ID], 1)</f>
        <v>0</v>
      </c>
    </row>
    <row r="1467" spans="1:20" hidden="1" x14ac:dyDescent="0.3">
      <c r="A1467" s="2" t="s">
        <v>2148</v>
      </c>
      <c r="B1467" s="5">
        <v>45990</v>
      </c>
      <c r="C1467" s="5" t="str">
        <f>TEXT(B1467,"mmm")</f>
        <v>Nov</v>
      </c>
      <c r="D1467" s="2" t="s">
        <v>1365</v>
      </c>
      <c r="E1467" s="2" t="s">
        <v>40</v>
      </c>
      <c r="F1467" s="2" t="str" cm="1">
        <f t="array" ref="F14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67" s="2" t="str" cm="1">
        <f t="array" ref="G14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67" s="2" t="s">
        <v>15</v>
      </c>
      <c r="I1467" s="2" t="s">
        <v>16</v>
      </c>
      <c r="J1467" s="2">
        <v>1</v>
      </c>
      <c r="K1467" s="8">
        <v>1799</v>
      </c>
      <c r="L1467" s="3">
        <v>0.15</v>
      </c>
      <c r="M1467" s="12">
        <f>K1467*L1467</f>
        <v>269.84999999999997</v>
      </c>
      <c r="N1467" s="12">
        <f>K1467*J1467</f>
        <v>1799</v>
      </c>
      <c r="O1467" s="12">
        <f>N1467-M1467</f>
        <v>1529.15</v>
      </c>
      <c r="P1467" s="2" t="s">
        <v>30</v>
      </c>
      <c r="Q1467" s="2" t="s">
        <v>18</v>
      </c>
      <c r="R1467" s="2">
        <v>0</v>
      </c>
      <c r="S1467" s="20">
        <f>Table1[[#This Row],[Net_revenue]]/Table1[[#This Row],[Gross_revenue]]*100%</f>
        <v>0.85000000000000009</v>
      </c>
      <c r="T1467" s="18">
        <f>COUNTIFS(Table1[Customer ID], "&gt;1", Table1[Customer ID], 1)</f>
        <v>0</v>
      </c>
    </row>
    <row r="1468" spans="1:20" hidden="1" x14ac:dyDescent="0.3">
      <c r="A1468" s="2" t="s">
        <v>2149</v>
      </c>
      <c r="B1468" s="5">
        <v>45935</v>
      </c>
      <c r="C1468" s="5" t="str">
        <f>TEXT(B1468,"mmm")</f>
        <v>Oct</v>
      </c>
      <c r="D1468" s="2" t="s">
        <v>649</v>
      </c>
      <c r="E1468" s="2" t="s">
        <v>40</v>
      </c>
      <c r="F1468" s="2" t="str" cm="1">
        <f t="array" ref="F14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68" s="2" t="str" cm="1">
        <f t="array" ref="G14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68" s="2" t="s">
        <v>98</v>
      </c>
      <c r="I1468" s="2" t="s">
        <v>37</v>
      </c>
      <c r="J1468" s="2">
        <v>2</v>
      </c>
      <c r="K1468" s="8">
        <v>299</v>
      </c>
      <c r="L1468" s="3">
        <v>0.15</v>
      </c>
      <c r="M1468" s="12">
        <f>K1468*L1468</f>
        <v>44.85</v>
      </c>
      <c r="N1468" s="12">
        <f>K1468*J1468</f>
        <v>598</v>
      </c>
      <c r="O1468" s="12">
        <f>N1468-M1468</f>
        <v>553.15</v>
      </c>
      <c r="P1468" s="2" t="s">
        <v>17</v>
      </c>
      <c r="Q1468" s="2" t="s">
        <v>18</v>
      </c>
      <c r="R1468" s="2">
        <v>0</v>
      </c>
      <c r="S1468" s="20">
        <f>Table1[[#This Row],[Net_revenue]]/Table1[[#This Row],[Gross_revenue]]*100%</f>
        <v>0.92499999999999993</v>
      </c>
      <c r="T1468" s="18">
        <f>COUNTIFS(Table1[Customer ID], "&gt;1", Table1[Customer ID], 1)</f>
        <v>0</v>
      </c>
    </row>
    <row r="1469" spans="1:20" hidden="1" x14ac:dyDescent="0.3">
      <c r="A1469" s="2" t="s">
        <v>2150</v>
      </c>
      <c r="B1469" s="5">
        <v>45786</v>
      </c>
      <c r="C1469" s="5" t="str">
        <f>TEXT(B1469,"mmm")</f>
        <v>May</v>
      </c>
      <c r="D1469" s="2" t="s">
        <v>1467</v>
      </c>
      <c r="E1469" s="2" t="s">
        <v>14</v>
      </c>
      <c r="F1469" s="2" t="str" cm="1">
        <f t="array" ref="F14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69" s="2" t="str" cm="1">
        <f t="array" ref="G14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69" s="2" t="s">
        <v>41</v>
      </c>
      <c r="I1469" s="2" t="s">
        <v>16</v>
      </c>
      <c r="J1469" s="2">
        <v>2</v>
      </c>
      <c r="K1469" s="8">
        <v>2299</v>
      </c>
      <c r="L1469" s="3">
        <v>0</v>
      </c>
      <c r="M1469" s="12">
        <f>K1469*L1469</f>
        <v>0</v>
      </c>
      <c r="N1469" s="12">
        <f>K1469*J1469</f>
        <v>4598</v>
      </c>
      <c r="O1469" s="12">
        <f>N1469-M1469</f>
        <v>4598</v>
      </c>
      <c r="P1469" s="2" t="s">
        <v>17</v>
      </c>
      <c r="Q1469" s="2" t="s">
        <v>18</v>
      </c>
      <c r="R1469" s="2">
        <v>80</v>
      </c>
      <c r="S1469" s="20">
        <f>Table1[[#This Row],[Net_revenue]]/Table1[[#This Row],[Gross_revenue]]*100%</f>
        <v>1</v>
      </c>
      <c r="T1469" s="18">
        <f>COUNTIFS(Table1[Customer ID], "&gt;1", Table1[Customer ID], 1)</f>
        <v>0</v>
      </c>
    </row>
    <row r="1470" spans="1:20" hidden="1" x14ac:dyDescent="0.3">
      <c r="A1470" s="2" t="s">
        <v>2151</v>
      </c>
      <c r="B1470" s="5">
        <v>45987</v>
      </c>
      <c r="C1470" s="5" t="str">
        <f>TEXT(B1470,"mmm")</f>
        <v>Nov</v>
      </c>
      <c r="D1470" s="2" t="s">
        <v>255</v>
      </c>
      <c r="E1470" s="2" t="s">
        <v>120</v>
      </c>
      <c r="F1470" s="2" t="str" cm="1">
        <f t="array" ref="F14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70" s="2" t="str" cm="1">
        <f t="array" ref="G14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70" s="2" t="s">
        <v>121</v>
      </c>
      <c r="I1470" s="2" t="s">
        <v>95</v>
      </c>
      <c r="J1470" s="2">
        <v>1</v>
      </c>
      <c r="K1470" s="8">
        <v>1299</v>
      </c>
      <c r="L1470" s="3">
        <v>0</v>
      </c>
      <c r="M1470" s="12">
        <f>K1470*L1470</f>
        <v>0</v>
      </c>
      <c r="N1470" s="12">
        <f>K1470*J1470</f>
        <v>1299</v>
      </c>
      <c r="O1470" s="12">
        <f>N1470-M1470</f>
        <v>1299</v>
      </c>
      <c r="P1470" s="2" t="s">
        <v>30</v>
      </c>
      <c r="Q1470" s="2" t="s">
        <v>18</v>
      </c>
      <c r="R1470" s="2">
        <v>60</v>
      </c>
      <c r="S1470" s="20">
        <f>Table1[[#This Row],[Net_revenue]]/Table1[[#This Row],[Gross_revenue]]*100%</f>
        <v>1</v>
      </c>
      <c r="T1470" s="18">
        <f>COUNTIFS(Table1[Customer ID], "&gt;1", Table1[Customer ID], 1)</f>
        <v>0</v>
      </c>
    </row>
    <row r="1471" spans="1:20" hidden="1" x14ac:dyDescent="0.3">
      <c r="A1471" s="2" t="s">
        <v>2152</v>
      </c>
      <c r="B1471" s="5">
        <v>45928</v>
      </c>
      <c r="C1471" s="5" t="str">
        <f>TEXT(B1471,"mmm")</f>
        <v>Sep</v>
      </c>
      <c r="D1471" s="2" t="s">
        <v>2153</v>
      </c>
      <c r="E1471" s="2" t="s">
        <v>53</v>
      </c>
      <c r="F1471" s="2" t="str" cm="1">
        <f t="array" ref="F14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71" s="2" t="str" cm="1">
        <f t="array" ref="G14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71" s="2" t="s">
        <v>28</v>
      </c>
      <c r="I1471" s="2" t="s">
        <v>29</v>
      </c>
      <c r="J1471" s="2">
        <v>2</v>
      </c>
      <c r="K1471" s="8">
        <v>2799</v>
      </c>
      <c r="L1471" s="3">
        <v>0.25</v>
      </c>
      <c r="M1471" s="12">
        <f>K1471*L1471</f>
        <v>699.75</v>
      </c>
      <c r="N1471" s="12">
        <f>K1471*J1471</f>
        <v>5598</v>
      </c>
      <c r="O1471" s="12">
        <f>N1471-M1471</f>
        <v>4898.25</v>
      </c>
      <c r="P1471" s="2" t="s">
        <v>45</v>
      </c>
      <c r="Q1471" s="2" t="s">
        <v>18</v>
      </c>
      <c r="R1471" s="2">
        <v>40</v>
      </c>
      <c r="S1471" s="20">
        <f>Table1[[#This Row],[Net_revenue]]/Table1[[#This Row],[Gross_revenue]]*100%</f>
        <v>0.875</v>
      </c>
      <c r="T1471" s="18">
        <f>COUNTIFS(Table1[Customer ID], "&gt;1", Table1[Customer ID], 1)</f>
        <v>0</v>
      </c>
    </row>
    <row r="1472" spans="1:20" hidden="1" x14ac:dyDescent="0.3">
      <c r="A1472" s="2" t="s">
        <v>2154</v>
      </c>
      <c r="B1472" s="5">
        <v>45925</v>
      </c>
      <c r="C1472" s="5" t="str">
        <f>TEXT(B1472,"mmm")</f>
        <v>Sep</v>
      </c>
      <c r="D1472" s="2" t="s">
        <v>2106</v>
      </c>
      <c r="E1472" s="2" t="s">
        <v>48</v>
      </c>
      <c r="F1472" s="2" t="str" cm="1">
        <f t="array" ref="F14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72" s="2" t="str" cm="1">
        <f t="array" ref="G14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72" s="2" t="s">
        <v>63</v>
      </c>
      <c r="I1472" s="2" t="s">
        <v>23</v>
      </c>
      <c r="J1472" s="2">
        <v>1</v>
      </c>
      <c r="K1472" s="8">
        <v>2499</v>
      </c>
      <c r="L1472" s="3">
        <v>0.15</v>
      </c>
      <c r="M1472" s="12">
        <f>K1472*L1472</f>
        <v>374.84999999999997</v>
      </c>
      <c r="N1472" s="12">
        <f>K1472*J1472</f>
        <v>2499</v>
      </c>
      <c r="O1472" s="12">
        <f>N1472-M1472</f>
        <v>2124.15</v>
      </c>
      <c r="P1472" s="2" t="s">
        <v>45</v>
      </c>
      <c r="Q1472" s="2" t="s">
        <v>18</v>
      </c>
      <c r="R1472" s="2">
        <v>40</v>
      </c>
      <c r="S1472" s="20">
        <f>Table1[[#This Row],[Net_revenue]]/Table1[[#This Row],[Gross_revenue]]*100%</f>
        <v>0.85000000000000009</v>
      </c>
      <c r="T1472" s="18">
        <f>COUNTIFS(Table1[Customer ID], "&gt;1", Table1[Customer ID], 1)</f>
        <v>0</v>
      </c>
    </row>
    <row r="1473" spans="1:20" hidden="1" x14ac:dyDescent="0.3">
      <c r="A1473" s="2" t="s">
        <v>2155</v>
      </c>
      <c r="B1473" s="5">
        <v>45826</v>
      </c>
      <c r="C1473" s="5" t="str">
        <f>TEXT(B1473,"mmm")</f>
        <v>Jun</v>
      </c>
      <c r="D1473" s="2" t="s">
        <v>2156</v>
      </c>
      <c r="E1473" s="2" t="s">
        <v>40</v>
      </c>
      <c r="F1473" s="2" t="str" cm="1">
        <f t="array" ref="F14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73" s="2" t="str" cm="1">
        <f t="array" ref="G14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73" s="2" t="s">
        <v>65</v>
      </c>
      <c r="I1473" s="2" t="s">
        <v>23</v>
      </c>
      <c r="J1473" s="2">
        <v>2</v>
      </c>
      <c r="K1473" s="8">
        <v>1899</v>
      </c>
      <c r="L1473" s="3">
        <v>0.25</v>
      </c>
      <c r="M1473" s="12">
        <f>K1473*L1473</f>
        <v>474.75</v>
      </c>
      <c r="N1473" s="12">
        <f>K1473*J1473</f>
        <v>3798</v>
      </c>
      <c r="O1473" s="12">
        <f>N1473-M1473</f>
        <v>3323.25</v>
      </c>
      <c r="P1473" s="2" t="s">
        <v>30</v>
      </c>
      <c r="Q1473" s="2" t="s">
        <v>18</v>
      </c>
      <c r="R1473" s="2">
        <v>60</v>
      </c>
      <c r="S1473" s="20">
        <f>Table1[[#This Row],[Net_revenue]]/Table1[[#This Row],[Gross_revenue]]*100%</f>
        <v>0.875</v>
      </c>
      <c r="T1473" s="18">
        <f>COUNTIFS(Table1[Customer ID], "&gt;1", Table1[Customer ID], 1)</f>
        <v>0</v>
      </c>
    </row>
    <row r="1474" spans="1:20" hidden="1" x14ac:dyDescent="0.3">
      <c r="A1474" s="2" t="s">
        <v>2157</v>
      </c>
      <c r="B1474" s="5">
        <v>45779</v>
      </c>
      <c r="C1474" s="5" t="str">
        <f>TEXT(B1474,"mmm")</f>
        <v>May</v>
      </c>
      <c r="D1474" s="2" t="s">
        <v>2158</v>
      </c>
      <c r="E1474" s="2" t="s">
        <v>21</v>
      </c>
      <c r="F1474" s="2" t="str" cm="1">
        <f t="array" ref="F14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74" s="2" t="str" cm="1">
        <f t="array" ref="G14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74" s="2" t="s">
        <v>65</v>
      </c>
      <c r="I1474" s="2" t="s">
        <v>23</v>
      </c>
      <c r="J1474" s="2">
        <v>1</v>
      </c>
      <c r="K1474" s="8">
        <v>1899</v>
      </c>
      <c r="L1474" s="3">
        <v>0.05</v>
      </c>
      <c r="M1474" s="12">
        <f>K1474*L1474</f>
        <v>94.95</v>
      </c>
      <c r="N1474" s="12">
        <f>K1474*J1474</f>
        <v>1899</v>
      </c>
      <c r="O1474" s="12">
        <f>N1474-M1474</f>
        <v>1804.05</v>
      </c>
      <c r="P1474" s="2" t="s">
        <v>45</v>
      </c>
      <c r="Q1474" s="2" t="s">
        <v>18</v>
      </c>
      <c r="R1474" s="2">
        <v>40</v>
      </c>
      <c r="S1474" s="20">
        <f>Table1[[#This Row],[Net_revenue]]/Table1[[#This Row],[Gross_revenue]]*100%</f>
        <v>0.95</v>
      </c>
      <c r="T1474" s="18">
        <f>COUNTIFS(Table1[Customer ID], "&gt;1", Table1[Customer ID], 1)</f>
        <v>0</v>
      </c>
    </row>
    <row r="1475" spans="1:20" hidden="1" x14ac:dyDescent="0.3">
      <c r="A1475" s="2" t="s">
        <v>2159</v>
      </c>
      <c r="B1475" s="5">
        <v>45713</v>
      </c>
      <c r="C1475" s="5" t="str">
        <f>TEXT(B1475,"mmm")</f>
        <v>Feb</v>
      </c>
      <c r="D1475" s="2" t="s">
        <v>1442</v>
      </c>
      <c r="E1475" s="2" t="s">
        <v>14</v>
      </c>
      <c r="F1475" s="2" t="str" cm="1">
        <f t="array" ref="F14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75" s="2" t="str" cm="1">
        <f t="array" ref="G14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75" s="2" t="s">
        <v>49</v>
      </c>
      <c r="I1475" s="2" t="s">
        <v>23</v>
      </c>
      <c r="J1475" s="2">
        <v>1</v>
      </c>
      <c r="K1475" s="8">
        <v>1299</v>
      </c>
      <c r="L1475" s="3">
        <v>0.1</v>
      </c>
      <c r="M1475" s="12">
        <f>K1475*L1475</f>
        <v>129.9</v>
      </c>
      <c r="N1475" s="12">
        <f>K1475*J1475</f>
        <v>1299</v>
      </c>
      <c r="O1475" s="12">
        <f>N1475-M1475</f>
        <v>1169.0999999999999</v>
      </c>
      <c r="P1475" s="2" t="s">
        <v>17</v>
      </c>
      <c r="Q1475" s="2" t="s">
        <v>18</v>
      </c>
      <c r="R1475" s="2">
        <v>40</v>
      </c>
      <c r="S1475" s="20">
        <f>Table1[[#This Row],[Net_revenue]]/Table1[[#This Row],[Gross_revenue]]*100%</f>
        <v>0.89999999999999991</v>
      </c>
      <c r="T1475" s="18">
        <f>COUNTIFS(Table1[Customer ID], "&gt;1", Table1[Customer ID], 1)</f>
        <v>0</v>
      </c>
    </row>
    <row r="1476" spans="1:20" hidden="1" x14ac:dyDescent="0.3">
      <c r="A1476" s="2" t="s">
        <v>2160</v>
      </c>
      <c r="B1476" s="5">
        <v>45838</v>
      </c>
      <c r="C1476" s="5" t="str">
        <f>TEXT(B1476,"mmm")</f>
        <v>Jun</v>
      </c>
      <c r="D1476" s="2" t="s">
        <v>634</v>
      </c>
      <c r="E1476" s="2" t="s">
        <v>27</v>
      </c>
      <c r="F1476" s="2" t="str" cm="1">
        <f t="array" ref="F14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76" s="2" t="str" cm="1">
        <f t="array" ref="G14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76" s="2" t="s">
        <v>134</v>
      </c>
      <c r="I1476" s="2" t="s">
        <v>29</v>
      </c>
      <c r="J1476" s="2">
        <v>1</v>
      </c>
      <c r="K1476" s="8">
        <v>1499</v>
      </c>
      <c r="L1476" s="3">
        <v>0.05</v>
      </c>
      <c r="M1476" s="12">
        <f>K1476*L1476</f>
        <v>74.95</v>
      </c>
      <c r="N1476" s="12">
        <f>K1476*J1476</f>
        <v>1499</v>
      </c>
      <c r="O1476" s="12">
        <f>N1476-M1476</f>
        <v>1424.05</v>
      </c>
      <c r="P1476" s="2" t="s">
        <v>30</v>
      </c>
      <c r="Q1476" s="2" t="s">
        <v>72</v>
      </c>
      <c r="R1476" s="2">
        <v>60</v>
      </c>
      <c r="S1476" s="20">
        <f>Table1[[#This Row],[Net_revenue]]/Table1[[#This Row],[Gross_revenue]]*100%</f>
        <v>0.95</v>
      </c>
      <c r="T1476" s="18">
        <f>COUNTIFS(Table1[Customer ID], "&gt;1", Table1[Customer ID], 1)</f>
        <v>0</v>
      </c>
    </row>
    <row r="1477" spans="1:20" hidden="1" x14ac:dyDescent="0.3">
      <c r="A1477" s="2" t="s">
        <v>2161</v>
      </c>
      <c r="B1477" s="5">
        <v>45797</v>
      </c>
      <c r="C1477" s="5" t="str">
        <f>TEXT(B1477,"mmm")</f>
        <v>May</v>
      </c>
      <c r="D1477" s="2" t="s">
        <v>1767</v>
      </c>
      <c r="E1477" s="2" t="s">
        <v>27</v>
      </c>
      <c r="F1477" s="2" t="str" cm="1">
        <f t="array" ref="F14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477" s="2" t="str" cm="1">
        <f t="array" ref="G14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77" s="2" t="s">
        <v>134</v>
      </c>
      <c r="I1477" s="2" t="s">
        <v>29</v>
      </c>
      <c r="J1477" s="2">
        <v>1</v>
      </c>
      <c r="K1477" s="8">
        <v>1499</v>
      </c>
      <c r="L1477" s="3">
        <v>0.1</v>
      </c>
      <c r="M1477" s="12">
        <f>K1477*L1477</f>
        <v>149.9</v>
      </c>
      <c r="N1477" s="12">
        <f>K1477*J1477</f>
        <v>1499</v>
      </c>
      <c r="O1477" s="12">
        <f>N1477-M1477</f>
        <v>1349.1</v>
      </c>
      <c r="P1477" s="2" t="s">
        <v>17</v>
      </c>
      <c r="Q1477" s="2" t="s">
        <v>18</v>
      </c>
      <c r="R1477" s="2">
        <v>60</v>
      </c>
      <c r="S1477" s="20">
        <f>Table1[[#This Row],[Net_revenue]]/Table1[[#This Row],[Gross_revenue]]*100%</f>
        <v>0.89999999999999991</v>
      </c>
      <c r="T1477" s="18">
        <f>COUNTIFS(Table1[Customer ID], "&gt;1", Table1[Customer ID], 1)</f>
        <v>0</v>
      </c>
    </row>
    <row r="1478" spans="1:20" hidden="1" x14ac:dyDescent="0.3">
      <c r="A1478" s="2" t="s">
        <v>2162</v>
      </c>
      <c r="B1478" s="5">
        <v>45944</v>
      </c>
      <c r="C1478" s="5" t="str">
        <f>TEXT(B1478,"mmm")</f>
        <v>Oct</v>
      </c>
      <c r="D1478" s="2" t="s">
        <v>1622</v>
      </c>
      <c r="E1478" s="2" t="s">
        <v>53</v>
      </c>
      <c r="F1478" s="2" t="str" cm="1">
        <f t="array" ref="F14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78" s="2" t="str" cm="1">
        <f t="array" ref="G14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78" s="2" t="s">
        <v>89</v>
      </c>
      <c r="I1478" s="2" t="s">
        <v>29</v>
      </c>
      <c r="J1478" s="2">
        <v>1</v>
      </c>
      <c r="K1478" s="8">
        <v>449</v>
      </c>
      <c r="L1478" s="3">
        <v>0.25</v>
      </c>
      <c r="M1478" s="12">
        <f>K1478*L1478</f>
        <v>112.25</v>
      </c>
      <c r="N1478" s="12">
        <f>K1478*J1478</f>
        <v>449</v>
      </c>
      <c r="O1478" s="12">
        <f>N1478-M1478</f>
        <v>336.75</v>
      </c>
      <c r="P1478" s="2" t="s">
        <v>45</v>
      </c>
      <c r="Q1478" s="2" t="s">
        <v>18</v>
      </c>
      <c r="R1478" s="2">
        <v>0</v>
      </c>
      <c r="S1478" s="20">
        <f>Table1[[#This Row],[Net_revenue]]/Table1[[#This Row],[Gross_revenue]]*100%</f>
        <v>0.75</v>
      </c>
      <c r="T1478" s="18">
        <f>COUNTIFS(Table1[Customer ID], "&gt;1", Table1[Customer ID], 1)</f>
        <v>0</v>
      </c>
    </row>
    <row r="1479" spans="1:20" hidden="1" x14ac:dyDescent="0.3">
      <c r="A1479" s="2" t="s">
        <v>2163</v>
      </c>
      <c r="B1479" s="5">
        <v>45850</v>
      </c>
      <c r="C1479" s="5" t="str">
        <f>TEXT(B1479,"mmm")</f>
        <v>Jul</v>
      </c>
      <c r="D1479" s="2" t="s">
        <v>168</v>
      </c>
      <c r="E1479" s="2" t="s">
        <v>120</v>
      </c>
      <c r="F1479" s="2" t="str" cm="1">
        <f t="array" ref="F14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79" s="2" t="str" cm="1">
        <f t="array" ref="G14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79" s="2" t="s">
        <v>63</v>
      </c>
      <c r="I1479" s="2" t="s">
        <v>23</v>
      </c>
      <c r="J1479" s="2">
        <v>1</v>
      </c>
      <c r="K1479" s="8">
        <v>2499</v>
      </c>
      <c r="L1479" s="3">
        <v>0</v>
      </c>
      <c r="M1479" s="12">
        <f>K1479*L1479</f>
        <v>0</v>
      </c>
      <c r="N1479" s="12">
        <f>K1479*J1479</f>
        <v>2499</v>
      </c>
      <c r="O1479" s="12">
        <f>N1479-M1479</f>
        <v>2499</v>
      </c>
      <c r="P1479" s="2" t="s">
        <v>45</v>
      </c>
      <c r="Q1479" s="2" t="s">
        <v>18</v>
      </c>
      <c r="R1479" s="2">
        <v>40</v>
      </c>
      <c r="S1479" s="20">
        <f>Table1[[#This Row],[Net_revenue]]/Table1[[#This Row],[Gross_revenue]]*100%</f>
        <v>1</v>
      </c>
      <c r="T1479" s="18">
        <f>COUNTIFS(Table1[Customer ID], "&gt;1", Table1[Customer ID], 1)</f>
        <v>0</v>
      </c>
    </row>
    <row r="1480" spans="1:20" hidden="1" x14ac:dyDescent="0.3">
      <c r="A1480" s="2" t="s">
        <v>2164</v>
      </c>
      <c r="B1480" s="5">
        <v>45760</v>
      </c>
      <c r="C1480" s="5" t="str">
        <f>TEXT(B1480,"mmm")</f>
        <v>Apr</v>
      </c>
      <c r="D1480" s="2" t="s">
        <v>1130</v>
      </c>
      <c r="E1480" s="2" t="s">
        <v>120</v>
      </c>
      <c r="F1480" s="2" t="str" cm="1">
        <f t="array" ref="F14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80" s="2" t="str" cm="1">
        <f t="array" ref="G14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80" s="2" t="s">
        <v>44</v>
      </c>
      <c r="I1480" s="2" t="s">
        <v>16</v>
      </c>
      <c r="J1480" s="2">
        <v>2</v>
      </c>
      <c r="K1480" s="8">
        <v>1599</v>
      </c>
      <c r="L1480" s="3">
        <v>0.05</v>
      </c>
      <c r="M1480" s="12">
        <f>K1480*L1480</f>
        <v>79.95</v>
      </c>
      <c r="N1480" s="12">
        <f>K1480*J1480</f>
        <v>3198</v>
      </c>
      <c r="O1480" s="12">
        <f>N1480-M1480</f>
        <v>3118.05</v>
      </c>
      <c r="P1480" s="2" t="s">
        <v>45</v>
      </c>
      <c r="Q1480" s="2" t="s">
        <v>18</v>
      </c>
      <c r="R1480" s="2">
        <v>40</v>
      </c>
      <c r="S1480" s="20">
        <f>Table1[[#This Row],[Net_revenue]]/Table1[[#This Row],[Gross_revenue]]*100%</f>
        <v>0.97500000000000009</v>
      </c>
      <c r="T1480" s="18">
        <f>COUNTIFS(Table1[Customer ID], "&gt;1", Table1[Customer ID], 1)</f>
        <v>0</v>
      </c>
    </row>
    <row r="1481" spans="1:20" hidden="1" x14ac:dyDescent="0.3">
      <c r="A1481" s="2" t="s">
        <v>2165</v>
      </c>
      <c r="B1481" s="5">
        <v>45921</v>
      </c>
      <c r="C1481" s="5" t="str">
        <f>TEXT(B1481,"mmm")</f>
        <v>Sep</v>
      </c>
      <c r="D1481" s="2" t="s">
        <v>1056</v>
      </c>
      <c r="E1481" s="2" t="s">
        <v>40</v>
      </c>
      <c r="F1481" s="2" t="str" cm="1">
        <f t="array" ref="F14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81" s="2" t="str" cm="1">
        <f t="array" ref="G14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1" s="2" t="s">
        <v>28</v>
      </c>
      <c r="I1481" s="2" t="s">
        <v>29</v>
      </c>
      <c r="J1481" s="2">
        <v>1</v>
      </c>
      <c r="K1481" s="8">
        <v>2799</v>
      </c>
      <c r="L1481" s="3">
        <v>0.1</v>
      </c>
      <c r="M1481" s="12">
        <f>K1481*L1481</f>
        <v>279.90000000000003</v>
      </c>
      <c r="N1481" s="12">
        <f>K1481*J1481</f>
        <v>2799</v>
      </c>
      <c r="O1481" s="12">
        <f>N1481-M1481</f>
        <v>2519.1</v>
      </c>
      <c r="P1481" s="2" t="s">
        <v>17</v>
      </c>
      <c r="Q1481" s="2" t="s">
        <v>18</v>
      </c>
      <c r="R1481" s="2">
        <v>0</v>
      </c>
      <c r="S1481" s="20">
        <f>Table1[[#This Row],[Net_revenue]]/Table1[[#This Row],[Gross_revenue]]*100%</f>
        <v>0.9</v>
      </c>
      <c r="T1481" s="18">
        <f>COUNTIFS(Table1[Customer ID], "&gt;1", Table1[Customer ID], 1)</f>
        <v>0</v>
      </c>
    </row>
    <row r="1482" spans="1:20" hidden="1" x14ac:dyDescent="0.3">
      <c r="A1482" s="2" t="s">
        <v>2166</v>
      </c>
      <c r="B1482" s="5">
        <v>45727</v>
      </c>
      <c r="C1482" s="5" t="str">
        <f>TEXT(B1482,"mmm")</f>
        <v>Mar</v>
      </c>
      <c r="D1482" s="2" t="s">
        <v>503</v>
      </c>
      <c r="E1482" s="2" t="s">
        <v>40</v>
      </c>
      <c r="F1482" s="2" t="str" cm="1">
        <f t="array" ref="F14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82" s="2" t="str" cm="1">
        <f t="array" ref="G14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2" s="2" t="s">
        <v>28</v>
      </c>
      <c r="I1482" s="2" t="s">
        <v>29</v>
      </c>
      <c r="J1482" s="2">
        <v>5</v>
      </c>
      <c r="K1482" s="8">
        <v>2799</v>
      </c>
      <c r="L1482" s="3">
        <v>0.1</v>
      </c>
      <c r="M1482" s="12">
        <f>K1482*L1482</f>
        <v>279.90000000000003</v>
      </c>
      <c r="N1482" s="12">
        <f>K1482*J1482</f>
        <v>13995</v>
      </c>
      <c r="O1482" s="12">
        <f>N1482-M1482</f>
        <v>13715.1</v>
      </c>
      <c r="P1482" s="2" t="s">
        <v>17</v>
      </c>
      <c r="Q1482" s="2" t="s">
        <v>18</v>
      </c>
      <c r="R1482" s="2">
        <v>40</v>
      </c>
      <c r="S1482" s="20">
        <f>Table1[[#This Row],[Net_revenue]]/Table1[[#This Row],[Gross_revenue]]*100%</f>
        <v>0.98</v>
      </c>
      <c r="T1482" s="18">
        <f>COUNTIFS(Table1[Customer ID], "&gt;1", Table1[Customer ID], 1)</f>
        <v>0</v>
      </c>
    </row>
    <row r="1483" spans="1:20" hidden="1" x14ac:dyDescent="0.3">
      <c r="A1483" s="2" t="s">
        <v>2167</v>
      </c>
      <c r="B1483" s="5">
        <v>45949</v>
      </c>
      <c r="C1483" s="5" t="str">
        <f>TEXT(B1483,"mmm")</f>
        <v>Oct</v>
      </c>
      <c r="D1483" s="2" t="s">
        <v>70</v>
      </c>
      <c r="E1483" s="2" t="s">
        <v>53</v>
      </c>
      <c r="F1483" s="2" t="str" cm="1">
        <f t="array" ref="F14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483" s="2" t="str" cm="1">
        <f t="array" ref="G14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3" s="2" t="s">
        <v>94</v>
      </c>
      <c r="I1483" s="2" t="s">
        <v>95</v>
      </c>
      <c r="J1483" s="2">
        <v>1</v>
      </c>
      <c r="K1483" s="8">
        <v>399</v>
      </c>
      <c r="L1483" s="3">
        <v>0.25</v>
      </c>
      <c r="M1483" s="12">
        <f>K1483*L1483</f>
        <v>99.75</v>
      </c>
      <c r="N1483" s="12">
        <f>K1483*J1483</f>
        <v>399</v>
      </c>
      <c r="O1483" s="12">
        <f>N1483-M1483</f>
        <v>299.25</v>
      </c>
      <c r="P1483" s="2" t="s">
        <v>45</v>
      </c>
      <c r="Q1483" s="2" t="s">
        <v>18</v>
      </c>
      <c r="R1483" s="2">
        <v>40</v>
      </c>
      <c r="S1483" s="20">
        <f>Table1[[#This Row],[Net_revenue]]/Table1[[#This Row],[Gross_revenue]]*100%</f>
        <v>0.75</v>
      </c>
      <c r="T1483" s="18">
        <f>COUNTIFS(Table1[Customer ID], "&gt;1", Table1[Customer ID], 1)</f>
        <v>0</v>
      </c>
    </row>
    <row r="1484" spans="1:20" hidden="1" x14ac:dyDescent="0.3">
      <c r="A1484" s="2" t="s">
        <v>2168</v>
      </c>
      <c r="B1484" s="5">
        <v>45854</v>
      </c>
      <c r="C1484" s="5" t="str">
        <f>TEXT(B1484,"mmm")</f>
        <v>Jul</v>
      </c>
      <c r="D1484" s="2" t="s">
        <v>613</v>
      </c>
      <c r="E1484" s="2" t="s">
        <v>40</v>
      </c>
      <c r="F1484" s="2" t="str" cm="1">
        <f t="array" ref="F14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84" s="2" t="str" cm="1">
        <f t="array" ref="G14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4" s="2" t="s">
        <v>41</v>
      </c>
      <c r="I1484" s="2" t="s">
        <v>16</v>
      </c>
      <c r="J1484" s="2">
        <v>1</v>
      </c>
      <c r="K1484" s="8">
        <v>2299</v>
      </c>
      <c r="L1484" s="3">
        <v>0.2</v>
      </c>
      <c r="M1484" s="12">
        <f>K1484*L1484</f>
        <v>459.8</v>
      </c>
      <c r="N1484" s="12">
        <f>K1484*J1484</f>
        <v>2299</v>
      </c>
      <c r="O1484" s="12">
        <f>N1484-M1484</f>
        <v>1839.2</v>
      </c>
      <c r="P1484" s="2" t="s">
        <v>30</v>
      </c>
      <c r="Q1484" s="2" t="s">
        <v>18</v>
      </c>
      <c r="R1484" s="2">
        <v>0</v>
      </c>
      <c r="S1484" s="20">
        <f>Table1[[#This Row],[Net_revenue]]/Table1[[#This Row],[Gross_revenue]]*100%</f>
        <v>0.8</v>
      </c>
      <c r="T1484" s="18">
        <f>COUNTIFS(Table1[Customer ID], "&gt;1", Table1[Customer ID], 1)</f>
        <v>0</v>
      </c>
    </row>
    <row r="1485" spans="1:20" hidden="1" x14ac:dyDescent="0.3">
      <c r="A1485" s="2" t="s">
        <v>2169</v>
      </c>
      <c r="B1485" s="5">
        <v>45985</v>
      </c>
      <c r="C1485" s="5" t="str">
        <f>TEXT(B1485,"mmm")</f>
        <v>Nov</v>
      </c>
      <c r="D1485" s="2" t="s">
        <v>1459</v>
      </c>
      <c r="E1485" s="2" t="s">
        <v>40</v>
      </c>
      <c r="F1485" s="2" t="str" cm="1">
        <f t="array" ref="F14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85" s="2" t="str" cm="1">
        <f t="array" ref="G14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5" s="2" t="s">
        <v>80</v>
      </c>
      <c r="I1485" s="2" t="s">
        <v>23</v>
      </c>
      <c r="J1485" s="2">
        <v>1</v>
      </c>
      <c r="K1485" s="8">
        <v>799</v>
      </c>
      <c r="L1485" s="3">
        <v>0</v>
      </c>
      <c r="M1485" s="12">
        <f>K1485*L1485</f>
        <v>0</v>
      </c>
      <c r="N1485" s="12">
        <f>K1485*J1485</f>
        <v>799</v>
      </c>
      <c r="O1485" s="12">
        <f>N1485-M1485</f>
        <v>799</v>
      </c>
      <c r="P1485" s="2" t="s">
        <v>30</v>
      </c>
      <c r="Q1485" s="2" t="s">
        <v>18</v>
      </c>
      <c r="R1485" s="2">
        <v>60</v>
      </c>
      <c r="S1485" s="20">
        <f>Table1[[#This Row],[Net_revenue]]/Table1[[#This Row],[Gross_revenue]]*100%</f>
        <v>1</v>
      </c>
      <c r="T1485" s="18">
        <f>COUNTIFS(Table1[Customer ID], "&gt;1", Table1[Customer ID], 1)</f>
        <v>0</v>
      </c>
    </row>
    <row r="1486" spans="1:20" hidden="1" x14ac:dyDescent="0.3">
      <c r="A1486" s="2" t="s">
        <v>2170</v>
      </c>
      <c r="B1486" s="5">
        <v>45809</v>
      </c>
      <c r="C1486" s="5" t="str">
        <f>TEXT(B1486,"mmm")</f>
        <v>Jun</v>
      </c>
      <c r="D1486" s="2" t="s">
        <v>399</v>
      </c>
      <c r="E1486" s="2" t="s">
        <v>40</v>
      </c>
      <c r="F1486" s="2" t="str" cm="1">
        <f t="array" ref="F14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86" s="2" t="str" cm="1">
        <f t="array" ref="G14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6" s="2" t="s">
        <v>89</v>
      </c>
      <c r="I1486" s="2" t="s">
        <v>29</v>
      </c>
      <c r="J1486" s="2">
        <v>1</v>
      </c>
      <c r="K1486" s="8">
        <v>449</v>
      </c>
      <c r="L1486" s="3">
        <v>0.25</v>
      </c>
      <c r="M1486" s="12">
        <f>K1486*L1486</f>
        <v>112.25</v>
      </c>
      <c r="N1486" s="12">
        <f>K1486*J1486</f>
        <v>449</v>
      </c>
      <c r="O1486" s="12">
        <f>N1486-M1486</f>
        <v>336.75</v>
      </c>
      <c r="P1486" s="2" t="s">
        <v>45</v>
      </c>
      <c r="Q1486" s="2" t="s">
        <v>18</v>
      </c>
      <c r="R1486" s="2">
        <v>0</v>
      </c>
      <c r="S1486" s="20">
        <f>Table1[[#This Row],[Net_revenue]]/Table1[[#This Row],[Gross_revenue]]*100%</f>
        <v>0.75</v>
      </c>
      <c r="T1486" s="18">
        <f>COUNTIFS(Table1[Customer ID], "&gt;1", Table1[Customer ID], 1)</f>
        <v>0</v>
      </c>
    </row>
    <row r="1487" spans="1:20" hidden="1" x14ac:dyDescent="0.3">
      <c r="A1487" s="2" t="s">
        <v>2171</v>
      </c>
      <c r="B1487" s="5">
        <v>45958</v>
      </c>
      <c r="C1487" s="5" t="str">
        <f>TEXT(B1487,"mmm")</f>
        <v>Oct</v>
      </c>
      <c r="D1487" s="2" t="s">
        <v>1172</v>
      </c>
      <c r="E1487" s="2" t="s">
        <v>56</v>
      </c>
      <c r="F1487" s="2" t="str" cm="1">
        <f t="array" ref="F14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87" s="2" t="str" cm="1">
        <f t="array" ref="G14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87" s="2" t="s">
        <v>15</v>
      </c>
      <c r="I1487" s="2" t="s">
        <v>16</v>
      </c>
      <c r="J1487" s="2">
        <v>1</v>
      </c>
      <c r="K1487" s="8">
        <v>1799</v>
      </c>
      <c r="L1487" s="3">
        <v>0.15</v>
      </c>
      <c r="M1487" s="12">
        <f>K1487*L1487</f>
        <v>269.84999999999997</v>
      </c>
      <c r="N1487" s="12">
        <f>K1487*J1487</f>
        <v>1799</v>
      </c>
      <c r="O1487" s="12">
        <f>N1487-M1487</f>
        <v>1529.15</v>
      </c>
      <c r="P1487" s="2" t="s">
        <v>45</v>
      </c>
      <c r="Q1487" s="2" t="s">
        <v>18</v>
      </c>
      <c r="R1487" s="2">
        <v>80</v>
      </c>
      <c r="S1487" s="20">
        <f>Table1[[#This Row],[Net_revenue]]/Table1[[#This Row],[Gross_revenue]]*100%</f>
        <v>0.85000000000000009</v>
      </c>
      <c r="T1487" s="18">
        <f>COUNTIFS(Table1[Customer ID], "&gt;1", Table1[Customer ID], 1)</f>
        <v>0</v>
      </c>
    </row>
    <row r="1488" spans="1:20" hidden="1" x14ac:dyDescent="0.3">
      <c r="A1488" s="2" t="s">
        <v>2172</v>
      </c>
      <c r="B1488" s="5">
        <v>45692</v>
      </c>
      <c r="C1488" s="5" t="str">
        <f>TEXT(B1488,"mmm")</f>
        <v>Feb</v>
      </c>
      <c r="D1488" s="2" t="s">
        <v>74</v>
      </c>
      <c r="E1488" s="2" t="s">
        <v>40</v>
      </c>
      <c r="F1488" s="2" t="str" cm="1">
        <f t="array" ref="F14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88" s="2" t="str" cm="1">
        <f t="array" ref="G14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88" s="2" t="s">
        <v>65</v>
      </c>
      <c r="I1488" s="2" t="s">
        <v>23</v>
      </c>
      <c r="J1488" s="2">
        <v>1</v>
      </c>
      <c r="K1488" s="8">
        <v>1899</v>
      </c>
      <c r="L1488" s="3">
        <v>0.25</v>
      </c>
      <c r="M1488" s="12">
        <f>K1488*L1488</f>
        <v>474.75</v>
      </c>
      <c r="N1488" s="12">
        <f>K1488*J1488</f>
        <v>1899</v>
      </c>
      <c r="O1488" s="12">
        <f>N1488-M1488</f>
        <v>1424.25</v>
      </c>
      <c r="P1488" s="2" t="s">
        <v>30</v>
      </c>
      <c r="Q1488" s="2" t="s">
        <v>18</v>
      </c>
      <c r="R1488" s="2">
        <v>80</v>
      </c>
      <c r="S1488" s="20">
        <f>Table1[[#This Row],[Net_revenue]]/Table1[[#This Row],[Gross_revenue]]*100%</f>
        <v>0.75</v>
      </c>
      <c r="T1488" s="18">
        <f>COUNTIFS(Table1[Customer ID], "&gt;1", Table1[Customer ID], 1)</f>
        <v>0</v>
      </c>
    </row>
    <row r="1489" spans="1:20" hidden="1" x14ac:dyDescent="0.3">
      <c r="A1489" s="2" t="s">
        <v>2173</v>
      </c>
      <c r="B1489" s="5">
        <v>46022</v>
      </c>
      <c r="C1489" s="5" t="str">
        <f>TEXT(B1489,"mmm")</f>
        <v>Dec</v>
      </c>
      <c r="D1489" s="2" t="s">
        <v>1591</v>
      </c>
      <c r="E1489" s="2" t="s">
        <v>120</v>
      </c>
      <c r="F1489" s="2" t="str" cm="1">
        <f t="array" ref="F14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89" s="2" t="str" cm="1">
        <f t="array" ref="G14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89" s="2" t="s">
        <v>63</v>
      </c>
      <c r="I1489" s="2" t="s">
        <v>23</v>
      </c>
      <c r="J1489" s="2">
        <v>1</v>
      </c>
      <c r="K1489" s="8">
        <v>2499</v>
      </c>
      <c r="L1489" s="3">
        <v>0.1</v>
      </c>
      <c r="M1489" s="12">
        <f>K1489*L1489</f>
        <v>249.9</v>
      </c>
      <c r="N1489" s="12">
        <f>K1489*J1489</f>
        <v>2499</v>
      </c>
      <c r="O1489" s="12">
        <f>N1489-M1489</f>
        <v>2249.1</v>
      </c>
      <c r="P1489" s="2" t="s">
        <v>45</v>
      </c>
      <c r="Q1489" s="2" t="s">
        <v>18</v>
      </c>
      <c r="R1489" s="2">
        <v>60</v>
      </c>
      <c r="S1489" s="20">
        <f>Table1[[#This Row],[Net_revenue]]/Table1[[#This Row],[Gross_revenue]]*100%</f>
        <v>0.89999999999999991</v>
      </c>
      <c r="T1489" s="18">
        <f>COUNTIFS(Table1[Customer ID], "&gt;1", Table1[Customer ID], 1)</f>
        <v>0</v>
      </c>
    </row>
    <row r="1490" spans="1:20" hidden="1" x14ac:dyDescent="0.3">
      <c r="A1490" s="2" t="s">
        <v>2174</v>
      </c>
      <c r="B1490" s="5">
        <v>45663</v>
      </c>
      <c r="C1490" s="5" t="str">
        <f>TEXT(B1490,"mmm")</f>
        <v>Jan</v>
      </c>
      <c r="D1490" s="2" t="s">
        <v>785</v>
      </c>
      <c r="E1490" s="2" t="s">
        <v>120</v>
      </c>
      <c r="F1490" s="2" t="str" cm="1">
        <f t="array" ref="F14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90" s="2" t="str" cm="1">
        <f t="array" ref="G14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90" s="2" t="s">
        <v>44</v>
      </c>
      <c r="I1490" s="2" t="s">
        <v>16</v>
      </c>
      <c r="J1490" s="2">
        <v>1</v>
      </c>
      <c r="K1490" s="8">
        <v>1599</v>
      </c>
      <c r="L1490" s="3">
        <v>0</v>
      </c>
      <c r="M1490" s="12">
        <f>K1490*L1490</f>
        <v>0</v>
      </c>
      <c r="N1490" s="12">
        <f>K1490*J1490</f>
        <v>1599</v>
      </c>
      <c r="O1490" s="12">
        <f>N1490-M1490</f>
        <v>1599</v>
      </c>
      <c r="P1490" s="2" t="s">
        <v>30</v>
      </c>
      <c r="Q1490" s="2" t="s">
        <v>18</v>
      </c>
      <c r="R1490" s="2">
        <v>60</v>
      </c>
      <c r="S1490" s="20">
        <f>Table1[[#This Row],[Net_revenue]]/Table1[[#This Row],[Gross_revenue]]*100%</f>
        <v>1</v>
      </c>
      <c r="T1490" s="18">
        <f>COUNTIFS(Table1[Customer ID], "&gt;1", Table1[Customer ID], 1)</f>
        <v>0</v>
      </c>
    </row>
    <row r="1491" spans="1:20" hidden="1" x14ac:dyDescent="0.3">
      <c r="A1491" s="2" t="s">
        <v>2175</v>
      </c>
      <c r="B1491" s="5">
        <v>45660</v>
      </c>
      <c r="C1491" s="5" t="str">
        <f>TEXT(B1491,"mmm")</f>
        <v>Jan</v>
      </c>
      <c r="D1491" s="2" t="s">
        <v>93</v>
      </c>
      <c r="E1491" s="2" t="s">
        <v>48</v>
      </c>
      <c r="F1491" s="2" t="str" cm="1">
        <f t="array" ref="F14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491" s="2" t="str" cm="1">
        <f t="array" ref="G14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91" s="2" t="s">
        <v>65</v>
      </c>
      <c r="I1491" s="2" t="s">
        <v>23</v>
      </c>
      <c r="J1491" s="2">
        <v>1</v>
      </c>
      <c r="K1491" s="8">
        <v>1899</v>
      </c>
      <c r="L1491" s="3">
        <v>0.05</v>
      </c>
      <c r="M1491" s="12">
        <f>K1491*L1491</f>
        <v>94.95</v>
      </c>
      <c r="N1491" s="12">
        <f>K1491*J1491</f>
        <v>1899</v>
      </c>
      <c r="O1491" s="12">
        <f>N1491-M1491</f>
        <v>1804.05</v>
      </c>
      <c r="P1491" s="2" t="s">
        <v>45</v>
      </c>
      <c r="Q1491" s="2" t="s">
        <v>50</v>
      </c>
      <c r="R1491" s="2">
        <v>0</v>
      </c>
      <c r="S1491" s="20">
        <f>Table1[[#This Row],[Net_revenue]]/Table1[[#This Row],[Gross_revenue]]*100%</f>
        <v>0.95</v>
      </c>
      <c r="T1491" s="18">
        <f>COUNTIFS(Table1[Customer ID], "&gt;1", Table1[Customer ID], 1)</f>
        <v>0</v>
      </c>
    </row>
    <row r="1492" spans="1:20" hidden="1" x14ac:dyDescent="0.3">
      <c r="A1492" s="2" t="s">
        <v>2176</v>
      </c>
      <c r="B1492" s="5">
        <v>45714</v>
      </c>
      <c r="C1492" s="5" t="str">
        <f>TEXT(B1492,"mmm")</f>
        <v>Feb</v>
      </c>
      <c r="D1492" s="2" t="s">
        <v>377</v>
      </c>
      <c r="E1492" s="2" t="s">
        <v>56</v>
      </c>
      <c r="F1492" s="2" t="str" cm="1">
        <f t="array" ref="F14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92" s="2" t="str" cm="1">
        <f t="array" ref="G14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92" s="2" t="s">
        <v>68</v>
      </c>
      <c r="I1492" s="2" t="s">
        <v>16</v>
      </c>
      <c r="J1492" s="2">
        <v>1</v>
      </c>
      <c r="K1492" s="8">
        <v>599</v>
      </c>
      <c r="L1492" s="3">
        <v>0.2</v>
      </c>
      <c r="M1492" s="12">
        <f>K1492*L1492</f>
        <v>119.80000000000001</v>
      </c>
      <c r="N1492" s="12">
        <f>K1492*J1492</f>
        <v>599</v>
      </c>
      <c r="O1492" s="12">
        <f>N1492-M1492</f>
        <v>479.2</v>
      </c>
      <c r="P1492" s="2" t="s">
        <v>30</v>
      </c>
      <c r="Q1492" s="2" t="s">
        <v>18</v>
      </c>
      <c r="R1492" s="2">
        <v>40</v>
      </c>
      <c r="S1492" s="20">
        <f>Table1[[#This Row],[Net_revenue]]/Table1[[#This Row],[Gross_revenue]]*100%</f>
        <v>0.79999999999999993</v>
      </c>
      <c r="T1492" s="18">
        <f>COUNTIFS(Table1[Customer ID], "&gt;1", Table1[Customer ID], 1)</f>
        <v>0</v>
      </c>
    </row>
    <row r="1493" spans="1:20" hidden="1" x14ac:dyDescent="0.3">
      <c r="A1493" s="2" t="s">
        <v>2177</v>
      </c>
      <c r="B1493" s="5">
        <v>45768</v>
      </c>
      <c r="C1493" s="5" t="str">
        <f>TEXT(B1493,"mmm")</f>
        <v>Apr</v>
      </c>
      <c r="D1493" s="2" t="s">
        <v>783</v>
      </c>
      <c r="E1493" s="2" t="s">
        <v>14</v>
      </c>
      <c r="F1493" s="2" t="str" cm="1">
        <f t="array" ref="F14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493" s="2" t="str" cm="1">
        <f t="array" ref="G14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493" s="2" t="s">
        <v>71</v>
      </c>
      <c r="I1493" s="2" t="s">
        <v>29</v>
      </c>
      <c r="J1493" s="2">
        <v>1</v>
      </c>
      <c r="K1493" s="8">
        <v>5499</v>
      </c>
      <c r="L1493" s="3">
        <v>0.1</v>
      </c>
      <c r="M1493" s="12">
        <f>K1493*L1493</f>
        <v>549.9</v>
      </c>
      <c r="N1493" s="12">
        <f>K1493*J1493</f>
        <v>5499</v>
      </c>
      <c r="O1493" s="12">
        <f>N1493-M1493</f>
        <v>4949.1000000000004</v>
      </c>
      <c r="P1493" s="2" t="s">
        <v>45</v>
      </c>
      <c r="Q1493" s="2" t="s">
        <v>18</v>
      </c>
      <c r="R1493" s="2">
        <v>80</v>
      </c>
      <c r="S1493" s="20">
        <f>Table1[[#This Row],[Net_revenue]]/Table1[[#This Row],[Gross_revenue]]*100%</f>
        <v>0.9</v>
      </c>
      <c r="T1493" s="18">
        <f>COUNTIFS(Table1[Customer ID], "&gt;1", Table1[Customer ID], 1)</f>
        <v>0</v>
      </c>
    </row>
    <row r="1494" spans="1:20" hidden="1" x14ac:dyDescent="0.3">
      <c r="A1494" s="2" t="s">
        <v>2178</v>
      </c>
      <c r="B1494" s="5">
        <v>45909</v>
      </c>
      <c r="C1494" s="5" t="str">
        <f>TEXT(B1494,"mmm")</f>
        <v>Sep</v>
      </c>
      <c r="D1494" s="2" t="s">
        <v>112</v>
      </c>
      <c r="E1494" s="2" t="s">
        <v>56</v>
      </c>
      <c r="F1494" s="2" t="str" cm="1">
        <f t="array" ref="F14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494" s="2" t="str" cm="1">
        <f t="array" ref="G14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494" s="2" t="s">
        <v>107</v>
      </c>
      <c r="I1494" s="2" t="s">
        <v>95</v>
      </c>
      <c r="J1494" s="2">
        <v>3</v>
      </c>
      <c r="K1494" s="8">
        <v>1599</v>
      </c>
      <c r="L1494" s="3">
        <v>0.2</v>
      </c>
      <c r="M1494" s="12">
        <f>K1494*L1494</f>
        <v>319.8</v>
      </c>
      <c r="N1494" s="12">
        <f>K1494*J1494</f>
        <v>4797</v>
      </c>
      <c r="O1494" s="12">
        <f>N1494-M1494</f>
        <v>4477.2</v>
      </c>
      <c r="P1494" s="2" t="s">
        <v>24</v>
      </c>
      <c r="Q1494" s="2" t="s">
        <v>18</v>
      </c>
      <c r="R1494" s="2">
        <v>0</v>
      </c>
      <c r="S1494" s="20">
        <f>Table1[[#This Row],[Net_revenue]]/Table1[[#This Row],[Gross_revenue]]*100%</f>
        <v>0.93333333333333335</v>
      </c>
      <c r="T1494" s="18">
        <f>COUNTIFS(Table1[Customer ID], "&gt;1", Table1[Customer ID], 1)</f>
        <v>0</v>
      </c>
    </row>
    <row r="1495" spans="1:20" hidden="1" x14ac:dyDescent="0.3">
      <c r="A1495" s="2" t="s">
        <v>2179</v>
      </c>
      <c r="B1495" s="5">
        <v>45876</v>
      </c>
      <c r="C1495" s="5" t="str">
        <f>TEXT(B1495,"mmm")</f>
        <v>Aug</v>
      </c>
      <c r="D1495" s="2" t="s">
        <v>1019</v>
      </c>
      <c r="E1495" s="2" t="s">
        <v>40</v>
      </c>
      <c r="F1495" s="2" t="str" cm="1">
        <f t="array" ref="F14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95" s="2" t="str" cm="1">
        <f t="array" ref="G14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95" s="2" t="s">
        <v>28</v>
      </c>
      <c r="I1495" s="2" t="s">
        <v>29</v>
      </c>
      <c r="J1495" s="2">
        <v>2</v>
      </c>
      <c r="K1495" s="8">
        <v>2799</v>
      </c>
      <c r="L1495" s="3">
        <v>0.25</v>
      </c>
      <c r="M1495" s="12">
        <f>K1495*L1495</f>
        <v>699.75</v>
      </c>
      <c r="N1495" s="12">
        <f>K1495*J1495</f>
        <v>5598</v>
      </c>
      <c r="O1495" s="12">
        <f>N1495-M1495</f>
        <v>4898.25</v>
      </c>
      <c r="P1495" s="2" t="s">
        <v>45</v>
      </c>
      <c r="Q1495" s="2" t="s">
        <v>18</v>
      </c>
      <c r="R1495" s="2">
        <v>80</v>
      </c>
      <c r="S1495" s="20">
        <f>Table1[[#This Row],[Net_revenue]]/Table1[[#This Row],[Gross_revenue]]*100%</f>
        <v>0.875</v>
      </c>
      <c r="T1495" s="18">
        <f>COUNTIFS(Table1[Customer ID], "&gt;1", Table1[Customer ID], 1)</f>
        <v>0</v>
      </c>
    </row>
    <row r="1496" spans="1:20" hidden="1" x14ac:dyDescent="0.3">
      <c r="A1496" s="2" t="s">
        <v>2180</v>
      </c>
      <c r="B1496" s="5">
        <v>45686</v>
      </c>
      <c r="C1496" s="5" t="str">
        <f>TEXT(B1496,"mmm")</f>
        <v>Jan</v>
      </c>
      <c r="D1496" s="2" t="s">
        <v>461</v>
      </c>
      <c r="E1496" s="2" t="s">
        <v>21</v>
      </c>
      <c r="F1496" s="2" t="str" cm="1">
        <f t="array" ref="F14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96" s="2" t="str" cm="1">
        <f t="array" ref="G14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96" s="2" t="s">
        <v>63</v>
      </c>
      <c r="I1496" s="2" t="s">
        <v>23</v>
      </c>
      <c r="J1496" s="2">
        <v>1</v>
      </c>
      <c r="K1496" s="8">
        <v>2499</v>
      </c>
      <c r="L1496" s="3">
        <v>0</v>
      </c>
      <c r="M1496" s="12">
        <f>K1496*L1496</f>
        <v>0</v>
      </c>
      <c r="N1496" s="12">
        <f>K1496*J1496</f>
        <v>2499</v>
      </c>
      <c r="O1496" s="12">
        <f>N1496-M1496</f>
        <v>2499</v>
      </c>
      <c r="P1496" s="2" t="s">
        <v>30</v>
      </c>
      <c r="Q1496" s="2" t="s">
        <v>18</v>
      </c>
      <c r="R1496" s="2">
        <v>0</v>
      </c>
      <c r="S1496" s="20">
        <f>Table1[[#This Row],[Net_revenue]]/Table1[[#This Row],[Gross_revenue]]*100%</f>
        <v>1</v>
      </c>
      <c r="T1496" s="18">
        <f>COUNTIFS(Table1[Customer ID], "&gt;1", Table1[Customer ID], 1)</f>
        <v>0</v>
      </c>
    </row>
    <row r="1497" spans="1:20" hidden="1" x14ac:dyDescent="0.3">
      <c r="A1497" s="2" t="s">
        <v>2181</v>
      </c>
      <c r="B1497" s="5">
        <v>45837</v>
      </c>
      <c r="C1497" s="5" t="str">
        <f>TEXT(B1497,"mmm")</f>
        <v>Jun</v>
      </c>
      <c r="D1497" s="2" t="s">
        <v>1504</v>
      </c>
      <c r="E1497" s="2" t="s">
        <v>21</v>
      </c>
      <c r="F1497" s="2" t="str" cm="1">
        <f t="array" ref="F14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97" s="2" t="str" cm="1">
        <f t="array" ref="G14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97" s="2" t="s">
        <v>41</v>
      </c>
      <c r="I1497" s="2" t="s">
        <v>16</v>
      </c>
      <c r="J1497" s="2">
        <v>2</v>
      </c>
      <c r="K1497" s="8">
        <v>2299</v>
      </c>
      <c r="L1497" s="3">
        <v>0.2</v>
      </c>
      <c r="M1497" s="12">
        <f>K1497*L1497</f>
        <v>459.8</v>
      </c>
      <c r="N1497" s="12">
        <f>K1497*J1497</f>
        <v>4598</v>
      </c>
      <c r="O1497" s="12">
        <f>N1497-M1497</f>
        <v>4138.2</v>
      </c>
      <c r="P1497" s="2" t="s">
        <v>45</v>
      </c>
      <c r="Q1497" s="2" t="s">
        <v>50</v>
      </c>
      <c r="R1497" s="2">
        <v>40</v>
      </c>
      <c r="S1497" s="20">
        <f>Table1[[#This Row],[Net_revenue]]/Table1[[#This Row],[Gross_revenue]]*100%</f>
        <v>0.89999999999999991</v>
      </c>
      <c r="T1497" s="18">
        <f>COUNTIFS(Table1[Customer ID], "&gt;1", Table1[Customer ID], 1)</f>
        <v>0</v>
      </c>
    </row>
    <row r="1498" spans="1:20" hidden="1" x14ac:dyDescent="0.3">
      <c r="A1498" s="2" t="s">
        <v>2182</v>
      </c>
      <c r="B1498" s="5">
        <v>45827</v>
      </c>
      <c r="C1498" s="5" t="str">
        <f>TEXT(B1498,"mmm")</f>
        <v>Jun</v>
      </c>
      <c r="D1498" s="2" t="s">
        <v>1391</v>
      </c>
      <c r="E1498" s="2" t="s">
        <v>40</v>
      </c>
      <c r="F1498" s="2" t="str" cm="1">
        <f t="array" ref="F14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498" s="2" t="str" cm="1">
        <f t="array" ref="G14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498" s="2" t="s">
        <v>22</v>
      </c>
      <c r="I1498" s="2" t="s">
        <v>23</v>
      </c>
      <c r="J1498" s="2">
        <v>5</v>
      </c>
      <c r="K1498" s="8">
        <v>3999</v>
      </c>
      <c r="L1498" s="3">
        <v>0.05</v>
      </c>
      <c r="M1498" s="12">
        <f>K1498*L1498</f>
        <v>199.95000000000002</v>
      </c>
      <c r="N1498" s="12">
        <f>K1498*J1498</f>
        <v>19995</v>
      </c>
      <c r="O1498" s="12">
        <f>N1498-M1498</f>
        <v>19795.05</v>
      </c>
      <c r="P1498" s="2" t="s">
        <v>30</v>
      </c>
      <c r="Q1498" s="2" t="s">
        <v>18</v>
      </c>
      <c r="R1498" s="2">
        <v>0</v>
      </c>
      <c r="S1498" s="20">
        <f>Table1[[#This Row],[Net_revenue]]/Table1[[#This Row],[Gross_revenue]]*100%</f>
        <v>0.99</v>
      </c>
      <c r="T1498" s="18">
        <f>COUNTIFS(Table1[Customer ID], "&gt;1", Table1[Customer ID], 1)</f>
        <v>0</v>
      </c>
    </row>
    <row r="1499" spans="1:20" hidden="1" x14ac:dyDescent="0.3">
      <c r="A1499" s="2" t="s">
        <v>2183</v>
      </c>
      <c r="B1499" s="5">
        <v>45982</v>
      </c>
      <c r="C1499" s="5" t="str">
        <f>TEXT(B1499,"mmm")</f>
        <v>Nov</v>
      </c>
      <c r="D1499" s="2" t="s">
        <v>619</v>
      </c>
      <c r="E1499" s="2" t="s">
        <v>21</v>
      </c>
      <c r="F1499" s="2" t="str" cm="1">
        <f t="array" ref="F14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499" s="2" t="str" cm="1">
        <f t="array" ref="G14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499" s="2" t="s">
        <v>36</v>
      </c>
      <c r="I1499" s="2" t="s">
        <v>37</v>
      </c>
      <c r="J1499" s="2">
        <v>2</v>
      </c>
      <c r="K1499" s="8">
        <v>349</v>
      </c>
      <c r="L1499" s="3">
        <v>0</v>
      </c>
      <c r="M1499" s="12">
        <f>K1499*L1499</f>
        <v>0</v>
      </c>
      <c r="N1499" s="12">
        <f>K1499*J1499</f>
        <v>698</v>
      </c>
      <c r="O1499" s="12">
        <f>N1499-M1499</f>
        <v>698</v>
      </c>
      <c r="P1499" s="2" t="s">
        <v>30</v>
      </c>
      <c r="Q1499" s="2" t="s">
        <v>18</v>
      </c>
      <c r="R1499" s="2">
        <v>40</v>
      </c>
      <c r="S1499" s="20">
        <f>Table1[[#This Row],[Net_revenue]]/Table1[[#This Row],[Gross_revenue]]*100%</f>
        <v>1</v>
      </c>
      <c r="T1499" s="18">
        <f>COUNTIFS(Table1[Customer ID], "&gt;1", Table1[Customer ID], 1)</f>
        <v>0</v>
      </c>
    </row>
    <row r="1500" spans="1:20" hidden="1" x14ac:dyDescent="0.3">
      <c r="A1500" s="2" t="s">
        <v>2184</v>
      </c>
      <c r="B1500" s="5">
        <v>45900</v>
      </c>
      <c r="C1500" s="5" t="str">
        <f>TEXT(B1500,"mmm")</f>
        <v>Aug</v>
      </c>
      <c r="D1500" s="2" t="s">
        <v>224</v>
      </c>
      <c r="E1500" s="2" t="s">
        <v>48</v>
      </c>
      <c r="F1500" s="2" t="str" cm="1">
        <f t="array" ref="F15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00" s="2" t="str" cm="1">
        <f t="array" ref="G15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00" s="2" t="s">
        <v>217</v>
      </c>
      <c r="I1500" s="2" t="s">
        <v>29</v>
      </c>
      <c r="J1500" s="2">
        <v>5</v>
      </c>
      <c r="K1500" s="8">
        <v>3299</v>
      </c>
      <c r="L1500" s="3">
        <v>0.25</v>
      </c>
      <c r="M1500" s="12">
        <f>K1500*L1500</f>
        <v>824.75</v>
      </c>
      <c r="N1500" s="12">
        <f>K1500*J1500</f>
        <v>16495</v>
      </c>
      <c r="O1500" s="12">
        <f>N1500-M1500</f>
        <v>15670.25</v>
      </c>
      <c r="P1500" s="2" t="s">
        <v>45</v>
      </c>
      <c r="Q1500" s="2" t="s">
        <v>18</v>
      </c>
      <c r="R1500" s="2">
        <v>0</v>
      </c>
      <c r="S1500" s="20">
        <f>Table1[[#This Row],[Net_revenue]]/Table1[[#This Row],[Gross_revenue]]*100%</f>
        <v>0.95</v>
      </c>
      <c r="T1500" s="18">
        <f>COUNTIFS(Table1[Customer ID], "&gt;1", Table1[Customer ID], 1)</f>
        <v>0</v>
      </c>
    </row>
    <row r="1501" spans="1:20" hidden="1" x14ac:dyDescent="0.3">
      <c r="A1501" s="2" t="s">
        <v>2185</v>
      </c>
      <c r="B1501" s="5">
        <v>45723</v>
      </c>
      <c r="C1501" s="5" t="str">
        <f>TEXT(B1501,"mmm")</f>
        <v>Mar</v>
      </c>
      <c r="D1501" s="2" t="s">
        <v>1620</v>
      </c>
      <c r="E1501" s="2" t="s">
        <v>56</v>
      </c>
      <c r="F1501" s="2" t="str" cm="1">
        <f t="array" ref="F15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01" s="2" t="str" cm="1">
        <f t="array" ref="G15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01" s="2" t="s">
        <v>121</v>
      </c>
      <c r="I1501" s="2" t="s">
        <v>95</v>
      </c>
      <c r="J1501" s="2">
        <v>1</v>
      </c>
      <c r="K1501" s="8">
        <v>1299</v>
      </c>
      <c r="L1501" s="3">
        <v>0.05</v>
      </c>
      <c r="M1501" s="12">
        <f>K1501*L1501</f>
        <v>64.95</v>
      </c>
      <c r="N1501" s="12">
        <f>K1501*J1501</f>
        <v>1299</v>
      </c>
      <c r="O1501" s="12">
        <f>N1501-M1501</f>
        <v>1234.05</v>
      </c>
      <c r="P1501" s="2" t="s">
        <v>17</v>
      </c>
      <c r="Q1501" s="2" t="s">
        <v>18</v>
      </c>
      <c r="R1501" s="2">
        <v>40</v>
      </c>
      <c r="S1501" s="20">
        <f>Table1[[#This Row],[Net_revenue]]/Table1[[#This Row],[Gross_revenue]]*100%</f>
        <v>0.95</v>
      </c>
      <c r="T1501" s="18">
        <f>COUNTIFS(Table1[Customer ID], "&gt;1", Table1[Customer ID], 1)</f>
        <v>0</v>
      </c>
    </row>
    <row r="1502" spans="1:20" hidden="1" x14ac:dyDescent="0.3">
      <c r="A1502" s="2" t="s">
        <v>2186</v>
      </c>
      <c r="B1502" s="5">
        <v>45790</v>
      </c>
      <c r="C1502" s="5" t="str">
        <f>TEXT(B1502,"mmm")</f>
        <v>May</v>
      </c>
      <c r="D1502" s="2" t="s">
        <v>1252</v>
      </c>
      <c r="E1502" s="2" t="s">
        <v>195</v>
      </c>
      <c r="F1502" s="2" t="str" cm="1">
        <f t="array" ref="F15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02" s="2" t="str" cm="1">
        <f t="array" ref="G15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02" s="2" t="s">
        <v>22</v>
      </c>
      <c r="I1502" s="2" t="s">
        <v>23</v>
      </c>
      <c r="J1502" s="2">
        <v>2</v>
      </c>
      <c r="K1502" s="8">
        <v>3999</v>
      </c>
      <c r="L1502" s="3">
        <v>0.05</v>
      </c>
      <c r="M1502" s="12">
        <f>K1502*L1502</f>
        <v>199.95000000000002</v>
      </c>
      <c r="N1502" s="12">
        <f>K1502*J1502</f>
        <v>7998</v>
      </c>
      <c r="O1502" s="12">
        <f>N1502-M1502</f>
        <v>7798.05</v>
      </c>
      <c r="P1502" s="2" t="s">
        <v>30</v>
      </c>
      <c r="Q1502" s="2" t="s">
        <v>18</v>
      </c>
      <c r="R1502" s="2">
        <v>40</v>
      </c>
      <c r="S1502" s="20">
        <f>Table1[[#This Row],[Net_revenue]]/Table1[[#This Row],[Gross_revenue]]*100%</f>
        <v>0.97499999999999998</v>
      </c>
      <c r="T1502" s="18">
        <f>COUNTIFS(Table1[Customer ID], "&gt;1", Table1[Customer ID], 1)</f>
        <v>0</v>
      </c>
    </row>
    <row r="1503" spans="1:20" hidden="1" x14ac:dyDescent="0.3">
      <c r="A1503" s="2" t="s">
        <v>2187</v>
      </c>
      <c r="B1503" s="5">
        <v>45683</v>
      </c>
      <c r="C1503" s="5" t="str">
        <f>TEXT(B1503,"mmm")</f>
        <v>Jan</v>
      </c>
      <c r="D1503" s="2" t="s">
        <v>1647</v>
      </c>
      <c r="E1503" s="2" t="s">
        <v>21</v>
      </c>
      <c r="F1503" s="2" t="str" cm="1">
        <f t="array" ref="F15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03" s="2" t="str" cm="1">
        <f t="array" ref="G15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03" s="2" t="s">
        <v>94</v>
      </c>
      <c r="I1503" s="2" t="s">
        <v>95</v>
      </c>
      <c r="J1503" s="2">
        <v>1</v>
      </c>
      <c r="K1503" s="8">
        <v>399</v>
      </c>
      <c r="L1503" s="3">
        <v>0.25</v>
      </c>
      <c r="M1503" s="12">
        <f>K1503*L1503</f>
        <v>99.75</v>
      </c>
      <c r="N1503" s="12">
        <f>K1503*J1503</f>
        <v>399</v>
      </c>
      <c r="O1503" s="12">
        <f>N1503-M1503</f>
        <v>299.25</v>
      </c>
      <c r="P1503" s="2" t="s">
        <v>45</v>
      </c>
      <c r="Q1503" s="2" t="s">
        <v>72</v>
      </c>
      <c r="R1503" s="2">
        <v>40</v>
      </c>
      <c r="S1503" s="20">
        <f>Table1[[#This Row],[Net_revenue]]/Table1[[#This Row],[Gross_revenue]]*100%</f>
        <v>0.75</v>
      </c>
      <c r="T1503" s="18">
        <f>COUNTIFS(Table1[Customer ID], "&gt;1", Table1[Customer ID], 1)</f>
        <v>0</v>
      </c>
    </row>
    <row r="1504" spans="1:20" hidden="1" x14ac:dyDescent="0.3">
      <c r="A1504" s="2" t="s">
        <v>2188</v>
      </c>
      <c r="B1504" s="5">
        <v>45960</v>
      </c>
      <c r="C1504" s="5" t="str">
        <f>TEXT(B1504,"mmm")</f>
        <v>Oct</v>
      </c>
      <c r="D1504" s="2" t="s">
        <v>1769</v>
      </c>
      <c r="E1504" s="2" t="s">
        <v>75</v>
      </c>
      <c r="F1504" s="2" t="str" cm="1">
        <f t="array" ref="F15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504" s="2" t="str" cm="1">
        <f t="array" ref="G15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04" s="2" t="s">
        <v>41</v>
      </c>
      <c r="I1504" s="2" t="s">
        <v>16</v>
      </c>
      <c r="J1504" s="2">
        <v>1</v>
      </c>
      <c r="K1504" s="8">
        <v>2299</v>
      </c>
      <c r="L1504" s="3">
        <v>0</v>
      </c>
      <c r="M1504" s="12">
        <f>K1504*L1504</f>
        <v>0</v>
      </c>
      <c r="N1504" s="12">
        <f>K1504*J1504</f>
        <v>2299</v>
      </c>
      <c r="O1504" s="12">
        <f>N1504-M1504</f>
        <v>2299</v>
      </c>
      <c r="P1504" s="2" t="s">
        <v>45</v>
      </c>
      <c r="Q1504" s="2" t="s">
        <v>18</v>
      </c>
      <c r="R1504" s="2">
        <v>60</v>
      </c>
      <c r="S1504" s="20">
        <f>Table1[[#This Row],[Net_revenue]]/Table1[[#This Row],[Gross_revenue]]*100%</f>
        <v>1</v>
      </c>
      <c r="T1504" s="18">
        <f>COUNTIFS(Table1[Customer ID], "&gt;1", Table1[Customer ID], 1)</f>
        <v>0</v>
      </c>
    </row>
    <row r="1505" spans="1:20" hidden="1" x14ac:dyDescent="0.3">
      <c r="A1505" s="2" t="s">
        <v>2189</v>
      </c>
      <c r="B1505" s="5">
        <v>45670</v>
      </c>
      <c r="C1505" s="5" t="str">
        <f>TEXT(B1505,"mmm")</f>
        <v>Jan</v>
      </c>
      <c r="D1505" s="2" t="s">
        <v>1449</v>
      </c>
      <c r="E1505" s="2" t="s">
        <v>56</v>
      </c>
      <c r="F1505" s="2" t="str" cm="1">
        <f t="array" ref="F15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05" s="2" t="str" cm="1">
        <f t="array" ref="G15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05" s="2" t="s">
        <v>44</v>
      </c>
      <c r="I1505" s="2" t="s">
        <v>16</v>
      </c>
      <c r="J1505" s="2">
        <v>1</v>
      </c>
      <c r="K1505" s="8">
        <v>1599</v>
      </c>
      <c r="L1505" s="3">
        <v>0</v>
      </c>
      <c r="M1505" s="12">
        <f>K1505*L1505</f>
        <v>0</v>
      </c>
      <c r="N1505" s="12">
        <f>K1505*J1505</f>
        <v>1599</v>
      </c>
      <c r="O1505" s="12">
        <f>N1505-M1505</f>
        <v>1599</v>
      </c>
      <c r="P1505" s="2" t="s">
        <v>45</v>
      </c>
      <c r="Q1505" s="2" t="s">
        <v>18</v>
      </c>
      <c r="R1505" s="2">
        <v>60</v>
      </c>
      <c r="S1505" s="20">
        <f>Table1[[#This Row],[Net_revenue]]/Table1[[#This Row],[Gross_revenue]]*100%</f>
        <v>1</v>
      </c>
      <c r="T1505" s="18">
        <f>COUNTIFS(Table1[Customer ID], "&gt;1", Table1[Customer ID], 1)</f>
        <v>0</v>
      </c>
    </row>
    <row r="1506" spans="1:20" hidden="1" x14ac:dyDescent="0.3">
      <c r="A1506" s="2" t="s">
        <v>2190</v>
      </c>
      <c r="B1506" s="5">
        <v>45954</v>
      </c>
      <c r="C1506" s="5" t="str">
        <f>TEXT(B1506,"mmm")</f>
        <v>Oct</v>
      </c>
      <c r="D1506" s="2" t="s">
        <v>863</v>
      </c>
      <c r="E1506" s="2" t="s">
        <v>120</v>
      </c>
      <c r="F1506" s="2" t="str" cm="1">
        <f t="array" ref="F15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06" s="2" t="str" cm="1">
        <f t="array" ref="G15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06" s="2" t="s">
        <v>217</v>
      </c>
      <c r="I1506" s="2" t="s">
        <v>29</v>
      </c>
      <c r="J1506" s="2">
        <v>2</v>
      </c>
      <c r="K1506" s="8">
        <v>3299</v>
      </c>
      <c r="L1506" s="3">
        <v>0.1</v>
      </c>
      <c r="M1506" s="12">
        <f>K1506*L1506</f>
        <v>329.90000000000003</v>
      </c>
      <c r="N1506" s="12">
        <f>K1506*J1506</f>
        <v>6598</v>
      </c>
      <c r="O1506" s="12">
        <f>N1506-M1506</f>
        <v>6268.1</v>
      </c>
      <c r="P1506" s="2" t="s">
        <v>45</v>
      </c>
      <c r="Q1506" s="2" t="s">
        <v>18</v>
      </c>
      <c r="R1506" s="2">
        <v>80</v>
      </c>
      <c r="S1506" s="20">
        <f>Table1[[#This Row],[Net_revenue]]/Table1[[#This Row],[Gross_revenue]]*100%</f>
        <v>0.95000000000000007</v>
      </c>
      <c r="T1506" s="18">
        <f>COUNTIFS(Table1[Customer ID], "&gt;1", Table1[Customer ID], 1)</f>
        <v>0</v>
      </c>
    </row>
    <row r="1507" spans="1:20" hidden="1" x14ac:dyDescent="0.3">
      <c r="A1507" s="2" t="s">
        <v>2191</v>
      </c>
      <c r="B1507" s="5">
        <v>45710</v>
      </c>
      <c r="C1507" s="5" t="str">
        <f>TEXT(B1507,"mmm")</f>
        <v>Feb</v>
      </c>
      <c r="D1507" s="2" t="s">
        <v>2192</v>
      </c>
      <c r="E1507" s="2" t="s">
        <v>120</v>
      </c>
      <c r="F1507" s="2" t="str" cm="1">
        <f t="array" ref="F15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07" s="2" t="str" cm="1">
        <f t="array" ref="G15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07" s="2" t="s">
        <v>49</v>
      </c>
      <c r="I1507" s="2" t="s">
        <v>23</v>
      </c>
      <c r="J1507" s="2">
        <v>1</v>
      </c>
      <c r="K1507" s="8">
        <v>1299</v>
      </c>
      <c r="L1507" s="3">
        <v>0.15</v>
      </c>
      <c r="M1507" s="12">
        <f>K1507*L1507</f>
        <v>194.85</v>
      </c>
      <c r="N1507" s="12">
        <f>K1507*J1507</f>
        <v>1299</v>
      </c>
      <c r="O1507" s="12">
        <f>N1507-M1507</f>
        <v>1104.1500000000001</v>
      </c>
      <c r="P1507" s="2" t="s">
        <v>24</v>
      </c>
      <c r="Q1507" s="2" t="s">
        <v>18</v>
      </c>
      <c r="R1507" s="2">
        <v>60</v>
      </c>
      <c r="S1507" s="20">
        <f>Table1[[#This Row],[Net_revenue]]/Table1[[#This Row],[Gross_revenue]]*100%</f>
        <v>0.85000000000000009</v>
      </c>
      <c r="T1507" s="18">
        <f>COUNTIFS(Table1[Customer ID], "&gt;1", Table1[Customer ID], 1)</f>
        <v>0</v>
      </c>
    </row>
    <row r="1508" spans="1:20" hidden="1" x14ac:dyDescent="0.3">
      <c r="A1508" s="2" t="s">
        <v>2193</v>
      </c>
      <c r="B1508" s="5">
        <v>45974</v>
      </c>
      <c r="C1508" s="5" t="str">
        <f>TEXT(B1508,"mmm")</f>
        <v>Nov</v>
      </c>
      <c r="D1508" s="2" t="s">
        <v>1036</v>
      </c>
      <c r="E1508" s="2" t="s">
        <v>27</v>
      </c>
      <c r="F1508" s="2" t="str" cm="1">
        <f t="array" ref="F15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08" s="2" t="str" cm="1">
        <f t="array" ref="G15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08" s="2" t="s">
        <v>22</v>
      </c>
      <c r="I1508" s="2" t="s">
        <v>23</v>
      </c>
      <c r="J1508" s="2">
        <v>3</v>
      </c>
      <c r="K1508" s="8">
        <v>3999</v>
      </c>
      <c r="L1508" s="3">
        <v>0.15</v>
      </c>
      <c r="M1508" s="12">
        <f>K1508*L1508</f>
        <v>599.85</v>
      </c>
      <c r="N1508" s="12">
        <f>K1508*J1508</f>
        <v>11997</v>
      </c>
      <c r="O1508" s="12">
        <f>N1508-M1508</f>
        <v>11397.15</v>
      </c>
      <c r="P1508" s="2" t="s">
        <v>17</v>
      </c>
      <c r="Q1508" s="2" t="s">
        <v>18</v>
      </c>
      <c r="R1508" s="2">
        <v>80</v>
      </c>
      <c r="S1508" s="20">
        <f>Table1[[#This Row],[Net_revenue]]/Table1[[#This Row],[Gross_revenue]]*100%</f>
        <v>0.95</v>
      </c>
      <c r="T1508" s="18">
        <f>COUNTIFS(Table1[Customer ID], "&gt;1", Table1[Customer ID], 1)</f>
        <v>0</v>
      </c>
    </row>
    <row r="1509" spans="1:20" hidden="1" x14ac:dyDescent="0.3">
      <c r="A1509" s="2" t="s">
        <v>2194</v>
      </c>
      <c r="B1509" s="5">
        <v>45749</v>
      </c>
      <c r="C1509" s="5" t="str">
        <f>TEXT(B1509,"mmm")</f>
        <v>Apr</v>
      </c>
      <c r="D1509" s="2" t="s">
        <v>946</v>
      </c>
      <c r="E1509" s="2" t="s">
        <v>27</v>
      </c>
      <c r="F1509" s="2" t="str" cm="1">
        <f t="array" ref="F15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09" s="2" t="str" cm="1">
        <f t="array" ref="G15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09" s="2" t="s">
        <v>41</v>
      </c>
      <c r="I1509" s="2" t="s">
        <v>16</v>
      </c>
      <c r="J1509" s="2">
        <v>1</v>
      </c>
      <c r="K1509" s="8">
        <v>2299</v>
      </c>
      <c r="L1509" s="3">
        <v>0.25</v>
      </c>
      <c r="M1509" s="12">
        <f>K1509*L1509</f>
        <v>574.75</v>
      </c>
      <c r="N1509" s="12">
        <f>K1509*J1509</f>
        <v>2299</v>
      </c>
      <c r="O1509" s="12">
        <f>N1509-M1509</f>
        <v>1724.25</v>
      </c>
      <c r="P1509" s="2" t="s">
        <v>24</v>
      </c>
      <c r="Q1509" s="2" t="s">
        <v>18</v>
      </c>
      <c r="R1509" s="2">
        <v>80</v>
      </c>
      <c r="S1509" s="20">
        <f>Table1[[#This Row],[Net_revenue]]/Table1[[#This Row],[Gross_revenue]]*100%</f>
        <v>0.75</v>
      </c>
      <c r="T1509" s="18">
        <f>COUNTIFS(Table1[Customer ID], "&gt;1", Table1[Customer ID], 1)</f>
        <v>0</v>
      </c>
    </row>
    <row r="1510" spans="1:20" hidden="1" x14ac:dyDescent="0.3">
      <c r="A1510" s="2" t="s">
        <v>2195</v>
      </c>
      <c r="B1510" s="5">
        <v>45739</v>
      </c>
      <c r="C1510" s="5" t="str">
        <f>TEXT(B1510,"mmm")</f>
        <v>Mar</v>
      </c>
      <c r="D1510" s="2" t="s">
        <v>440</v>
      </c>
      <c r="E1510" s="2" t="s">
        <v>56</v>
      </c>
      <c r="F1510" s="2" t="str" cm="1">
        <f t="array" ref="F15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10" s="2" t="str" cm="1">
        <f t="array" ref="G15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10" s="2" t="s">
        <v>117</v>
      </c>
      <c r="I1510" s="2" t="s">
        <v>23</v>
      </c>
      <c r="J1510" s="2">
        <v>2</v>
      </c>
      <c r="K1510" s="8">
        <v>2199</v>
      </c>
      <c r="L1510" s="3">
        <v>0.1</v>
      </c>
      <c r="M1510" s="12">
        <f>K1510*L1510</f>
        <v>219.9</v>
      </c>
      <c r="N1510" s="12">
        <f>K1510*J1510</f>
        <v>4398</v>
      </c>
      <c r="O1510" s="12">
        <f>N1510-M1510</f>
        <v>4178.1000000000004</v>
      </c>
      <c r="P1510" s="2" t="s">
        <v>30</v>
      </c>
      <c r="Q1510" s="2" t="s">
        <v>50</v>
      </c>
      <c r="R1510" s="2">
        <v>60</v>
      </c>
      <c r="S1510" s="20">
        <f>Table1[[#This Row],[Net_revenue]]/Table1[[#This Row],[Gross_revenue]]*100%</f>
        <v>0.95000000000000007</v>
      </c>
      <c r="T1510" s="18">
        <f>COUNTIFS(Table1[Customer ID], "&gt;1", Table1[Customer ID], 1)</f>
        <v>0</v>
      </c>
    </row>
    <row r="1511" spans="1:20" hidden="1" x14ac:dyDescent="0.3">
      <c r="A1511" s="2" t="s">
        <v>2196</v>
      </c>
      <c r="B1511" s="5">
        <v>45745</v>
      </c>
      <c r="C1511" s="5" t="str">
        <f>TEXT(B1511,"mmm")</f>
        <v>Mar</v>
      </c>
      <c r="D1511" s="2" t="s">
        <v>1433</v>
      </c>
      <c r="E1511" s="2" t="s">
        <v>40</v>
      </c>
      <c r="F1511" s="2" t="str" cm="1">
        <f t="array" ref="F15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11" s="2" t="str" cm="1">
        <f t="array" ref="G15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11" s="2" t="s">
        <v>80</v>
      </c>
      <c r="I1511" s="2" t="s">
        <v>23</v>
      </c>
      <c r="J1511" s="2">
        <v>1</v>
      </c>
      <c r="K1511" s="8">
        <v>799</v>
      </c>
      <c r="L1511" s="3">
        <v>0</v>
      </c>
      <c r="M1511" s="12">
        <f>K1511*L1511</f>
        <v>0</v>
      </c>
      <c r="N1511" s="12">
        <f>K1511*J1511</f>
        <v>799</v>
      </c>
      <c r="O1511" s="12">
        <f>N1511-M1511</f>
        <v>799</v>
      </c>
      <c r="P1511" s="2" t="s">
        <v>45</v>
      </c>
      <c r="Q1511" s="2" t="s">
        <v>50</v>
      </c>
      <c r="R1511" s="2">
        <v>40</v>
      </c>
      <c r="S1511" s="20">
        <f>Table1[[#This Row],[Net_revenue]]/Table1[[#This Row],[Gross_revenue]]*100%</f>
        <v>1</v>
      </c>
      <c r="T1511" s="18">
        <f>COUNTIFS(Table1[Customer ID], "&gt;1", Table1[Customer ID], 1)</f>
        <v>0</v>
      </c>
    </row>
    <row r="1512" spans="1:20" hidden="1" x14ac:dyDescent="0.3">
      <c r="A1512" s="2" t="s">
        <v>2197</v>
      </c>
      <c r="B1512" s="5">
        <v>45771</v>
      </c>
      <c r="C1512" s="5" t="str">
        <f>TEXT(B1512,"mmm")</f>
        <v>Apr</v>
      </c>
      <c r="D1512" s="2" t="s">
        <v>974</v>
      </c>
      <c r="E1512" s="2" t="s">
        <v>48</v>
      </c>
      <c r="F1512" s="2" t="str" cm="1">
        <f t="array" ref="F15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12" s="2" t="str" cm="1">
        <f t="array" ref="G15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12" s="2" t="s">
        <v>65</v>
      </c>
      <c r="I1512" s="2" t="s">
        <v>23</v>
      </c>
      <c r="J1512" s="2">
        <v>1</v>
      </c>
      <c r="K1512" s="8">
        <v>1899</v>
      </c>
      <c r="L1512" s="3">
        <v>0.05</v>
      </c>
      <c r="M1512" s="12">
        <f>K1512*L1512</f>
        <v>94.95</v>
      </c>
      <c r="N1512" s="12">
        <f>K1512*J1512</f>
        <v>1899</v>
      </c>
      <c r="O1512" s="12">
        <f>N1512-M1512</f>
        <v>1804.05</v>
      </c>
      <c r="P1512" s="2" t="s">
        <v>17</v>
      </c>
      <c r="Q1512" s="2" t="s">
        <v>72</v>
      </c>
      <c r="R1512" s="2">
        <v>40</v>
      </c>
      <c r="S1512" s="20">
        <f>Table1[[#This Row],[Net_revenue]]/Table1[[#This Row],[Gross_revenue]]*100%</f>
        <v>0.95</v>
      </c>
      <c r="T1512" s="18">
        <f>COUNTIFS(Table1[Customer ID], "&gt;1", Table1[Customer ID], 1)</f>
        <v>0</v>
      </c>
    </row>
    <row r="1513" spans="1:20" hidden="1" x14ac:dyDescent="0.3">
      <c r="A1513" s="2" t="s">
        <v>2198</v>
      </c>
      <c r="B1513" s="5">
        <v>45834</v>
      </c>
      <c r="C1513" s="5" t="str">
        <f>TEXT(B1513,"mmm")</f>
        <v>Jun</v>
      </c>
      <c r="D1513" s="2" t="s">
        <v>47</v>
      </c>
      <c r="E1513" s="2" t="s">
        <v>27</v>
      </c>
      <c r="F1513" s="2" t="str" cm="1">
        <f t="array" ref="F15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13" s="2" t="str" cm="1">
        <f t="array" ref="G15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13" s="2" t="s">
        <v>89</v>
      </c>
      <c r="I1513" s="2" t="s">
        <v>29</v>
      </c>
      <c r="J1513" s="2">
        <v>3</v>
      </c>
      <c r="K1513" s="8">
        <v>449</v>
      </c>
      <c r="L1513" s="3">
        <v>0.25</v>
      </c>
      <c r="M1513" s="12">
        <f>K1513*L1513</f>
        <v>112.25</v>
      </c>
      <c r="N1513" s="12">
        <f>K1513*J1513</f>
        <v>1347</v>
      </c>
      <c r="O1513" s="12">
        <f>N1513-M1513</f>
        <v>1234.75</v>
      </c>
      <c r="P1513" s="2" t="s">
        <v>30</v>
      </c>
      <c r="Q1513" s="2" t="s">
        <v>18</v>
      </c>
      <c r="R1513" s="2">
        <v>40</v>
      </c>
      <c r="S1513" s="20">
        <f>Table1[[#This Row],[Net_revenue]]/Table1[[#This Row],[Gross_revenue]]*100%</f>
        <v>0.91666666666666663</v>
      </c>
      <c r="T1513" s="18">
        <f>COUNTIFS(Table1[Customer ID], "&gt;1", Table1[Customer ID], 1)</f>
        <v>0</v>
      </c>
    </row>
    <row r="1514" spans="1:20" hidden="1" x14ac:dyDescent="0.3">
      <c r="A1514" s="2" t="s">
        <v>2199</v>
      </c>
      <c r="B1514" s="5">
        <v>45838</v>
      </c>
      <c r="C1514" s="5" t="str">
        <f>TEXT(B1514,"mmm")</f>
        <v>Jun</v>
      </c>
      <c r="D1514" s="2" t="s">
        <v>1043</v>
      </c>
      <c r="E1514" s="2" t="s">
        <v>48</v>
      </c>
      <c r="F1514" s="2" t="str" cm="1">
        <f t="array" ref="F15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14" s="2" t="str" cm="1">
        <f t="array" ref="G15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14" s="2" t="s">
        <v>63</v>
      </c>
      <c r="I1514" s="2" t="s">
        <v>23</v>
      </c>
      <c r="J1514" s="2">
        <v>2</v>
      </c>
      <c r="K1514" s="8">
        <v>2499</v>
      </c>
      <c r="L1514" s="3">
        <v>0</v>
      </c>
      <c r="M1514" s="12">
        <f>K1514*L1514</f>
        <v>0</v>
      </c>
      <c r="N1514" s="12">
        <f>K1514*J1514</f>
        <v>4998</v>
      </c>
      <c r="O1514" s="12">
        <f>N1514-M1514</f>
        <v>4998</v>
      </c>
      <c r="P1514" s="2" t="s">
        <v>17</v>
      </c>
      <c r="Q1514" s="2" t="s">
        <v>18</v>
      </c>
      <c r="R1514" s="2">
        <v>0</v>
      </c>
      <c r="S1514" s="20">
        <f>Table1[[#This Row],[Net_revenue]]/Table1[[#This Row],[Gross_revenue]]*100%</f>
        <v>1</v>
      </c>
      <c r="T1514" s="18">
        <f>COUNTIFS(Table1[Customer ID], "&gt;1", Table1[Customer ID], 1)</f>
        <v>0</v>
      </c>
    </row>
    <row r="1515" spans="1:20" hidden="1" x14ac:dyDescent="0.3">
      <c r="A1515" s="2" t="s">
        <v>2200</v>
      </c>
      <c r="B1515" s="5">
        <v>45701</v>
      </c>
      <c r="C1515" s="5" t="str">
        <f>TEXT(B1515,"mmm")</f>
        <v>Feb</v>
      </c>
      <c r="D1515" s="2" t="s">
        <v>2201</v>
      </c>
      <c r="E1515" s="2" t="s">
        <v>27</v>
      </c>
      <c r="F1515" s="2" t="str" cm="1">
        <f t="array" ref="F15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15" s="2" t="str" cm="1">
        <f t="array" ref="G15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15" s="2" t="s">
        <v>63</v>
      </c>
      <c r="I1515" s="2" t="s">
        <v>23</v>
      </c>
      <c r="J1515" s="2">
        <v>1</v>
      </c>
      <c r="K1515" s="8">
        <v>2499</v>
      </c>
      <c r="L1515" s="3">
        <v>0.05</v>
      </c>
      <c r="M1515" s="12">
        <f>K1515*L1515</f>
        <v>124.95</v>
      </c>
      <c r="N1515" s="12">
        <f>K1515*J1515</f>
        <v>2499</v>
      </c>
      <c r="O1515" s="12">
        <f>N1515-M1515</f>
        <v>2374.0500000000002</v>
      </c>
      <c r="P1515" s="2" t="s">
        <v>17</v>
      </c>
      <c r="Q1515" s="2" t="s">
        <v>18</v>
      </c>
      <c r="R1515" s="2">
        <v>80</v>
      </c>
      <c r="S1515" s="20">
        <f>Table1[[#This Row],[Net_revenue]]/Table1[[#This Row],[Gross_revenue]]*100%</f>
        <v>0.95000000000000007</v>
      </c>
      <c r="T1515" s="18">
        <f>COUNTIFS(Table1[Customer ID], "&gt;1", Table1[Customer ID], 1)</f>
        <v>0</v>
      </c>
    </row>
    <row r="1516" spans="1:20" hidden="1" x14ac:dyDescent="0.3">
      <c r="A1516" s="2" t="s">
        <v>2202</v>
      </c>
      <c r="B1516" s="5">
        <v>45994</v>
      </c>
      <c r="C1516" s="5" t="str">
        <f>TEXT(B1516,"mmm")</f>
        <v>Dec</v>
      </c>
      <c r="D1516" s="2" t="s">
        <v>1963</v>
      </c>
      <c r="E1516" s="2" t="s">
        <v>40</v>
      </c>
      <c r="F1516" s="2" t="str" cm="1">
        <f t="array" ref="F15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16" s="2" t="str" cm="1">
        <f t="array" ref="G15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16" s="2" t="s">
        <v>80</v>
      </c>
      <c r="I1516" s="2" t="s">
        <v>23</v>
      </c>
      <c r="J1516" s="2">
        <v>2</v>
      </c>
      <c r="K1516" s="8">
        <v>799</v>
      </c>
      <c r="L1516" s="3">
        <v>0.25</v>
      </c>
      <c r="M1516" s="12">
        <f>K1516*L1516</f>
        <v>199.75</v>
      </c>
      <c r="N1516" s="12">
        <f>K1516*J1516</f>
        <v>1598</v>
      </c>
      <c r="O1516" s="12">
        <f>N1516-M1516</f>
        <v>1398.25</v>
      </c>
      <c r="P1516" s="2" t="s">
        <v>17</v>
      </c>
      <c r="Q1516" s="2" t="s">
        <v>18</v>
      </c>
      <c r="R1516" s="2">
        <v>40</v>
      </c>
      <c r="S1516" s="20">
        <f>Table1[[#This Row],[Net_revenue]]/Table1[[#This Row],[Gross_revenue]]*100%</f>
        <v>0.875</v>
      </c>
      <c r="T1516" s="18">
        <f>COUNTIFS(Table1[Customer ID], "&gt;1", Table1[Customer ID], 1)</f>
        <v>0</v>
      </c>
    </row>
    <row r="1517" spans="1:20" hidden="1" x14ac:dyDescent="0.3">
      <c r="A1517" s="2" t="s">
        <v>2203</v>
      </c>
      <c r="B1517" s="5">
        <v>45787</v>
      </c>
      <c r="C1517" s="5" t="str">
        <f>TEXT(B1517,"mmm")</f>
        <v>May</v>
      </c>
      <c r="D1517" s="2" t="s">
        <v>2204</v>
      </c>
      <c r="E1517" s="2" t="s">
        <v>195</v>
      </c>
      <c r="F1517" s="2" t="str" cm="1">
        <f t="array" ref="F15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17" s="2" t="str" cm="1">
        <f t="array" ref="G15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17" s="2" t="s">
        <v>33</v>
      </c>
      <c r="I1517" s="2" t="s">
        <v>16</v>
      </c>
      <c r="J1517" s="2">
        <v>1</v>
      </c>
      <c r="K1517" s="8">
        <v>899</v>
      </c>
      <c r="L1517" s="3">
        <v>0.2</v>
      </c>
      <c r="M1517" s="12">
        <f>K1517*L1517</f>
        <v>179.8</v>
      </c>
      <c r="N1517" s="12">
        <f>K1517*J1517</f>
        <v>899</v>
      </c>
      <c r="O1517" s="12">
        <f>N1517-M1517</f>
        <v>719.2</v>
      </c>
      <c r="P1517" s="2" t="s">
        <v>30</v>
      </c>
      <c r="Q1517" s="2" t="s">
        <v>18</v>
      </c>
      <c r="R1517" s="2">
        <v>40</v>
      </c>
      <c r="S1517" s="20">
        <f>Table1[[#This Row],[Net_revenue]]/Table1[[#This Row],[Gross_revenue]]*100%</f>
        <v>0.8</v>
      </c>
      <c r="T1517" s="18">
        <f>COUNTIFS(Table1[Customer ID], "&gt;1", Table1[Customer ID], 1)</f>
        <v>0</v>
      </c>
    </row>
    <row r="1518" spans="1:20" hidden="1" x14ac:dyDescent="0.3">
      <c r="A1518" s="2" t="s">
        <v>2205</v>
      </c>
      <c r="B1518" s="5">
        <v>45885</v>
      </c>
      <c r="C1518" s="5" t="str">
        <f>TEXT(B1518,"mmm")</f>
        <v>Aug</v>
      </c>
      <c r="D1518" s="2" t="s">
        <v>146</v>
      </c>
      <c r="E1518" s="2" t="s">
        <v>40</v>
      </c>
      <c r="F1518" s="2" t="str" cm="1">
        <f t="array" ref="F15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18" s="2" t="str" cm="1">
        <f t="array" ref="G15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18" s="2" t="s">
        <v>15</v>
      </c>
      <c r="I1518" s="2" t="s">
        <v>16</v>
      </c>
      <c r="J1518" s="2">
        <v>2</v>
      </c>
      <c r="K1518" s="8">
        <v>1799</v>
      </c>
      <c r="L1518" s="3">
        <v>0.25</v>
      </c>
      <c r="M1518" s="12">
        <f>K1518*L1518</f>
        <v>449.75</v>
      </c>
      <c r="N1518" s="12">
        <f>K1518*J1518</f>
        <v>3598</v>
      </c>
      <c r="O1518" s="12">
        <f>N1518-M1518</f>
        <v>3148.25</v>
      </c>
      <c r="P1518" s="2" t="s">
        <v>17</v>
      </c>
      <c r="Q1518" s="2" t="s">
        <v>18</v>
      </c>
      <c r="R1518" s="2">
        <v>0</v>
      </c>
      <c r="S1518" s="20">
        <f>Table1[[#This Row],[Net_revenue]]/Table1[[#This Row],[Gross_revenue]]*100%</f>
        <v>0.875</v>
      </c>
      <c r="T1518" s="18">
        <f>COUNTIFS(Table1[Customer ID], "&gt;1", Table1[Customer ID], 1)</f>
        <v>0</v>
      </c>
    </row>
    <row r="1519" spans="1:20" hidden="1" x14ac:dyDescent="0.3">
      <c r="A1519" s="2" t="s">
        <v>2206</v>
      </c>
      <c r="B1519" s="5">
        <v>45723</v>
      </c>
      <c r="C1519" s="5" t="str">
        <f>TEXT(B1519,"mmm")</f>
        <v>Mar</v>
      </c>
      <c r="D1519" s="2" t="s">
        <v>1563</v>
      </c>
      <c r="E1519" s="2" t="s">
        <v>21</v>
      </c>
      <c r="F1519" s="2" t="str" cm="1">
        <f t="array" ref="F15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19" s="2" t="str" cm="1">
        <f t="array" ref="G15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19" s="2" t="s">
        <v>68</v>
      </c>
      <c r="I1519" s="2" t="s">
        <v>16</v>
      </c>
      <c r="J1519" s="2">
        <v>4</v>
      </c>
      <c r="K1519" s="8">
        <v>599</v>
      </c>
      <c r="L1519" s="3">
        <v>0.2</v>
      </c>
      <c r="M1519" s="12">
        <f>K1519*L1519</f>
        <v>119.80000000000001</v>
      </c>
      <c r="N1519" s="12">
        <f>K1519*J1519</f>
        <v>2396</v>
      </c>
      <c r="O1519" s="12">
        <f>N1519-M1519</f>
        <v>2276.1999999999998</v>
      </c>
      <c r="P1519" s="2" t="s">
        <v>45</v>
      </c>
      <c r="Q1519" s="2" t="s">
        <v>50</v>
      </c>
      <c r="R1519" s="2">
        <v>60</v>
      </c>
      <c r="S1519" s="20">
        <f>Table1[[#This Row],[Net_revenue]]/Table1[[#This Row],[Gross_revenue]]*100%</f>
        <v>0.95</v>
      </c>
      <c r="T1519" s="18">
        <f>COUNTIFS(Table1[Customer ID], "&gt;1", Table1[Customer ID], 1)</f>
        <v>0</v>
      </c>
    </row>
    <row r="1520" spans="1:20" hidden="1" x14ac:dyDescent="0.3">
      <c r="A1520" s="2" t="s">
        <v>2207</v>
      </c>
      <c r="B1520" s="5">
        <v>45745</v>
      </c>
      <c r="C1520" s="5" t="str">
        <f>TEXT(B1520,"mmm")</f>
        <v>Mar</v>
      </c>
      <c r="D1520" s="2" t="s">
        <v>1304</v>
      </c>
      <c r="E1520" s="2" t="s">
        <v>40</v>
      </c>
      <c r="F1520" s="2" t="str" cm="1">
        <f t="array" ref="F15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20" s="2" t="str" cm="1">
        <f t="array" ref="G15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20" s="2" t="s">
        <v>217</v>
      </c>
      <c r="I1520" s="2" t="s">
        <v>29</v>
      </c>
      <c r="J1520" s="2">
        <v>1</v>
      </c>
      <c r="K1520" s="8">
        <v>3299</v>
      </c>
      <c r="L1520" s="3">
        <v>0.15</v>
      </c>
      <c r="M1520" s="12">
        <f>K1520*L1520</f>
        <v>494.84999999999997</v>
      </c>
      <c r="N1520" s="12">
        <f>K1520*J1520</f>
        <v>3299</v>
      </c>
      <c r="O1520" s="12">
        <f>N1520-M1520</f>
        <v>2804.15</v>
      </c>
      <c r="P1520" s="2" t="s">
        <v>24</v>
      </c>
      <c r="Q1520" s="2" t="s">
        <v>18</v>
      </c>
      <c r="R1520" s="2">
        <v>40</v>
      </c>
      <c r="S1520" s="20">
        <f>Table1[[#This Row],[Net_revenue]]/Table1[[#This Row],[Gross_revenue]]*100%</f>
        <v>0.85</v>
      </c>
      <c r="T1520" s="18">
        <f>COUNTIFS(Table1[Customer ID], "&gt;1", Table1[Customer ID], 1)</f>
        <v>0</v>
      </c>
    </row>
    <row r="1521" spans="1:20" hidden="1" x14ac:dyDescent="0.3">
      <c r="A1521" s="2" t="s">
        <v>2208</v>
      </c>
      <c r="B1521" s="5">
        <v>45883</v>
      </c>
      <c r="C1521" s="5" t="str">
        <f>TEXT(B1521,"mmm")</f>
        <v>Aug</v>
      </c>
      <c r="D1521" s="2" t="s">
        <v>653</v>
      </c>
      <c r="E1521" s="2" t="s">
        <v>48</v>
      </c>
      <c r="F1521" s="2" t="str" cm="1">
        <f t="array" ref="F15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21" s="2" t="str" cm="1">
        <f t="array" ref="G15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21" s="2" t="s">
        <v>71</v>
      </c>
      <c r="I1521" s="2" t="s">
        <v>29</v>
      </c>
      <c r="J1521" s="2">
        <v>2</v>
      </c>
      <c r="K1521" s="8">
        <v>5499</v>
      </c>
      <c r="L1521" s="3">
        <v>0.15</v>
      </c>
      <c r="M1521" s="12">
        <f>K1521*L1521</f>
        <v>824.85</v>
      </c>
      <c r="N1521" s="12">
        <f>K1521*J1521</f>
        <v>10998</v>
      </c>
      <c r="O1521" s="12">
        <f>N1521-M1521</f>
        <v>10173.15</v>
      </c>
      <c r="P1521" s="2" t="s">
        <v>17</v>
      </c>
      <c r="Q1521" s="2" t="s">
        <v>18</v>
      </c>
      <c r="R1521" s="2">
        <v>60</v>
      </c>
      <c r="S1521" s="20">
        <f>Table1[[#This Row],[Net_revenue]]/Table1[[#This Row],[Gross_revenue]]*100%</f>
        <v>0.92499999999999993</v>
      </c>
      <c r="T1521" s="18">
        <f>COUNTIFS(Table1[Customer ID], "&gt;1", Table1[Customer ID], 1)</f>
        <v>0</v>
      </c>
    </row>
    <row r="1522" spans="1:20" hidden="1" x14ac:dyDescent="0.3">
      <c r="A1522" s="2" t="s">
        <v>2209</v>
      </c>
      <c r="B1522" s="5">
        <v>45834</v>
      </c>
      <c r="C1522" s="5" t="str">
        <f>TEXT(B1522,"mmm")</f>
        <v>Jun</v>
      </c>
      <c r="D1522" s="2" t="s">
        <v>976</v>
      </c>
      <c r="E1522" s="2" t="s">
        <v>48</v>
      </c>
      <c r="F1522" s="2" t="str" cm="1">
        <f t="array" ref="F15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22" s="2" t="str" cm="1">
        <f t="array" ref="G15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22" s="2" t="s">
        <v>22</v>
      </c>
      <c r="I1522" s="2" t="s">
        <v>23</v>
      </c>
      <c r="J1522" s="2">
        <v>1</v>
      </c>
      <c r="K1522" s="8">
        <v>3999</v>
      </c>
      <c r="L1522" s="3">
        <v>0.25</v>
      </c>
      <c r="M1522" s="12">
        <f>K1522*L1522</f>
        <v>999.75</v>
      </c>
      <c r="N1522" s="12">
        <f>K1522*J1522</f>
        <v>3999</v>
      </c>
      <c r="O1522" s="12">
        <f>N1522-M1522</f>
        <v>2999.25</v>
      </c>
      <c r="P1522" s="2" t="s">
        <v>24</v>
      </c>
      <c r="Q1522" s="2" t="s">
        <v>18</v>
      </c>
      <c r="R1522" s="2">
        <v>0</v>
      </c>
      <c r="S1522" s="20">
        <f>Table1[[#This Row],[Net_revenue]]/Table1[[#This Row],[Gross_revenue]]*100%</f>
        <v>0.75</v>
      </c>
      <c r="T1522" s="18">
        <f>COUNTIFS(Table1[Customer ID], "&gt;1", Table1[Customer ID], 1)</f>
        <v>0</v>
      </c>
    </row>
    <row r="1523" spans="1:20" hidden="1" x14ac:dyDescent="0.3">
      <c r="A1523" s="2" t="s">
        <v>2210</v>
      </c>
      <c r="B1523" s="5">
        <v>45936</v>
      </c>
      <c r="C1523" s="5" t="str">
        <f>TEXT(B1523,"mmm")</f>
        <v>Oct</v>
      </c>
      <c r="D1523" s="2" t="s">
        <v>886</v>
      </c>
      <c r="E1523" s="2" t="s">
        <v>195</v>
      </c>
      <c r="F1523" s="2" t="str" cm="1">
        <f t="array" ref="F15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23" s="2" t="str" cm="1">
        <f t="array" ref="G15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23" s="2" t="s">
        <v>44</v>
      </c>
      <c r="I1523" s="2" t="s">
        <v>16</v>
      </c>
      <c r="J1523" s="2">
        <v>5</v>
      </c>
      <c r="K1523" s="8">
        <v>1599</v>
      </c>
      <c r="L1523" s="3">
        <v>0.25</v>
      </c>
      <c r="M1523" s="12">
        <f>K1523*L1523</f>
        <v>399.75</v>
      </c>
      <c r="N1523" s="12">
        <f>K1523*J1523</f>
        <v>7995</v>
      </c>
      <c r="O1523" s="12">
        <f>N1523-M1523</f>
        <v>7595.25</v>
      </c>
      <c r="P1523" s="2" t="s">
        <v>24</v>
      </c>
      <c r="Q1523" s="2" t="s">
        <v>50</v>
      </c>
      <c r="R1523" s="2">
        <v>40</v>
      </c>
      <c r="S1523" s="20">
        <f>Table1[[#This Row],[Net_revenue]]/Table1[[#This Row],[Gross_revenue]]*100%</f>
        <v>0.95</v>
      </c>
      <c r="T1523" s="18">
        <f>COUNTIFS(Table1[Customer ID], "&gt;1", Table1[Customer ID], 1)</f>
        <v>0</v>
      </c>
    </row>
    <row r="1524" spans="1:20" hidden="1" x14ac:dyDescent="0.3">
      <c r="A1524" s="2" t="s">
        <v>2211</v>
      </c>
      <c r="B1524" s="5">
        <v>45880</v>
      </c>
      <c r="C1524" s="5" t="str">
        <f>TEXT(B1524,"mmm")</f>
        <v>Aug</v>
      </c>
      <c r="D1524" s="2" t="s">
        <v>789</v>
      </c>
      <c r="E1524" s="2" t="s">
        <v>21</v>
      </c>
      <c r="F1524" s="2" t="str" cm="1">
        <f t="array" ref="F15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24" s="2" t="str" cm="1">
        <f t="array" ref="G15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24" s="2" t="s">
        <v>183</v>
      </c>
      <c r="I1524" s="2" t="s">
        <v>37</v>
      </c>
      <c r="J1524" s="2">
        <v>4</v>
      </c>
      <c r="K1524" s="8">
        <v>499</v>
      </c>
      <c r="L1524" s="3">
        <v>0.15</v>
      </c>
      <c r="M1524" s="12">
        <f>K1524*L1524</f>
        <v>74.849999999999994</v>
      </c>
      <c r="N1524" s="12">
        <f>K1524*J1524</f>
        <v>1996</v>
      </c>
      <c r="O1524" s="12">
        <f>N1524-M1524</f>
        <v>1921.15</v>
      </c>
      <c r="P1524" s="2" t="s">
        <v>45</v>
      </c>
      <c r="Q1524" s="2" t="s">
        <v>18</v>
      </c>
      <c r="R1524" s="2">
        <v>80</v>
      </c>
      <c r="S1524" s="20">
        <f>Table1[[#This Row],[Net_revenue]]/Table1[[#This Row],[Gross_revenue]]*100%</f>
        <v>0.96250000000000002</v>
      </c>
      <c r="T1524" s="18">
        <f>COUNTIFS(Table1[Customer ID], "&gt;1", Table1[Customer ID], 1)</f>
        <v>0</v>
      </c>
    </row>
    <row r="1525" spans="1:20" hidden="1" x14ac:dyDescent="0.3">
      <c r="A1525" s="2" t="s">
        <v>2212</v>
      </c>
      <c r="B1525" s="5">
        <v>45681</v>
      </c>
      <c r="C1525" s="5" t="str">
        <f>TEXT(B1525,"mmm")</f>
        <v>Jan</v>
      </c>
      <c r="D1525" s="2" t="s">
        <v>1077</v>
      </c>
      <c r="E1525" s="2" t="s">
        <v>40</v>
      </c>
      <c r="F1525" s="2" t="str" cm="1">
        <f t="array" ref="F15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25" s="2" t="str" cm="1">
        <f t="array" ref="G15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25" s="2" t="s">
        <v>49</v>
      </c>
      <c r="I1525" s="2" t="s">
        <v>23</v>
      </c>
      <c r="J1525" s="2">
        <v>3</v>
      </c>
      <c r="K1525" s="8">
        <v>1299</v>
      </c>
      <c r="L1525" s="3">
        <v>0.25</v>
      </c>
      <c r="M1525" s="12">
        <f>K1525*L1525</f>
        <v>324.75</v>
      </c>
      <c r="N1525" s="12">
        <f>K1525*J1525</f>
        <v>3897</v>
      </c>
      <c r="O1525" s="12">
        <f>N1525-M1525</f>
        <v>3572.25</v>
      </c>
      <c r="P1525" s="2" t="s">
        <v>45</v>
      </c>
      <c r="Q1525" s="2" t="s">
        <v>18</v>
      </c>
      <c r="R1525" s="2">
        <v>60</v>
      </c>
      <c r="S1525" s="20">
        <f>Table1[[#This Row],[Net_revenue]]/Table1[[#This Row],[Gross_revenue]]*100%</f>
        <v>0.91666666666666663</v>
      </c>
      <c r="T1525" s="18">
        <f>COUNTIFS(Table1[Customer ID], "&gt;1", Table1[Customer ID], 1)</f>
        <v>0</v>
      </c>
    </row>
    <row r="1526" spans="1:20" hidden="1" x14ac:dyDescent="0.3">
      <c r="A1526" s="2" t="s">
        <v>2213</v>
      </c>
      <c r="B1526" s="5">
        <v>45819</v>
      </c>
      <c r="C1526" s="5" t="str">
        <f>TEXT(B1526,"mmm")</f>
        <v>Jun</v>
      </c>
      <c r="D1526" s="2" t="s">
        <v>970</v>
      </c>
      <c r="E1526" s="2" t="s">
        <v>27</v>
      </c>
      <c r="F1526" s="2" t="str" cm="1">
        <f t="array" ref="F15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26" s="2" t="str" cm="1">
        <f t="array" ref="G15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26" s="2" t="s">
        <v>117</v>
      </c>
      <c r="I1526" s="2" t="s">
        <v>23</v>
      </c>
      <c r="J1526" s="2">
        <v>1</v>
      </c>
      <c r="K1526" s="8">
        <v>2199</v>
      </c>
      <c r="L1526" s="3">
        <v>0</v>
      </c>
      <c r="M1526" s="12">
        <f>K1526*L1526</f>
        <v>0</v>
      </c>
      <c r="N1526" s="12">
        <f>K1526*J1526</f>
        <v>2199</v>
      </c>
      <c r="O1526" s="12">
        <f>N1526-M1526</f>
        <v>2199</v>
      </c>
      <c r="P1526" s="2" t="s">
        <v>30</v>
      </c>
      <c r="Q1526" s="2" t="s">
        <v>18</v>
      </c>
      <c r="R1526" s="2">
        <v>40</v>
      </c>
      <c r="S1526" s="20">
        <f>Table1[[#This Row],[Net_revenue]]/Table1[[#This Row],[Gross_revenue]]*100%</f>
        <v>1</v>
      </c>
      <c r="T1526" s="18">
        <f>COUNTIFS(Table1[Customer ID], "&gt;1", Table1[Customer ID], 1)</f>
        <v>0</v>
      </c>
    </row>
    <row r="1527" spans="1:20" hidden="1" x14ac:dyDescent="0.3">
      <c r="A1527" s="2" t="s">
        <v>2214</v>
      </c>
      <c r="B1527" s="5">
        <v>45965</v>
      </c>
      <c r="C1527" s="5" t="str">
        <f>TEXT(B1527,"mmm")</f>
        <v>Nov</v>
      </c>
      <c r="D1527" s="2" t="s">
        <v>1015</v>
      </c>
      <c r="E1527" s="2" t="s">
        <v>75</v>
      </c>
      <c r="F1527" s="2" t="str" cm="1">
        <f t="array" ref="F15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527" s="2" t="str" cm="1">
        <f t="array" ref="G15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27" s="2" t="s">
        <v>36</v>
      </c>
      <c r="I1527" s="2" t="s">
        <v>37</v>
      </c>
      <c r="J1527" s="2">
        <v>3</v>
      </c>
      <c r="K1527" s="8">
        <v>349</v>
      </c>
      <c r="L1527" s="3">
        <v>0</v>
      </c>
      <c r="M1527" s="12">
        <f>K1527*L1527</f>
        <v>0</v>
      </c>
      <c r="N1527" s="12">
        <f>K1527*J1527</f>
        <v>1047</v>
      </c>
      <c r="O1527" s="12">
        <f>N1527-M1527</f>
        <v>1047</v>
      </c>
      <c r="P1527" s="2" t="s">
        <v>24</v>
      </c>
      <c r="Q1527" s="2" t="s">
        <v>18</v>
      </c>
      <c r="R1527" s="2">
        <v>60</v>
      </c>
      <c r="S1527" s="20">
        <f>Table1[[#This Row],[Net_revenue]]/Table1[[#This Row],[Gross_revenue]]*100%</f>
        <v>1</v>
      </c>
      <c r="T1527" s="18">
        <f>COUNTIFS(Table1[Customer ID], "&gt;1", Table1[Customer ID], 1)</f>
        <v>0</v>
      </c>
    </row>
    <row r="1528" spans="1:20" hidden="1" x14ac:dyDescent="0.3">
      <c r="A1528" s="2" t="s">
        <v>2215</v>
      </c>
      <c r="B1528" s="5">
        <v>45952</v>
      </c>
      <c r="C1528" s="5" t="str">
        <f>TEXT(B1528,"mmm")</f>
        <v>Oct</v>
      </c>
      <c r="D1528" s="2" t="s">
        <v>1946</v>
      </c>
      <c r="E1528" s="2" t="s">
        <v>27</v>
      </c>
      <c r="F1528" s="2" t="str" cm="1">
        <f t="array" ref="F15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28" s="2" t="str" cm="1">
        <f t="array" ref="G15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28" s="2" t="s">
        <v>89</v>
      </c>
      <c r="I1528" s="2" t="s">
        <v>29</v>
      </c>
      <c r="J1528" s="2">
        <v>2</v>
      </c>
      <c r="K1528" s="8">
        <v>449</v>
      </c>
      <c r="L1528" s="3">
        <v>0</v>
      </c>
      <c r="M1528" s="12">
        <f>K1528*L1528</f>
        <v>0</v>
      </c>
      <c r="N1528" s="12">
        <f>K1528*J1528</f>
        <v>898</v>
      </c>
      <c r="O1528" s="12">
        <f>N1528-M1528</f>
        <v>898</v>
      </c>
      <c r="P1528" s="2" t="s">
        <v>45</v>
      </c>
      <c r="Q1528" s="2" t="s">
        <v>18</v>
      </c>
      <c r="R1528" s="2">
        <v>0</v>
      </c>
      <c r="S1528" s="20">
        <f>Table1[[#This Row],[Net_revenue]]/Table1[[#This Row],[Gross_revenue]]*100%</f>
        <v>1</v>
      </c>
      <c r="T1528" s="18">
        <f>COUNTIFS(Table1[Customer ID], "&gt;1", Table1[Customer ID], 1)</f>
        <v>0</v>
      </c>
    </row>
    <row r="1529" spans="1:20" hidden="1" x14ac:dyDescent="0.3">
      <c r="A1529" s="2" t="s">
        <v>2216</v>
      </c>
      <c r="B1529" s="5">
        <v>45881</v>
      </c>
      <c r="C1529" s="5" t="str">
        <f>TEXT(B1529,"mmm")</f>
        <v>Aug</v>
      </c>
      <c r="D1529" s="2" t="s">
        <v>1479</v>
      </c>
      <c r="E1529" s="2" t="s">
        <v>40</v>
      </c>
      <c r="F1529" s="2" t="str" cm="1">
        <f t="array" ref="F15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29" s="2" t="str" cm="1">
        <f t="array" ref="G15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29" s="2" t="s">
        <v>217</v>
      </c>
      <c r="I1529" s="2" t="s">
        <v>29</v>
      </c>
      <c r="J1529" s="2">
        <v>1</v>
      </c>
      <c r="K1529" s="8">
        <v>3299</v>
      </c>
      <c r="L1529" s="3">
        <v>0</v>
      </c>
      <c r="M1529" s="12">
        <f>K1529*L1529</f>
        <v>0</v>
      </c>
      <c r="N1529" s="12">
        <f>K1529*J1529</f>
        <v>3299</v>
      </c>
      <c r="O1529" s="12">
        <f>N1529-M1529</f>
        <v>3299</v>
      </c>
      <c r="P1529" s="2" t="s">
        <v>45</v>
      </c>
      <c r="Q1529" s="2" t="s">
        <v>18</v>
      </c>
      <c r="R1529" s="2">
        <v>0</v>
      </c>
      <c r="S1529" s="20">
        <f>Table1[[#This Row],[Net_revenue]]/Table1[[#This Row],[Gross_revenue]]*100%</f>
        <v>1</v>
      </c>
      <c r="T1529" s="18">
        <f>COUNTIFS(Table1[Customer ID], "&gt;1", Table1[Customer ID], 1)</f>
        <v>0</v>
      </c>
    </row>
    <row r="1530" spans="1:20" hidden="1" x14ac:dyDescent="0.3">
      <c r="A1530" s="2" t="s">
        <v>2217</v>
      </c>
      <c r="B1530" s="5">
        <v>45974</v>
      </c>
      <c r="C1530" s="5" t="str">
        <f>TEXT(B1530,"mmm")</f>
        <v>Nov</v>
      </c>
      <c r="D1530" s="2" t="s">
        <v>428</v>
      </c>
      <c r="E1530" s="2" t="s">
        <v>40</v>
      </c>
      <c r="F1530" s="2" t="str" cm="1">
        <f t="array" ref="F15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30" s="2" t="str" cm="1">
        <f t="array" ref="G15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30" s="2" t="s">
        <v>41</v>
      </c>
      <c r="I1530" s="2" t="s">
        <v>16</v>
      </c>
      <c r="J1530" s="2">
        <v>1</v>
      </c>
      <c r="K1530" s="8">
        <v>2299</v>
      </c>
      <c r="L1530" s="3">
        <v>0.1</v>
      </c>
      <c r="M1530" s="12">
        <f>K1530*L1530</f>
        <v>229.9</v>
      </c>
      <c r="N1530" s="12">
        <f>K1530*J1530</f>
        <v>2299</v>
      </c>
      <c r="O1530" s="12">
        <f>N1530-M1530</f>
        <v>2069.1</v>
      </c>
      <c r="P1530" s="2" t="s">
        <v>45</v>
      </c>
      <c r="Q1530" s="2" t="s">
        <v>18</v>
      </c>
      <c r="R1530" s="2">
        <v>60</v>
      </c>
      <c r="S1530" s="20">
        <f>Table1[[#This Row],[Net_revenue]]/Table1[[#This Row],[Gross_revenue]]*100%</f>
        <v>0.89999999999999991</v>
      </c>
      <c r="T1530" s="18">
        <f>COUNTIFS(Table1[Customer ID], "&gt;1", Table1[Customer ID], 1)</f>
        <v>0</v>
      </c>
    </row>
    <row r="1531" spans="1:20" hidden="1" x14ac:dyDescent="0.3">
      <c r="A1531" s="2" t="s">
        <v>2218</v>
      </c>
      <c r="B1531" s="5">
        <v>45940</v>
      </c>
      <c r="C1531" s="5" t="str">
        <f>TEXT(B1531,"mmm")</f>
        <v>Oct</v>
      </c>
      <c r="D1531" s="2" t="s">
        <v>974</v>
      </c>
      <c r="E1531" s="2" t="s">
        <v>56</v>
      </c>
      <c r="F1531" s="2" t="str" cm="1">
        <f t="array" ref="F15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31" s="2" t="str" cm="1">
        <f t="array" ref="G15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31" s="2" t="s">
        <v>117</v>
      </c>
      <c r="I1531" s="2" t="s">
        <v>23</v>
      </c>
      <c r="J1531" s="2">
        <v>2</v>
      </c>
      <c r="K1531" s="8">
        <v>2199</v>
      </c>
      <c r="L1531" s="3">
        <v>0.2</v>
      </c>
      <c r="M1531" s="12">
        <f>K1531*L1531</f>
        <v>439.8</v>
      </c>
      <c r="N1531" s="12">
        <f>K1531*J1531</f>
        <v>4398</v>
      </c>
      <c r="O1531" s="12">
        <f>N1531-M1531</f>
        <v>3958.2</v>
      </c>
      <c r="P1531" s="2" t="s">
        <v>17</v>
      </c>
      <c r="Q1531" s="2" t="s">
        <v>18</v>
      </c>
      <c r="R1531" s="2">
        <v>60</v>
      </c>
      <c r="S1531" s="20">
        <f>Table1[[#This Row],[Net_revenue]]/Table1[[#This Row],[Gross_revenue]]*100%</f>
        <v>0.89999999999999991</v>
      </c>
      <c r="T1531" s="18">
        <f>COUNTIFS(Table1[Customer ID], "&gt;1", Table1[Customer ID], 1)</f>
        <v>0</v>
      </c>
    </row>
    <row r="1532" spans="1:20" hidden="1" x14ac:dyDescent="0.3">
      <c r="A1532" s="2" t="s">
        <v>2219</v>
      </c>
      <c r="B1532" s="5">
        <v>45706</v>
      </c>
      <c r="C1532" s="5" t="str">
        <f>TEXT(B1532,"mmm")</f>
        <v>Feb</v>
      </c>
      <c r="D1532" s="2" t="s">
        <v>321</v>
      </c>
      <c r="E1532" s="2" t="s">
        <v>21</v>
      </c>
      <c r="F1532" s="2" t="str" cm="1">
        <f t="array" ref="F15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32" s="2" t="str" cm="1">
        <f t="array" ref="G15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32" s="2" t="s">
        <v>134</v>
      </c>
      <c r="I1532" s="2" t="s">
        <v>29</v>
      </c>
      <c r="J1532" s="2">
        <v>2</v>
      </c>
      <c r="K1532" s="8">
        <v>1499</v>
      </c>
      <c r="L1532" s="3">
        <v>0.25</v>
      </c>
      <c r="M1532" s="12">
        <f>K1532*L1532</f>
        <v>374.75</v>
      </c>
      <c r="N1532" s="12">
        <f>K1532*J1532</f>
        <v>2998</v>
      </c>
      <c r="O1532" s="12">
        <f>N1532-M1532</f>
        <v>2623.25</v>
      </c>
      <c r="P1532" s="2" t="s">
        <v>17</v>
      </c>
      <c r="Q1532" s="2" t="s">
        <v>18</v>
      </c>
      <c r="R1532" s="2">
        <v>80</v>
      </c>
      <c r="S1532" s="20">
        <f>Table1[[#This Row],[Net_revenue]]/Table1[[#This Row],[Gross_revenue]]*100%</f>
        <v>0.875</v>
      </c>
      <c r="T1532" s="18">
        <f>COUNTIFS(Table1[Customer ID], "&gt;1", Table1[Customer ID], 1)</f>
        <v>0</v>
      </c>
    </row>
    <row r="1533" spans="1:20" hidden="1" x14ac:dyDescent="0.3">
      <c r="A1533" s="2" t="s">
        <v>2220</v>
      </c>
      <c r="B1533" s="5">
        <v>45808</v>
      </c>
      <c r="C1533" s="5" t="str">
        <f>TEXT(B1533,"mmm")</f>
        <v>May</v>
      </c>
      <c r="D1533" s="2" t="s">
        <v>773</v>
      </c>
      <c r="E1533" s="2" t="s">
        <v>75</v>
      </c>
      <c r="F1533" s="2" t="str" cm="1">
        <f t="array" ref="F15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533" s="2" t="str" cm="1">
        <f t="array" ref="G15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33" s="2" t="s">
        <v>121</v>
      </c>
      <c r="I1533" s="2" t="s">
        <v>95</v>
      </c>
      <c r="J1533" s="2">
        <v>2</v>
      </c>
      <c r="K1533" s="8">
        <v>1299</v>
      </c>
      <c r="L1533" s="3">
        <v>0.25</v>
      </c>
      <c r="M1533" s="12">
        <f>K1533*L1533</f>
        <v>324.75</v>
      </c>
      <c r="N1533" s="12">
        <f>K1533*J1533</f>
        <v>2598</v>
      </c>
      <c r="O1533" s="12">
        <f>N1533-M1533</f>
        <v>2273.25</v>
      </c>
      <c r="P1533" s="2" t="s">
        <v>30</v>
      </c>
      <c r="Q1533" s="2" t="s">
        <v>18</v>
      </c>
      <c r="R1533" s="2">
        <v>0</v>
      </c>
      <c r="S1533" s="20">
        <f>Table1[[#This Row],[Net_revenue]]/Table1[[#This Row],[Gross_revenue]]*100%</f>
        <v>0.875</v>
      </c>
      <c r="T1533" s="18">
        <f>COUNTIFS(Table1[Customer ID], "&gt;1", Table1[Customer ID], 1)</f>
        <v>0</v>
      </c>
    </row>
    <row r="1534" spans="1:20" hidden="1" x14ac:dyDescent="0.3">
      <c r="A1534" s="2" t="s">
        <v>2221</v>
      </c>
      <c r="B1534" s="5">
        <v>45935</v>
      </c>
      <c r="C1534" s="5" t="str">
        <f>TEXT(B1534,"mmm")</f>
        <v>Oct</v>
      </c>
      <c r="D1534" s="2" t="s">
        <v>385</v>
      </c>
      <c r="E1534" s="2" t="s">
        <v>195</v>
      </c>
      <c r="F1534" s="2" t="str" cm="1">
        <f t="array" ref="F15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34" s="2" t="str" cm="1">
        <f t="array" ref="G15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34" s="2" t="s">
        <v>89</v>
      </c>
      <c r="I1534" s="2" t="s">
        <v>29</v>
      </c>
      <c r="J1534" s="2">
        <v>1</v>
      </c>
      <c r="K1534" s="8">
        <v>449</v>
      </c>
      <c r="L1534" s="3">
        <v>0</v>
      </c>
      <c r="M1534" s="12">
        <f>K1534*L1534</f>
        <v>0</v>
      </c>
      <c r="N1534" s="12">
        <f>K1534*J1534</f>
        <v>449</v>
      </c>
      <c r="O1534" s="12">
        <f>N1534-M1534</f>
        <v>449</v>
      </c>
      <c r="P1534" s="2" t="s">
        <v>45</v>
      </c>
      <c r="Q1534" s="2" t="s">
        <v>18</v>
      </c>
      <c r="R1534" s="2">
        <v>60</v>
      </c>
      <c r="S1534" s="20">
        <f>Table1[[#This Row],[Net_revenue]]/Table1[[#This Row],[Gross_revenue]]*100%</f>
        <v>1</v>
      </c>
      <c r="T1534" s="18">
        <f>COUNTIFS(Table1[Customer ID], "&gt;1", Table1[Customer ID], 1)</f>
        <v>0</v>
      </c>
    </row>
    <row r="1535" spans="1:20" hidden="1" x14ac:dyDescent="0.3">
      <c r="A1535" s="2" t="s">
        <v>2222</v>
      </c>
      <c r="B1535" s="5">
        <v>45659</v>
      </c>
      <c r="C1535" s="5" t="str">
        <f>TEXT(B1535,"mmm")</f>
        <v>Jan</v>
      </c>
      <c r="D1535" s="2" t="s">
        <v>685</v>
      </c>
      <c r="E1535" s="2" t="s">
        <v>53</v>
      </c>
      <c r="F1535" s="2" t="str" cm="1">
        <f t="array" ref="F15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535" s="2" t="str" cm="1">
        <f t="array" ref="G15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35" s="2" t="s">
        <v>98</v>
      </c>
      <c r="I1535" s="2" t="s">
        <v>37</v>
      </c>
      <c r="J1535" s="2">
        <v>1</v>
      </c>
      <c r="K1535" s="8">
        <v>299</v>
      </c>
      <c r="L1535" s="3">
        <v>0</v>
      </c>
      <c r="M1535" s="12">
        <f>K1535*L1535</f>
        <v>0</v>
      </c>
      <c r="N1535" s="12">
        <f>K1535*J1535</f>
        <v>299</v>
      </c>
      <c r="O1535" s="12">
        <f>N1535-M1535</f>
        <v>299</v>
      </c>
      <c r="P1535" s="2" t="s">
        <v>45</v>
      </c>
      <c r="Q1535" s="2" t="s">
        <v>18</v>
      </c>
      <c r="R1535" s="2">
        <v>40</v>
      </c>
      <c r="S1535" s="20">
        <f>Table1[[#This Row],[Net_revenue]]/Table1[[#This Row],[Gross_revenue]]*100%</f>
        <v>1</v>
      </c>
      <c r="T1535" s="18">
        <f>COUNTIFS(Table1[Customer ID], "&gt;1", Table1[Customer ID], 1)</f>
        <v>0</v>
      </c>
    </row>
    <row r="1536" spans="1:20" hidden="1" x14ac:dyDescent="0.3">
      <c r="A1536" s="2" t="s">
        <v>2223</v>
      </c>
      <c r="B1536" s="5">
        <v>45903</v>
      </c>
      <c r="C1536" s="5" t="str">
        <f>TEXT(B1536,"mmm")</f>
        <v>Sep</v>
      </c>
      <c r="D1536" s="2" t="s">
        <v>670</v>
      </c>
      <c r="E1536" s="2" t="s">
        <v>27</v>
      </c>
      <c r="F1536" s="2" t="str" cm="1">
        <f t="array" ref="F15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36" s="2" t="str" cm="1">
        <f t="array" ref="G15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36" s="2" t="s">
        <v>15</v>
      </c>
      <c r="I1536" s="2" t="s">
        <v>16</v>
      </c>
      <c r="J1536" s="2">
        <v>1</v>
      </c>
      <c r="K1536" s="8">
        <v>1799</v>
      </c>
      <c r="L1536" s="3">
        <v>0.05</v>
      </c>
      <c r="M1536" s="12">
        <f>K1536*L1536</f>
        <v>89.95</v>
      </c>
      <c r="N1536" s="12">
        <f>K1536*J1536</f>
        <v>1799</v>
      </c>
      <c r="O1536" s="12">
        <f>N1536-M1536</f>
        <v>1709.05</v>
      </c>
      <c r="P1536" s="2" t="s">
        <v>17</v>
      </c>
      <c r="Q1536" s="2" t="s">
        <v>50</v>
      </c>
      <c r="R1536" s="2">
        <v>60</v>
      </c>
      <c r="S1536" s="20">
        <f>Table1[[#This Row],[Net_revenue]]/Table1[[#This Row],[Gross_revenue]]*100%</f>
        <v>0.95</v>
      </c>
      <c r="T1536" s="18">
        <f>COUNTIFS(Table1[Customer ID], "&gt;1", Table1[Customer ID], 1)</f>
        <v>0</v>
      </c>
    </row>
    <row r="1537" spans="1:20" hidden="1" x14ac:dyDescent="0.3">
      <c r="A1537" s="2" t="s">
        <v>2224</v>
      </c>
      <c r="B1537" s="5">
        <v>45673</v>
      </c>
      <c r="C1537" s="5" t="str">
        <f>TEXT(B1537,"mmm")</f>
        <v>Jan</v>
      </c>
      <c r="D1537" s="2" t="s">
        <v>1029</v>
      </c>
      <c r="E1537" s="2" t="s">
        <v>40</v>
      </c>
      <c r="F1537" s="2" t="str" cm="1">
        <f t="array" ref="F15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37" s="2" t="str" cm="1">
        <f t="array" ref="G15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37" s="2" t="s">
        <v>41</v>
      </c>
      <c r="I1537" s="2" t="s">
        <v>16</v>
      </c>
      <c r="J1537" s="2">
        <v>2</v>
      </c>
      <c r="K1537" s="8">
        <v>2299</v>
      </c>
      <c r="L1537" s="3">
        <v>0.1</v>
      </c>
      <c r="M1537" s="12">
        <f>K1537*L1537</f>
        <v>229.9</v>
      </c>
      <c r="N1537" s="12">
        <f>K1537*J1537</f>
        <v>4598</v>
      </c>
      <c r="O1537" s="12">
        <f>N1537-M1537</f>
        <v>4368.1000000000004</v>
      </c>
      <c r="P1537" s="2" t="s">
        <v>45</v>
      </c>
      <c r="Q1537" s="2" t="s">
        <v>18</v>
      </c>
      <c r="R1537" s="2">
        <v>40</v>
      </c>
      <c r="S1537" s="20">
        <f>Table1[[#This Row],[Net_revenue]]/Table1[[#This Row],[Gross_revenue]]*100%</f>
        <v>0.95000000000000007</v>
      </c>
      <c r="T1537" s="18">
        <f>COUNTIFS(Table1[Customer ID], "&gt;1", Table1[Customer ID], 1)</f>
        <v>0</v>
      </c>
    </row>
    <row r="1538" spans="1:20" hidden="1" x14ac:dyDescent="0.3">
      <c r="A1538" s="2" t="s">
        <v>2225</v>
      </c>
      <c r="B1538" s="5">
        <v>45925</v>
      </c>
      <c r="C1538" s="5" t="str">
        <f>TEXT(B1538,"mmm")</f>
        <v>Sep</v>
      </c>
      <c r="D1538" s="2" t="s">
        <v>998</v>
      </c>
      <c r="E1538" s="2" t="s">
        <v>27</v>
      </c>
      <c r="F1538" s="2" t="str" cm="1">
        <f t="array" ref="F15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38" s="2" t="str" cm="1">
        <f t="array" ref="G15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38" s="2" t="s">
        <v>33</v>
      </c>
      <c r="I1538" s="2" t="s">
        <v>16</v>
      </c>
      <c r="J1538" s="2">
        <v>1</v>
      </c>
      <c r="K1538" s="8">
        <v>899</v>
      </c>
      <c r="L1538" s="3">
        <v>0.15</v>
      </c>
      <c r="M1538" s="12">
        <f>K1538*L1538</f>
        <v>134.85</v>
      </c>
      <c r="N1538" s="12">
        <f>K1538*J1538</f>
        <v>899</v>
      </c>
      <c r="O1538" s="12">
        <f>N1538-M1538</f>
        <v>764.15</v>
      </c>
      <c r="P1538" s="2" t="s">
        <v>30</v>
      </c>
      <c r="Q1538" s="2" t="s">
        <v>50</v>
      </c>
      <c r="R1538" s="2">
        <v>80</v>
      </c>
      <c r="S1538" s="20">
        <f>Table1[[#This Row],[Net_revenue]]/Table1[[#This Row],[Gross_revenue]]*100%</f>
        <v>0.85</v>
      </c>
      <c r="T1538" s="18">
        <f>COUNTIFS(Table1[Customer ID], "&gt;1", Table1[Customer ID], 1)</f>
        <v>0</v>
      </c>
    </row>
    <row r="1539" spans="1:20" hidden="1" x14ac:dyDescent="0.3">
      <c r="A1539" s="2" t="s">
        <v>2226</v>
      </c>
      <c r="B1539" s="5">
        <v>45724</v>
      </c>
      <c r="C1539" s="5" t="str">
        <f>TEXT(B1539,"mmm")</f>
        <v>Mar</v>
      </c>
      <c r="D1539" s="2" t="s">
        <v>1728</v>
      </c>
      <c r="E1539" s="2" t="s">
        <v>27</v>
      </c>
      <c r="F1539" s="2" t="str" cm="1">
        <f t="array" ref="F15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39" s="2" t="str" cm="1">
        <f t="array" ref="G15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39" s="2" t="s">
        <v>121</v>
      </c>
      <c r="I1539" s="2" t="s">
        <v>95</v>
      </c>
      <c r="J1539" s="2">
        <v>1</v>
      </c>
      <c r="K1539" s="8">
        <v>1299</v>
      </c>
      <c r="L1539" s="3">
        <v>0.1</v>
      </c>
      <c r="M1539" s="12">
        <f>K1539*L1539</f>
        <v>129.9</v>
      </c>
      <c r="N1539" s="12">
        <f>K1539*J1539</f>
        <v>1299</v>
      </c>
      <c r="O1539" s="12">
        <f>N1539-M1539</f>
        <v>1169.0999999999999</v>
      </c>
      <c r="P1539" s="2" t="s">
        <v>45</v>
      </c>
      <c r="Q1539" s="2" t="s">
        <v>18</v>
      </c>
      <c r="R1539" s="2">
        <v>60</v>
      </c>
      <c r="S1539" s="20">
        <f>Table1[[#This Row],[Net_revenue]]/Table1[[#This Row],[Gross_revenue]]*100%</f>
        <v>0.89999999999999991</v>
      </c>
      <c r="T1539" s="18">
        <f>COUNTIFS(Table1[Customer ID], "&gt;1", Table1[Customer ID], 1)</f>
        <v>0</v>
      </c>
    </row>
    <row r="1540" spans="1:20" hidden="1" x14ac:dyDescent="0.3">
      <c r="A1540" s="2" t="s">
        <v>2227</v>
      </c>
      <c r="B1540" s="5">
        <v>45776</v>
      </c>
      <c r="C1540" s="5" t="str">
        <f>TEXT(B1540,"mmm")</f>
        <v>Apr</v>
      </c>
      <c r="D1540" s="2" t="s">
        <v>1378</v>
      </c>
      <c r="E1540" s="2" t="s">
        <v>40</v>
      </c>
      <c r="F1540" s="2" t="str" cm="1">
        <f t="array" ref="F15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40" s="2" t="str" cm="1">
        <f t="array" ref="G15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40" s="2" t="s">
        <v>71</v>
      </c>
      <c r="I1540" s="2" t="s">
        <v>29</v>
      </c>
      <c r="J1540" s="2">
        <v>3</v>
      </c>
      <c r="K1540" s="8">
        <v>5499</v>
      </c>
      <c r="L1540" s="3">
        <v>0</v>
      </c>
      <c r="M1540" s="12">
        <f>K1540*L1540</f>
        <v>0</v>
      </c>
      <c r="N1540" s="12">
        <f>K1540*J1540</f>
        <v>16497</v>
      </c>
      <c r="O1540" s="12">
        <f>N1540-M1540</f>
        <v>16497</v>
      </c>
      <c r="P1540" s="2" t="s">
        <v>45</v>
      </c>
      <c r="Q1540" s="2" t="s">
        <v>18</v>
      </c>
      <c r="R1540" s="2">
        <v>80</v>
      </c>
      <c r="S1540" s="20">
        <f>Table1[[#This Row],[Net_revenue]]/Table1[[#This Row],[Gross_revenue]]*100%</f>
        <v>1</v>
      </c>
      <c r="T1540" s="18">
        <f>COUNTIFS(Table1[Customer ID], "&gt;1", Table1[Customer ID], 1)</f>
        <v>0</v>
      </c>
    </row>
    <row r="1541" spans="1:20" hidden="1" x14ac:dyDescent="0.3">
      <c r="A1541" s="2" t="s">
        <v>2228</v>
      </c>
      <c r="B1541" s="5">
        <v>45741</v>
      </c>
      <c r="C1541" s="5" t="str">
        <f>TEXT(B1541,"mmm")</f>
        <v>Mar</v>
      </c>
      <c r="D1541" s="2" t="s">
        <v>2120</v>
      </c>
      <c r="E1541" s="2" t="s">
        <v>21</v>
      </c>
      <c r="F1541" s="2" t="str" cm="1">
        <f t="array" ref="F15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41" s="2" t="str" cm="1">
        <f t="array" ref="G15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41" s="2" t="s">
        <v>68</v>
      </c>
      <c r="I1541" s="2" t="s">
        <v>16</v>
      </c>
      <c r="J1541" s="2">
        <v>2</v>
      </c>
      <c r="K1541" s="8">
        <v>599</v>
      </c>
      <c r="L1541" s="3">
        <v>0.1</v>
      </c>
      <c r="M1541" s="12">
        <f>K1541*L1541</f>
        <v>59.900000000000006</v>
      </c>
      <c r="N1541" s="12">
        <f>K1541*J1541</f>
        <v>1198</v>
      </c>
      <c r="O1541" s="12">
        <f>N1541-M1541</f>
        <v>1138.0999999999999</v>
      </c>
      <c r="P1541" s="2" t="s">
        <v>17</v>
      </c>
      <c r="Q1541" s="2" t="s">
        <v>18</v>
      </c>
      <c r="R1541" s="2">
        <v>0</v>
      </c>
      <c r="S1541" s="20">
        <f>Table1[[#This Row],[Net_revenue]]/Table1[[#This Row],[Gross_revenue]]*100%</f>
        <v>0.95</v>
      </c>
      <c r="T1541" s="18">
        <f>COUNTIFS(Table1[Customer ID], "&gt;1", Table1[Customer ID], 1)</f>
        <v>0</v>
      </c>
    </row>
    <row r="1542" spans="1:20" hidden="1" x14ac:dyDescent="0.3">
      <c r="A1542" s="2" t="s">
        <v>2229</v>
      </c>
      <c r="B1542" s="5">
        <v>45683</v>
      </c>
      <c r="C1542" s="5" t="str">
        <f>TEXT(B1542,"mmm")</f>
        <v>Jan</v>
      </c>
      <c r="D1542" s="2" t="s">
        <v>2230</v>
      </c>
      <c r="E1542" s="2" t="s">
        <v>40</v>
      </c>
      <c r="F1542" s="2" t="str" cm="1">
        <f t="array" ref="F15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42" s="2" t="str" cm="1">
        <f t="array" ref="G15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42" s="2" t="s">
        <v>183</v>
      </c>
      <c r="I1542" s="2" t="s">
        <v>37</v>
      </c>
      <c r="J1542" s="2">
        <v>2</v>
      </c>
      <c r="K1542" s="8">
        <v>499</v>
      </c>
      <c r="L1542" s="3">
        <v>0.15</v>
      </c>
      <c r="M1542" s="12">
        <f>K1542*L1542</f>
        <v>74.849999999999994</v>
      </c>
      <c r="N1542" s="12">
        <f>K1542*J1542</f>
        <v>998</v>
      </c>
      <c r="O1542" s="12">
        <f>N1542-M1542</f>
        <v>923.15</v>
      </c>
      <c r="P1542" s="2" t="s">
        <v>45</v>
      </c>
      <c r="Q1542" s="2" t="s">
        <v>18</v>
      </c>
      <c r="R1542" s="2">
        <v>40</v>
      </c>
      <c r="S1542" s="20">
        <f>Table1[[#This Row],[Net_revenue]]/Table1[[#This Row],[Gross_revenue]]*100%</f>
        <v>0.92499999999999993</v>
      </c>
      <c r="T1542" s="18">
        <f>COUNTIFS(Table1[Customer ID], "&gt;1", Table1[Customer ID], 1)</f>
        <v>0</v>
      </c>
    </row>
    <row r="1543" spans="1:20" hidden="1" x14ac:dyDescent="0.3">
      <c r="A1543" s="2" t="s">
        <v>2231</v>
      </c>
      <c r="B1543" s="5">
        <v>45720</v>
      </c>
      <c r="C1543" s="5" t="str">
        <f>TEXT(B1543,"mmm")</f>
        <v>Mar</v>
      </c>
      <c r="D1543" s="2" t="s">
        <v>1337</v>
      </c>
      <c r="E1543" s="2" t="s">
        <v>53</v>
      </c>
      <c r="F1543" s="2" t="str" cm="1">
        <f t="array" ref="F15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543" s="2" t="str" cm="1">
        <f t="array" ref="G15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43" s="2" t="s">
        <v>44</v>
      </c>
      <c r="I1543" s="2" t="s">
        <v>16</v>
      </c>
      <c r="J1543" s="2">
        <v>1</v>
      </c>
      <c r="K1543" s="8">
        <v>1599</v>
      </c>
      <c r="L1543" s="3">
        <v>0.05</v>
      </c>
      <c r="M1543" s="12">
        <f>K1543*L1543</f>
        <v>79.95</v>
      </c>
      <c r="N1543" s="12">
        <f>K1543*J1543</f>
        <v>1599</v>
      </c>
      <c r="O1543" s="12">
        <f>N1543-M1543</f>
        <v>1519.05</v>
      </c>
      <c r="P1543" s="2" t="s">
        <v>45</v>
      </c>
      <c r="Q1543" s="2" t="s">
        <v>18</v>
      </c>
      <c r="R1543" s="2">
        <v>0</v>
      </c>
      <c r="S1543" s="20">
        <f>Table1[[#This Row],[Net_revenue]]/Table1[[#This Row],[Gross_revenue]]*100%</f>
        <v>0.95</v>
      </c>
      <c r="T1543" s="18">
        <f>COUNTIFS(Table1[Customer ID], "&gt;1", Table1[Customer ID], 1)</f>
        <v>0</v>
      </c>
    </row>
    <row r="1544" spans="1:20" hidden="1" x14ac:dyDescent="0.3">
      <c r="A1544" s="2" t="s">
        <v>2232</v>
      </c>
      <c r="B1544" s="5">
        <v>45708</v>
      </c>
      <c r="C1544" s="5" t="str">
        <f>TEXT(B1544,"mmm")</f>
        <v>Feb</v>
      </c>
      <c r="D1544" s="2" t="s">
        <v>759</v>
      </c>
      <c r="E1544" s="2" t="s">
        <v>120</v>
      </c>
      <c r="F1544" s="2" t="str" cm="1">
        <f t="array" ref="F15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44" s="2" t="str" cm="1">
        <f t="array" ref="G15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44" s="2" t="s">
        <v>65</v>
      </c>
      <c r="I1544" s="2" t="s">
        <v>23</v>
      </c>
      <c r="J1544" s="2">
        <v>1</v>
      </c>
      <c r="K1544" s="8">
        <v>1899</v>
      </c>
      <c r="L1544" s="3">
        <v>0.1</v>
      </c>
      <c r="M1544" s="12">
        <f>K1544*L1544</f>
        <v>189.9</v>
      </c>
      <c r="N1544" s="12">
        <f>K1544*J1544</f>
        <v>1899</v>
      </c>
      <c r="O1544" s="12">
        <f>N1544-M1544</f>
        <v>1709.1</v>
      </c>
      <c r="P1544" s="2" t="s">
        <v>45</v>
      </c>
      <c r="Q1544" s="2" t="s">
        <v>18</v>
      </c>
      <c r="R1544" s="2">
        <v>80</v>
      </c>
      <c r="S1544" s="20">
        <f>Table1[[#This Row],[Net_revenue]]/Table1[[#This Row],[Gross_revenue]]*100%</f>
        <v>0.89999999999999991</v>
      </c>
      <c r="T1544" s="18">
        <f>COUNTIFS(Table1[Customer ID], "&gt;1", Table1[Customer ID], 1)</f>
        <v>0</v>
      </c>
    </row>
    <row r="1545" spans="1:20" hidden="1" x14ac:dyDescent="0.3">
      <c r="A1545" s="2" t="s">
        <v>2233</v>
      </c>
      <c r="B1545" s="5">
        <v>45739</v>
      </c>
      <c r="C1545" s="5" t="str">
        <f>TEXT(B1545,"mmm")</f>
        <v>Mar</v>
      </c>
      <c r="D1545" s="2" t="s">
        <v>160</v>
      </c>
      <c r="E1545" s="2" t="s">
        <v>40</v>
      </c>
      <c r="F1545" s="2" t="str" cm="1">
        <f t="array" ref="F15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45" s="2" t="str" cm="1">
        <f t="array" ref="G15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45" s="2" t="s">
        <v>33</v>
      </c>
      <c r="I1545" s="2" t="s">
        <v>16</v>
      </c>
      <c r="J1545" s="2">
        <v>1</v>
      </c>
      <c r="K1545" s="8">
        <v>899</v>
      </c>
      <c r="L1545" s="3">
        <v>0.05</v>
      </c>
      <c r="M1545" s="12">
        <f>K1545*L1545</f>
        <v>44.95</v>
      </c>
      <c r="N1545" s="12">
        <f>K1545*J1545</f>
        <v>899</v>
      </c>
      <c r="O1545" s="12">
        <f>N1545-M1545</f>
        <v>854.05</v>
      </c>
      <c r="P1545" s="2" t="s">
        <v>45</v>
      </c>
      <c r="Q1545" s="2" t="s">
        <v>50</v>
      </c>
      <c r="R1545" s="2">
        <v>60</v>
      </c>
      <c r="S1545" s="20">
        <f>Table1[[#This Row],[Net_revenue]]/Table1[[#This Row],[Gross_revenue]]*100%</f>
        <v>0.95</v>
      </c>
      <c r="T1545" s="18">
        <f>COUNTIFS(Table1[Customer ID], "&gt;1", Table1[Customer ID], 1)</f>
        <v>0</v>
      </c>
    </row>
    <row r="1546" spans="1:20" hidden="1" x14ac:dyDescent="0.3">
      <c r="A1546" s="2" t="s">
        <v>2234</v>
      </c>
      <c r="B1546" s="5">
        <v>45850</v>
      </c>
      <c r="C1546" s="5" t="str">
        <f>TEXT(B1546,"mmm")</f>
        <v>Jul</v>
      </c>
      <c r="D1546" s="2" t="s">
        <v>2235</v>
      </c>
      <c r="E1546" s="2" t="s">
        <v>21</v>
      </c>
      <c r="F1546" s="2" t="str" cm="1">
        <f t="array" ref="F15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46" s="2" t="str" cm="1">
        <f t="array" ref="G15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46" s="2" t="s">
        <v>117</v>
      </c>
      <c r="I1546" s="2" t="s">
        <v>23</v>
      </c>
      <c r="J1546" s="2">
        <v>1</v>
      </c>
      <c r="K1546" s="8">
        <v>2199</v>
      </c>
      <c r="L1546" s="3">
        <v>0.2</v>
      </c>
      <c r="M1546" s="12">
        <f>K1546*L1546</f>
        <v>439.8</v>
      </c>
      <c r="N1546" s="12">
        <f>K1546*J1546</f>
        <v>2199</v>
      </c>
      <c r="O1546" s="12">
        <f>N1546-M1546</f>
        <v>1759.2</v>
      </c>
      <c r="P1546" s="2" t="s">
        <v>17</v>
      </c>
      <c r="Q1546" s="2" t="s">
        <v>18</v>
      </c>
      <c r="R1546" s="2">
        <v>80</v>
      </c>
      <c r="S1546" s="20">
        <f>Table1[[#This Row],[Net_revenue]]/Table1[[#This Row],[Gross_revenue]]*100%</f>
        <v>0.8</v>
      </c>
      <c r="T1546" s="18">
        <f>COUNTIFS(Table1[Customer ID], "&gt;1", Table1[Customer ID], 1)</f>
        <v>0</v>
      </c>
    </row>
    <row r="1547" spans="1:20" hidden="1" x14ac:dyDescent="0.3">
      <c r="A1547" s="2" t="s">
        <v>2236</v>
      </c>
      <c r="B1547" s="5">
        <v>45987</v>
      </c>
      <c r="C1547" s="5" t="str">
        <f>TEXT(B1547,"mmm")</f>
        <v>Nov</v>
      </c>
      <c r="D1547" s="2" t="s">
        <v>35</v>
      </c>
      <c r="E1547" s="2" t="s">
        <v>48</v>
      </c>
      <c r="F1547" s="2" t="str" cm="1">
        <f t="array" ref="F15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47" s="2" t="str" cm="1">
        <f t="array" ref="G15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47" s="2" t="s">
        <v>41</v>
      </c>
      <c r="I1547" s="2" t="s">
        <v>16</v>
      </c>
      <c r="J1547" s="2">
        <v>2</v>
      </c>
      <c r="K1547" s="8">
        <v>2299</v>
      </c>
      <c r="L1547" s="3">
        <v>0.25</v>
      </c>
      <c r="M1547" s="12">
        <f>K1547*L1547</f>
        <v>574.75</v>
      </c>
      <c r="N1547" s="12">
        <f>K1547*J1547</f>
        <v>4598</v>
      </c>
      <c r="O1547" s="12">
        <f>N1547-M1547</f>
        <v>4023.25</v>
      </c>
      <c r="P1547" s="2" t="s">
        <v>17</v>
      </c>
      <c r="Q1547" s="2" t="s">
        <v>50</v>
      </c>
      <c r="R1547" s="2">
        <v>0</v>
      </c>
      <c r="S1547" s="20">
        <f>Table1[[#This Row],[Net_revenue]]/Table1[[#This Row],[Gross_revenue]]*100%</f>
        <v>0.875</v>
      </c>
      <c r="T1547" s="18">
        <f>COUNTIFS(Table1[Customer ID], "&gt;1", Table1[Customer ID], 1)</f>
        <v>0</v>
      </c>
    </row>
    <row r="1548" spans="1:20" hidden="1" x14ac:dyDescent="0.3">
      <c r="A1548" s="2" t="s">
        <v>2237</v>
      </c>
      <c r="B1548" s="5">
        <v>45803</v>
      </c>
      <c r="C1548" s="5" t="str">
        <f>TEXT(B1548,"mmm")</f>
        <v>May</v>
      </c>
      <c r="D1548" s="2" t="s">
        <v>572</v>
      </c>
      <c r="E1548" s="2" t="s">
        <v>75</v>
      </c>
      <c r="F1548" s="2" t="str" cm="1">
        <f t="array" ref="F15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548" s="2" t="str" cm="1">
        <f t="array" ref="G15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48" s="2" t="s">
        <v>65</v>
      </c>
      <c r="I1548" s="2" t="s">
        <v>23</v>
      </c>
      <c r="J1548" s="2">
        <v>2</v>
      </c>
      <c r="K1548" s="8">
        <v>1899</v>
      </c>
      <c r="L1548" s="3">
        <v>0.05</v>
      </c>
      <c r="M1548" s="12">
        <f>K1548*L1548</f>
        <v>94.95</v>
      </c>
      <c r="N1548" s="12">
        <f>K1548*J1548</f>
        <v>3798</v>
      </c>
      <c r="O1548" s="12">
        <f>N1548-M1548</f>
        <v>3703.05</v>
      </c>
      <c r="P1548" s="2" t="s">
        <v>17</v>
      </c>
      <c r="Q1548" s="2" t="s">
        <v>18</v>
      </c>
      <c r="R1548" s="2">
        <v>40</v>
      </c>
      <c r="S1548" s="20">
        <f>Table1[[#This Row],[Net_revenue]]/Table1[[#This Row],[Gross_revenue]]*100%</f>
        <v>0.97500000000000009</v>
      </c>
      <c r="T1548" s="18">
        <f>COUNTIFS(Table1[Customer ID], "&gt;1", Table1[Customer ID], 1)</f>
        <v>0</v>
      </c>
    </row>
    <row r="1549" spans="1:20" hidden="1" x14ac:dyDescent="0.3">
      <c r="A1549" s="2" t="s">
        <v>2238</v>
      </c>
      <c r="B1549" s="5">
        <v>45716</v>
      </c>
      <c r="C1549" s="5" t="str">
        <f>TEXT(B1549,"mmm")</f>
        <v>Feb</v>
      </c>
      <c r="D1549" s="2" t="s">
        <v>2143</v>
      </c>
      <c r="E1549" s="2" t="s">
        <v>195</v>
      </c>
      <c r="F1549" s="2" t="str" cm="1">
        <f t="array" ref="F15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49" s="2" t="str" cm="1">
        <f t="array" ref="G15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49" s="2" t="s">
        <v>188</v>
      </c>
      <c r="I1549" s="2" t="s">
        <v>95</v>
      </c>
      <c r="J1549" s="2">
        <v>1</v>
      </c>
      <c r="K1549" s="8">
        <v>699</v>
      </c>
      <c r="L1549" s="3">
        <v>0</v>
      </c>
      <c r="M1549" s="12">
        <f>K1549*L1549</f>
        <v>0</v>
      </c>
      <c r="N1549" s="12">
        <f>K1549*J1549</f>
        <v>699</v>
      </c>
      <c r="O1549" s="12">
        <f>N1549-M1549</f>
        <v>699</v>
      </c>
      <c r="P1549" s="2" t="s">
        <v>24</v>
      </c>
      <c r="Q1549" s="2" t="s">
        <v>18</v>
      </c>
      <c r="R1549" s="2">
        <v>60</v>
      </c>
      <c r="S1549" s="20">
        <f>Table1[[#This Row],[Net_revenue]]/Table1[[#This Row],[Gross_revenue]]*100%</f>
        <v>1</v>
      </c>
      <c r="T1549" s="18">
        <f>COUNTIFS(Table1[Customer ID], "&gt;1", Table1[Customer ID], 1)</f>
        <v>0</v>
      </c>
    </row>
    <row r="1550" spans="1:20" hidden="1" x14ac:dyDescent="0.3">
      <c r="A1550" s="2" t="s">
        <v>2239</v>
      </c>
      <c r="B1550" s="5">
        <v>45735</v>
      </c>
      <c r="C1550" s="5" t="str">
        <f>TEXT(B1550,"mmm")</f>
        <v>Mar</v>
      </c>
      <c r="D1550" s="2" t="s">
        <v>399</v>
      </c>
      <c r="E1550" s="2" t="s">
        <v>56</v>
      </c>
      <c r="F1550" s="2" t="str" cm="1">
        <f t="array" ref="F15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50" s="2" t="str" cm="1">
        <f t="array" ref="G15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50" s="2" t="s">
        <v>68</v>
      </c>
      <c r="I1550" s="2" t="s">
        <v>16</v>
      </c>
      <c r="J1550" s="2">
        <v>1</v>
      </c>
      <c r="K1550" s="8">
        <v>599</v>
      </c>
      <c r="L1550" s="3">
        <v>0.1</v>
      </c>
      <c r="M1550" s="12">
        <f>K1550*L1550</f>
        <v>59.900000000000006</v>
      </c>
      <c r="N1550" s="12">
        <f>K1550*J1550</f>
        <v>599</v>
      </c>
      <c r="O1550" s="12">
        <f>N1550-M1550</f>
        <v>539.1</v>
      </c>
      <c r="P1550" s="2" t="s">
        <v>45</v>
      </c>
      <c r="Q1550" s="2" t="s">
        <v>18</v>
      </c>
      <c r="R1550" s="2">
        <v>60</v>
      </c>
      <c r="S1550" s="20">
        <f>Table1[[#This Row],[Net_revenue]]/Table1[[#This Row],[Gross_revenue]]*100%</f>
        <v>0.9</v>
      </c>
      <c r="T1550" s="18">
        <f>COUNTIFS(Table1[Customer ID], "&gt;1", Table1[Customer ID], 1)</f>
        <v>0</v>
      </c>
    </row>
    <row r="1551" spans="1:20" hidden="1" x14ac:dyDescent="0.3">
      <c r="A1551" s="2" t="s">
        <v>2240</v>
      </c>
      <c r="B1551" s="5">
        <v>45840</v>
      </c>
      <c r="C1551" s="5" t="str">
        <f>TEXT(B1551,"mmm")</f>
        <v>Jul</v>
      </c>
      <c r="D1551" s="2" t="s">
        <v>1485</v>
      </c>
      <c r="E1551" s="2" t="s">
        <v>120</v>
      </c>
      <c r="F1551" s="2" t="str" cm="1">
        <f t="array" ref="F15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51" s="2" t="str" cm="1">
        <f t="array" ref="G15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51" s="2" t="s">
        <v>36</v>
      </c>
      <c r="I1551" s="2" t="s">
        <v>37</v>
      </c>
      <c r="J1551" s="2">
        <v>2</v>
      </c>
      <c r="K1551" s="8">
        <v>349</v>
      </c>
      <c r="L1551" s="3">
        <v>0.05</v>
      </c>
      <c r="M1551" s="12">
        <f>K1551*L1551</f>
        <v>17.45</v>
      </c>
      <c r="N1551" s="12">
        <f>K1551*J1551</f>
        <v>698</v>
      </c>
      <c r="O1551" s="12">
        <f>N1551-M1551</f>
        <v>680.55</v>
      </c>
      <c r="P1551" s="2" t="s">
        <v>45</v>
      </c>
      <c r="Q1551" s="2" t="s">
        <v>18</v>
      </c>
      <c r="R1551" s="2">
        <v>0</v>
      </c>
      <c r="S1551" s="20">
        <f>Table1[[#This Row],[Net_revenue]]/Table1[[#This Row],[Gross_revenue]]*100%</f>
        <v>0.97499999999999998</v>
      </c>
      <c r="T1551" s="18">
        <f>COUNTIFS(Table1[Customer ID], "&gt;1", Table1[Customer ID], 1)</f>
        <v>0</v>
      </c>
    </row>
    <row r="1552" spans="1:20" hidden="1" x14ac:dyDescent="0.3">
      <c r="A1552" s="2" t="s">
        <v>2241</v>
      </c>
      <c r="B1552" s="5">
        <v>45748</v>
      </c>
      <c r="C1552" s="5" t="str">
        <f>TEXT(B1552,"mmm")</f>
        <v>Apr</v>
      </c>
      <c r="D1552" s="2" t="s">
        <v>2242</v>
      </c>
      <c r="E1552" s="2" t="s">
        <v>48</v>
      </c>
      <c r="F1552" s="2" t="str" cm="1">
        <f t="array" ref="F15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52" s="2" t="str" cm="1">
        <f t="array" ref="G15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52" s="2" t="s">
        <v>36</v>
      </c>
      <c r="I1552" s="2" t="s">
        <v>37</v>
      </c>
      <c r="J1552" s="2">
        <v>2</v>
      </c>
      <c r="K1552" s="8">
        <v>349</v>
      </c>
      <c r="L1552" s="3">
        <v>0.1</v>
      </c>
      <c r="M1552" s="12">
        <f>K1552*L1552</f>
        <v>34.9</v>
      </c>
      <c r="N1552" s="12">
        <f>K1552*J1552</f>
        <v>698</v>
      </c>
      <c r="O1552" s="12">
        <f>N1552-M1552</f>
        <v>663.1</v>
      </c>
      <c r="P1552" s="2" t="s">
        <v>45</v>
      </c>
      <c r="Q1552" s="2" t="s">
        <v>18</v>
      </c>
      <c r="R1552" s="2">
        <v>40</v>
      </c>
      <c r="S1552" s="20">
        <f>Table1[[#This Row],[Net_revenue]]/Table1[[#This Row],[Gross_revenue]]*100%</f>
        <v>0.95000000000000007</v>
      </c>
      <c r="T1552" s="18">
        <f>COUNTIFS(Table1[Customer ID], "&gt;1", Table1[Customer ID], 1)</f>
        <v>0</v>
      </c>
    </row>
    <row r="1553" spans="1:20" hidden="1" x14ac:dyDescent="0.3">
      <c r="A1553" s="2" t="s">
        <v>2243</v>
      </c>
      <c r="B1553" s="5">
        <v>45782</v>
      </c>
      <c r="C1553" s="5" t="str">
        <f>TEXT(B1553,"mmm")</f>
        <v>May</v>
      </c>
      <c r="D1553" s="2" t="s">
        <v>791</v>
      </c>
      <c r="E1553" s="2" t="s">
        <v>40</v>
      </c>
      <c r="F1553" s="2" t="str" cm="1">
        <f t="array" ref="F15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53" s="2" t="str" cm="1">
        <f t="array" ref="G15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53" s="2" t="s">
        <v>68</v>
      </c>
      <c r="I1553" s="2" t="s">
        <v>16</v>
      </c>
      <c r="J1553" s="2">
        <v>1</v>
      </c>
      <c r="K1553" s="8">
        <v>599</v>
      </c>
      <c r="L1553" s="3">
        <v>0.1</v>
      </c>
      <c r="M1553" s="12">
        <f>K1553*L1553</f>
        <v>59.900000000000006</v>
      </c>
      <c r="N1553" s="12">
        <f>K1553*J1553</f>
        <v>599</v>
      </c>
      <c r="O1553" s="12">
        <f>N1553-M1553</f>
        <v>539.1</v>
      </c>
      <c r="P1553" s="2" t="s">
        <v>17</v>
      </c>
      <c r="Q1553" s="2" t="s">
        <v>18</v>
      </c>
      <c r="R1553" s="2">
        <v>80</v>
      </c>
      <c r="S1553" s="20">
        <f>Table1[[#This Row],[Net_revenue]]/Table1[[#This Row],[Gross_revenue]]*100%</f>
        <v>0.9</v>
      </c>
      <c r="T1553" s="18">
        <f>COUNTIFS(Table1[Customer ID], "&gt;1", Table1[Customer ID], 1)</f>
        <v>0</v>
      </c>
    </row>
    <row r="1554" spans="1:20" hidden="1" x14ac:dyDescent="0.3">
      <c r="A1554" s="2" t="s">
        <v>2244</v>
      </c>
      <c r="B1554" s="5">
        <v>45763</v>
      </c>
      <c r="C1554" s="5" t="str">
        <f>TEXT(B1554,"mmm")</f>
        <v>Apr</v>
      </c>
      <c r="D1554" s="2" t="s">
        <v>1721</v>
      </c>
      <c r="E1554" s="2" t="s">
        <v>56</v>
      </c>
      <c r="F1554" s="2" t="str" cm="1">
        <f t="array" ref="F15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54" s="2" t="str" cm="1">
        <f t="array" ref="G15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54" s="2" t="s">
        <v>22</v>
      </c>
      <c r="I1554" s="2" t="s">
        <v>23</v>
      </c>
      <c r="J1554" s="2">
        <v>1</v>
      </c>
      <c r="K1554" s="8">
        <v>3999</v>
      </c>
      <c r="L1554" s="3">
        <v>0.1</v>
      </c>
      <c r="M1554" s="12">
        <f>K1554*L1554</f>
        <v>399.90000000000003</v>
      </c>
      <c r="N1554" s="12">
        <f>K1554*J1554</f>
        <v>3999</v>
      </c>
      <c r="O1554" s="12">
        <f>N1554-M1554</f>
        <v>3599.1</v>
      </c>
      <c r="P1554" s="2" t="s">
        <v>30</v>
      </c>
      <c r="Q1554" s="2" t="s">
        <v>18</v>
      </c>
      <c r="R1554" s="2">
        <v>40</v>
      </c>
      <c r="S1554" s="20">
        <f>Table1[[#This Row],[Net_revenue]]/Table1[[#This Row],[Gross_revenue]]*100%</f>
        <v>0.9</v>
      </c>
      <c r="T1554" s="18">
        <f>COUNTIFS(Table1[Customer ID], "&gt;1", Table1[Customer ID], 1)</f>
        <v>0</v>
      </c>
    </row>
    <row r="1555" spans="1:20" hidden="1" x14ac:dyDescent="0.3">
      <c r="A1555" s="2" t="s">
        <v>2245</v>
      </c>
      <c r="B1555" s="5">
        <v>45713</v>
      </c>
      <c r="C1555" s="5" t="str">
        <f>TEXT(B1555,"mmm")</f>
        <v>Feb</v>
      </c>
      <c r="D1555" s="2" t="s">
        <v>1222</v>
      </c>
      <c r="E1555" s="2" t="s">
        <v>195</v>
      </c>
      <c r="F1555" s="2" t="str" cm="1">
        <f t="array" ref="F15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55" s="2" t="str" cm="1">
        <f t="array" ref="G15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55" s="2" t="s">
        <v>15</v>
      </c>
      <c r="I1555" s="2" t="s">
        <v>16</v>
      </c>
      <c r="J1555" s="2">
        <v>2</v>
      </c>
      <c r="K1555" s="8">
        <v>1799</v>
      </c>
      <c r="L1555" s="3">
        <v>0.1</v>
      </c>
      <c r="M1555" s="12">
        <f>K1555*L1555</f>
        <v>179.9</v>
      </c>
      <c r="N1555" s="12">
        <f>K1555*J1555</f>
        <v>3598</v>
      </c>
      <c r="O1555" s="12">
        <f>N1555-M1555</f>
        <v>3418.1</v>
      </c>
      <c r="P1555" s="2" t="s">
        <v>30</v>
      </c>
      <c r="Q1555" s="2" t="s">
        <v>18</v>
      </c>
      <c r="R1555" s="2">
        <v>0</v>
      </c>
      <c r="S1555" s="20">
        <f>Table1[[#This Row],[Net_revenue]]/Table1[[#This Row],[Gross_revenue]]*100%</f>
        <v>0.95</v>
      </c>
      <c r="T1555" s="18">
        <f>COUNTIFS(Table1[Customer ID], "&gt;1", Table1[Customer ID], 1)</f>
        <v>0</v>
      </c>
    </row>
    <row r="1556" spans="1:20" hidden="1" x14ac:dyDescent="0.3">
      <c r="A1556" s="2" t="s">
        <v>2246</v>
      </c>
      <c r="B1556" s="5">
        <v>45909</v>
      </c>
      <c r="C1556" s="5" t="str">
        <f>TEXT(B1556,"mmm")</f>
        <v>Sep</v>
      </c>
      <c r="D1556" s="2" t="s">
        <v>164</v>
      </c>
      <c r="E1556" s="2" t="s">
        <v>40</v>
      </c>
      <c r="F1556" s="2" t="str" cm="1">
        <f t="array" ref="F15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56" s="2" t="str" cm="1">
        <f t="array" ref="G15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56" s="2" t="s">
        <v>71</v>
      </c>
      <c r="I1556" s="2" t="s">
        <v>29</v>
      </c>
      <c r="J1556" s="2">
        <v>1</v>
      </c>
      <c r="K1556" s="8">
        <v>5499</v>
      </c>
      <c r="L1556" s="3">
        <v>0.25</v>
      </c>
      <c r="M1556" s="12">
        <f>K1556*L1556</f>
        <v>1374.75</v>
      </c>
      <c r="N1556" s="12">
        <f>K1556*J1556</f>
        <v>5499</v>
      </c>
      <c r="O1556" s="12">
        <f>N1556-M1556</f>
        <v>4124.25</v>
      </c>
      <c r="P1556" s="2" t="s">
        <v>17</v>
      </c>
      <c r="Q1556" s="2" t="s">
        <v>18</v>
      </c>
      <c r="R1556" s="2">
        <v>40</v>
      </c>
      <c r="S1556" s="20">
        <f>Table1[[#This Row],[Net_revenue]]/Table1[[#This Row],[Gross_revenue]]*100%</f>
        <v>0.75</v>
      </c>
      <c r="T1556" s="18">
        <f>COUNTIFS(Table1[Customer ID], "&gt;1", Table1[Customer ID], 1)</f>
        <v>0</v>
      </c>
    </row>
    <row r="1557" spans="1:20" hidden="1" x14ac:dyDescent="0.3">
      <c r="A1557" s="2" t="s">
        <v>2247</v>
      </c>
      <c r="B1557" s="5">
        <v>45727</v>
      </c>
      <c r="C1557" s="5" t="str">
        <f>TEXT(B1557,"mmm")</f>
        <v>Mar</v>
      </c>
      <c r="D1557" s="2" t="s">
        <v>300</v>
      </c>
      <c r="E1557" s="2" t="s">
        <v>21</v>
      </c>
      <c r="F1557" s="2" t="str" cm="1">
        <f t="array" ref="F15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57" s="2" t="str" cm="1">
        <f t="array" ref="G15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57" s="2" t="s">
        <v>134</v>
      </c>
      <c r="I1557" s="2" t="s">
        <v>29</v>
      </c>
      <c r="J1557" s="2">
        <v>1</v>
      </c>
      <c r="K1557" s="8">
        <v>1499</v>
      </c>
      <c r="L1557" s="3">
        <v>0.1</v>
      </c>
      <c r="M1557" s="12">
        <f>K1557*L1557</f>
        <v>149.9</v>
      </c>
      <c r="N1557" s="12">
        <f>K1557*J1557</f>
        <v>1499</v>
      </c>
      <c r="O1557" s="12">
        <f>N1557-M1557</f>
        <v>1349.1</v>
      </c>
      <c r="P1557" s="2" t="s">
        <v>30</v>
      </c>
      <c r="Q1557" s="2" t="s">
        <v>50</v>
      </c>
      <c r="R1557" s="2">
        <v>60</v>
      </c>
      <c r="S1557" s="20">
        <f>Table1[[#This Row],[Net_revenue]]/Table1[[#This Row],[Gross_revenue]]*100%</f>
        <v>0.89999999999999991</v>
      </c>
      <c r="T1557" s="18">
        <f>COUNTIFS(Table1[Customer ID], "&gt;1", Table1[Customer ID], 1)</f>
        <v>0</v>
      </c>
    </row>
    <row r="1558" spans="1:20" hidden="1" x14ac:dyDescent="0.3">
      <c r="A1558" s="2" t="s">
        <v>2248</v>
      </c>
      <c r="B1558" s="5">
        <v>45762</v>
      </c>
      <c r="C1558" s="5" t="str">
        <f>TEXT(B1558,"mmm")</f>
        <v>Apr</v>
      </c>
      <c r="D1558" s="2" t="s">
        <v>819</v>
      </c>
      <c r="E1558" s="2" t="s">
        <v>40</v>
      </c>
      <c r="F1558" s="2" t="str" cm="1">
        <f t="array" ref="F15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58" s="2" t="str" cm="1">
        <f t="array" ref="G15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58" s="2" t="s">
        <v>183</v>
      </c>
      <c r="I1558" s="2" t="s">
        <v>37</v>
      </c>
      <c r="J1558" s="2">
        <v>3</v>
      </c>
      <c r="K1558" s="8">
        <v>499</v>
      </c>
      <c r="L1558" s="3">
        <v>0.1</v>
      </c>
      <c r="M1558" s="12">
        <f>K1558*L1558</f>
        <v>49.900000000000006</v>
      </c>
      <c r="N1558" s="12">
        <f>K1558*J1558</f>
        <v>1497</v>
      </c>
      <c r="O1558" s="12">
        <f>N1558-M1558</f>
        <v>1447.1</v>
      </c>
      <c r="P1558" s="2" t="s">
        <v>24</v>
      </c>
      <c r="Q1558" s="2" t="s">
        <v>72</v>
      </c>
      <c r="R1558" s="2">
        <v>40</v>
      </c>
      <c r="S1558" s="20">
        <f>Table1[[#This Row],[Net_revenue]]/Table1[[#This Row],[Gross_revenue]]*100%</f>
        <v>0.96666666666666656</v>
      </c>
      <c r="T1558" s="18">
        <f>COUNTIFS(Table1[Customer ID], "&gt;1", Table1[Customer ID], 1)</f>
        <v>0</v>
      </c>
    </row>
    <row r="1559" spans="1:20" hidden="1" x14ac:dyDescent="0.3">
      <c r="A1559" s="2" t="s">
        <v>2249</v>
      </c>
      <c r="B1559" s="5">
        <v>46003</v>
      </c>
      <c r="C1559" s="5" t="str">
        <f>TEXT(B1559,"mmm")</f>
        <v>Dec</v>
      </c>
      <c r="D1559" s="2" t="s">
        <v>1546</v>
      </c>
      <c r="E1559" s="2" t="s">
        <v>48</v>
      </c>
      <c r="F1559" s="2" t="str" cm="1">
        <f t="array" ref="F15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59" s="2" t="str" cm="1">
        <f t="array" ref="G15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59" s="2" t="s">
        <v>94</v>
      </c>
      <c r="I1559" s="2" t="s">
        <v>95</v>
      </c>
      <c r="J1559" s="2">
        <v>1</v>
      </c>
      <c r="K1559" s="8">
        <v>399</v>
      </c>
      <c r="L1559" s="3">
        <v>0.15</v>
      </c>
      <c r="M1559" s="12">
        <f>K1559*L1559</f>
        <v>59.849999999999994</v>
      </c>
      <c r="N1559" s="12">
        <f>K1559*J1559</f>
        <v>399</v>
      </c>
      <c r="O1559" s="12">
        <f>N1559-M1559</f>
        <v>339.15</v>
      </c>
      <c r="P1559" s="2" t="s">
        <v>45</v>
      </c>
      <c r="Q1559" s="2" t="s">
        <v>18</v>
      </c>
      <c r="R1559" s="2">
        <v>40</v>
      </c>
      <c r="S1559" s="20">
        <f>Table1[[#This Row],[Net_revenue]]/Table1[[#This Row],[Gross_revenue]]*100%</f>
        <v>0.85</v>
      </c>
      <c r="T1559" s="18">
        <f>COUNTIFS(Table1[Customer ID], "&gt;1", Table1[Customer ID], 1)</f>
        <v>0</v>
      </c>
    </row>
    <row r="1560" spans="1:20" hidden="1" x14ac:dyDescent="0.3">
      <c r="A1560" s="2" t="s">
        <v>2250</v>
      </c>
      <c r="B1560" s="5">
        <v>45832</v>
      </c>
      <c r="C1560" s="5" t="str">
        <f>TEXT(B1560,"mmm")</f>
        <v>Jun</v>
      </c>
      <c r="D1560" s="2" t="s">
        <v>1022</v>
      </c>
      <c r="E1560" s="2" t="s">
        <v>21</v>
      </c>
      <c r="F1560" s="2" t="str" cm="1">
        <f t="array" ref="F15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60" s="2" t="str" cm="1">
        <f t="array" ref="G15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60" s="2" t="s">
        <v>188</v>
      </c>
      <c r="I1560" s="2" t="s">
        <v>95</v>
      </c>
      <c r="J1560" s="2">
        <v>1</v>
      </c>
      <c r="K1560" s="8">
        <v>699</v>
      </c>
      <c r="L1560" s="3">
        <v>0.1</v>
      </c>
      <c r="M1560" s="12">
        <f>K1560*L1560</f>
        <v>69.900000000000006</v>
      </c>
      <c r="N1560" s="12">
        <f>K1560*J1560</f>
        <v>699</v>
      </c>
      <c r="O1560" s="12">
        <f>N1560-M1560</f>
        <v>629.1</v>
      </c>
      <c r="P1560" s="2" t="s">
        <v>17</v>
      </c>
      <c r="Q1560" s="2" t="s">
        <v>18</v>
      </c>
      <c r="R1560" s="2">
        <v>40</v>
      </c>
      <c r="S1560" s="20">
        <f>Table1[[#This Row],[Net_revenue]]/Table1[[#This Row],[Gross_revenue]]*100%</f>
        <v>0.9</v>
      </c>
      <c r="T1560" s="18">
        <f>COUNTIFS(Table1[Customer ID], "&gt;1", Table1[Customer ID], 1)</f>
        <v>0</v>
      </c>
    </row>
    <row r="1561" spans="1:20" hidden="1" x14ac:dyDescent="0.3">
      <c r="A1561" s="2" t="s">
        <v>2251</v>
      </c>
      <c r="B1561" s="5">
        <v>45740</v>
      </c>
      <c r="C1561" s="5" t="str">
        <f>TEXT(B1561,"mmm")</f>
        <v>Mar</v>
      </c>
      <c r="D1561" s="2" t="s">
        <v>282</v>
      </c>
      <c r="E1561" s="2" t="s">
        <v>40</v>
      </c>
      <c r="F1561" s="2" t="str" cm="1">
        <f t="array" ref="F15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61" s="2" t="str" cm="1">
        <f t="array" ref="G15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61" s="2" t="s">
        <v>36</v>
      </c>
      <c r="I1561" s="2" t="s">
        <v>37</v>
      </c>
      <c r="J1561" s="2">
        <v>1</v>
      </c>
      <c r="K1561" s="8">
        <v>349</v>
      </c>
      <c r="L1561" s="3">
        <v>0.1</v>
      </c>
      <c r="M1561" s="12">
        <f>K1561*L1561</f>
        <v>34.9</v>
      </c>
      <c r="N1561" s="12">
        <f>K1561*J1561</f>
        <v>349</v>
      </c>
      <c r="O1561" s="12">
        <f>N1561-M1561</f>
        <v>314.10000000000002</v>
      </c>
      <c r="P1561" s="2" t="s">
        <v>17</v>
      </c>
      <c r="Q1561" s="2" t="s">
        <v>18</v>
      </c>
      <c r="R1561" s="2">
        <v>80</v>
      </c>
      <c r="S1561" s="20">
        <f>Table1[[#This Row],[Net_revenue]]/Table1[[#This Row],[Gross_revenue]]*100%</f>
        <v>0.9</v>
      </c>
      <c r="T1561" s="18">
        <f>COUNTIFS(Table1[Customer ID], "&gt;1", Table1[Customer ID], 1)</f>
        <v>0</v>
      </c>
    </row>
    <row r="1562" spans="1:20" hidden="1" x14ac:dyDescent="0.3">
      <c r="A1562" s="2" t="s">
        <v>2252</v>
      </c>
      <c r="B1562" s="5">
        <v>45844</v>
      </c>
      <c r="C1562" s="5" t="str">
        <f>TEXT(B1562,"mmm")</f>
        <v>Jul</v>
      </c>
      <c r="D1562" s="2" t="s">
        <v>2253</v>
      </c>
      <c r="E1562" s="2" t="s">
        <v>48</v>
      </c>
      <c r="F1562" s="2" t="str" cm="1">
        <f t="array" ref="F15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62" s="2" t="str" cm="1">
        <f t="array" ref="G15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62" s="2" t="s">
        <v>71</v>
      </c>
      <c r="I1562" s="2" t="s">
        <v>29</v>
      </c>
      <c r="J1562" s="2">
        <v>2</v>
      </c>
      <c r="K1562" s="8">
        <v>5499</v>
      </c>
      <c r="L1562" s="3">
        <v>0.1</v>
      </c>
      <c r="M1562" s="12">
        <f>K1562*L1562</f>
        <v>549.9</v>
      </c>
      <c r="N1562" s="12">
        <f>K1562*J1562</f>
        <v>10998</v>
      </c>
      <c r="O1562" s="12">
        <f>N1562-M1562</f>
        <v>10448.1</v>
      </c>
      <c r="P1562" s="2" t="s">
        <v>30</v>
      </c>
      <c r="Q1562" s="2" t="s">
        <v>18</v>
      </c>
      <c r="R1562" s="2">
        <v>80</v>
      </c>
      <c r="S1562" s="20">
        <f>Table1[[#This Row],[Net_revenue]]/Table1[[#This Row],[Gross_revenue]]*100%</f>
        <v>0.95000000000000007</v>
      </c>
      <c r="T1562" s="18">
        <f>COUNTIFS(Table1[Customer ID], "&gt;1", Table1[Customer ID], 1)</f>
        <v>0</v>
      </c>
    </row>
    <row r="1563" spans="1:20" hidden="1" x14ac:dyDescent="0.3">
      <c r="A1563" s="2" t="s">
        <v>2254</v>
      </c>
      <c r="B1563" s="5">
        <v>45914</v>
      </c>
      <c r="C1563" s="5" t="str">
        <f>TEXT(B1563,"mmm")</f>
        <v>Sep</v>
      </c>
      <c r="D1563" s="2" t="s">
        <v>228</v>
      </c>
      <c r="E1563" s="2" t="s">
        <v>40</v>
      </c>
      <c r="F1563" s="2" t="str" cm="1">
        <f t="array" ref="F15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63" s="2" t="str" cm="1">
        <f t="array" ref="G15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63" s="2" t="s">
        <v>44</v>
      </c>
      <c r="I1563" s="2" t="s">
        <v>16</v>
      </c>
      <c r="J1563" s="2">
        <v>1</v>
      </c>
      <c r="K1563" s="8">
        <v>1599</v>
      </c>
      <c r="L1563" s="3">
        <v>0</v>
      </c>
      <c r="M1563" s="12">
        <f>K1563*L1563</f>
        <v>0</v>
      </c>
      <c r="N1563" s="12">
        <f>K1563*J1563</f>
        <v>1599</v>
      </c>
      <c r="O1563" s="12">
        <f>N1563-M1563</f>
        <v>1599</v>
      </c>
      <c r="P1563" s="2" t="s">
        <v>17</v>
      </c>
      <c r="Q1563" s="2" t="s">
        <v>18</v>
      </c>
      <c r="R1563" s="2">
        <v>80</v>
      </c>
      <c r="S1563" s="20">
        <f>Table1[[#This Row],[Net_revenue]]/Table1[[#This Row],[Gross_revenue]]*100%</f>
        <v>1</v>
      </c>
      <c r="T1563" s="18">
        <f>COUNTIFS(Table1[Customer ID], "&gt;1", Table1[Customer ID], 1)</f>
        <v>0</v>
      </c>
    </row>
    <row r="1564" spans="1:20" hidden="1" x14ac:dyDescent="0.3">
      <c r="A1564" s="2" t="s">
        <v>2255</v>
      </c>
      <c r="B1564" s="5">
        <v>45699</v>
      </c>
      <c r="C1564" s="5" t="str">
        <f>TEXT(B1564,"mmm")</f>
        <v>Feb</v>
      </c>
      <c r="D1564" s="2" t="s">
        <v>1753</v>
      </c>
      <c r="E1564" s="2" t="s">
        <v>21</v>
      </c>
      <c r="F1564" s="2" t="str" cm="1">
        <f t="array" ref="F15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64" s="2" t="str" cm="1">
        <f t="array" ref="G15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64" s="2" t="s">
        <v>22</v>
      </c>
      <c r="I1564" s="2" t="s">
        <v>23</v>
      </c>
      <c r="J1564" s="2">
        <v>1</v>
      </c>
      <c r="K1564" s="8">
        <v>3999</v>
      </c>
      <c r="L1564" s="3">
        <v>0.1</v>
      </c>
      <c r="M1564" s="12">
        <f>K1564*L1564</f>
        <v>399.90000000000003</v>
      </c>
      <c r="N1564" s="12">
        <f>K1564*J1564</f>
        <v>3999</v>
      </c>
      <c r="O1564" s="12">
        <f>N1564-M1564</f>
        <v>3599.1</v>
      </c>
      <c r="P1564" s="2" t="s">
        <v>24</v>
      </c>
      <c r="Q1564" s="2" t="s">
        <v>18</v>
      </c>
      <c r="R1564" s="2">
        <v>80</v>
      </c>
      <c r="S1564" s="20">
        <f>Table1[[#This Row],[Net_revenue]]/Table1[[#This Row],[Gross_revenue]]*100%</f>
        <v>0.9</v>
      </c>
      <c r="T1564" s="18">
        <f>COUNTIFS(Table1[Customer ID], "&gt;1", Table1[Customer ID], 1)</f>
        <v>0</v>
      </c>
    </row>
    <row r="1565" spans="1:20" hidden="1" x14ac:dyDescent="0.3">
      <c r="A1565" s="2" t="s">
        <v>2256</v>
      </c>
      <c r="B1565" s="5">
        <v>45801</v>
      </c>
      <c r="C1565" s="5" t="str">
        <f>TEXT(B1565,"mmm")</f>
        <v>May</v>
      </c>
      <c r="D1565" s="2" t="s">
        <v>564</v>
      </c>
      <c r="E1565" s="2" t="s">
        <v>14</v>
      </c>
      <c r="F1565" s="2" t="str" cm="1">
        <f t="array" ref="F15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565" s="2" t="str" cm="1">
        <f t="array" ref="G15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565" s="2" t="s">
        <v>94</v>
      </c>
      <c r="I1565" s="2" t="s">
        <v>95</v>
      </c>
      <c r="J1565" s="2">
        <v>1</v>
      </c>
      <c r="K1565" s="8">
        <v>399</v>
      </c>
      <c r="L1565" s="3">
        <v>0.1</v>
      </c>
      <c r="M1565" s="12">
        <f>K1565*L1565</f>
        <v>39.900000000000006</v>
      </c>
      <c r="N1565" s="12">
        <f>K1565*J1565</f>
        <v>399</v>
      </c>
      <c r="O1565" s="12">
        <f>N1565-M1565</f>
        <v>359.1</v>
      </c>
      <c r="P1565" s="2" t="s">
        <v>17</v>
      </c>
      <c r="Q1565" s="2" t="s">
        <v>18</v>
      </c>
      <c r="R1565" s="2">
        <v>0</v>
      </c>
      <c r="S1565" s="20">
        <f>Table1[[#This Row],[Net_revenue]]/Table1[[#This Row],[Gross_revenue]]*100%</f>
        <v>0.9</v>
      </c>
      <c r="T1565" s="18">
        <f>COUNTIFS(Table1[Customer ID], "&gt;1", Table1[Customer ID], 1)</f>
        <v>0</v>
      </c>
    </row>
    <row r="1566" spans="1:20" hidden="1" x14ac:dyDescent="0.3">
      <c r="A1566" s="2" t="s">
        <v>2257</v>
      </c>
      <c r="B1566" s="5">
        <v>45719</v>
      </c>
      <c r="C1566" s="5" t="str">
        <f>TEXT(B1566,"mmm")</f>
        <v>Mar</v>
      </c>
      <c r="D1566" s="2" t="s">
        <v>2258</v>
      </c>
      <c r="E1566" s="2" t="s">
        <v>27</v>
      </c>
      <c r="F1566" s="2" t="str" cm="1">
        <f t="array" ref="F15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66" s="2" t="str" cm="1">
        <f t="array" ref="G15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66" s="2" t="s">
        <v>65</v>
      </c>
      <c r="I1566" s="2" t="s">
        <v>23</v>
      </c>
      <c r="J1566" s="2">
        <v>1</v>
      </c>
      <c r="K1566" s="8">
        <v>1899</v>
      </c>
      <c r="L1566" s="3">
        <v>0.1</v>
      </c>
      <c r="M1566" s="12">
        <f>K1566*L1566</f>
        <v>189.9</v>
      </c>
      <c r="N1566" s="12">
        <f>K1566*J1566</f>
        <v>1899</v>
      </c>
      <c r="O1566" s="12">
        <f>N1566-M1566</f>
        <v>1709.1</v>
      </c>
      <c r="P1566" s="2" t="s">
        <v>30</v>
      </c>
      <c r="Q1566" s="2" t="s">
        <v>18</v>
      </c>
      <c r="R1566" s="2">
        <v>80</v>
      </c>
      <c r="S1566" s="20">
        <f>Table1[[#This Row],[Net_revenue]]/Table1[[#This Row],[Gross_revenue]]*100%</f>
        <v>0.89999999999999991</v>
      </c>
      <c r="T1566" s="18">
        <f>COUNTIFS(Table1[Customer ID], "&gt;1", Table1[Customer ID], 1)</f>
        <v>0</v>
      </c>
    </row>
    <row r="1567" spans="1:20" hidden="1" x14ac:dyDescent="0.3">
      <c r="A1567" s="2" t="s">
        <v>2259</v>
      </c>
      <c r="B1567" s="5">
        <v>45700</v>
      </c>
      <c r="C1567" s="5" t="str">
        <f>TEXT(B1567,"mmm")</f>
        <v>Feb</v>
      </c>
      <c r="D1567" s="2" t="s">
        <v>1175</v>
      </c>
      <c r="E1567" s="2" t="s">
        <v>40</v>
      </c>
      <c r="F1567" s="2" t="str" cm="1">
        <f t="array" ref="F15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67" s="2" t="str" cm="1">
        <f t="array" ref="G15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67" s="2" t="s">
        <v>36</v>
      </c>
      <c r="I1567" s="2" t="s">
        <v>37</v>
      </c>
      <c r="J1567" s="2">
        <v>1</v>
      </c>
      <c r="K1567" s="8">
        <v>349</v>
      </c>
      <c r="L1567" s="3">
        <v>0.1</v>
      </c>
      <c r="M1567" s="12">
        <f>K1567*L1567</f>
        <v>34.9</v>
      </c>
      <c r="N1567" s="12">
        <f>K1567*J1567</f>
        <v>349</v>
      </c>
      <c r="O1567" s="12">
        <f>N1567-M1567</f>
        <v>314.10000000000002</v>
      </c>
      <c r="P1567" s="2" t="s">
        <v>45</v>
      </c>
      <c r="Q1567" s="2" t="s">
        <v>18</v>
      </c>
      <c r="R1567" s="2">
        <v>0</v>
      </c>
      <c r="S1567" s="20">
        <f>Table1[[#This Row],[Net_revenue]]/Table1[[#This Row],[Gross_revenue]]*100%</f>
        <v>0.9</v>
      </c>
      <c r="T1567" s="18">
        <f>COUNTIFS(Table1[Customer ID], "&gt;1", Table1[Customer ID], 1)</f>
        <v>0</v>
      </c>
    </row>
    <row r="1568" spans="1:20" hidden="1" x14ac:dyDescent="0.3">
      <c r="A1568" s="2" t="s">
        <v>2260</v>
      </c>
      <c r="B1568" s="5">
        <v>45716</v>
      </c>
      <c r="C1568" s="5" t="str">
        <f>TEXT(B1568,"mmm")</f>
        <v>Feb</v>
      </c>
      <c r="D1568" s="2" t="s">
        <v>1170</v>
      </c>
      <c r="E1568" s="2" t="s">
        <v>40</v>
      </c>
      <c r="F1568" s="2" t="str" cm="1">
        <f t="array" ref="F15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68" s="2" t="str" cm="1">
        <f t="array" ref="G15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68" s="2" t="s">
        <v>22</v>
      </c>
      <c r="I1568" s="2" t="s">
        <v>23</v>
      </c>
      <c r="J1568" s="2">
        <v>1</v>
      </c>
      <c r="K1568" s="8">
        <v>3999</v>
      </c>
      <c r="L1568" s="3">
        <v>0.05</v>
      </c>
      <c r="M1568" s="12">
        <f>K1568*L1568</f>
        <v>199.95000000000002</v>
      </c>
      <c r="N1568" s="12">
        <f>K1568*J1568</f>
        <v>3999</v>
      </c>
      <c r="O1568" s="12">
        <f>N1568-M1568</f>
        <v>3799.05</v>
      </c>
      <c r="P1568" s="2" t="s">
        <v>24</v>
      </c>
      <c r="Q1568" s="2" t="s">
        <v>18</v>
      </c>
      <c r="R1568" s="2">
        <v>60</v>
      </c>
      <c r="S1568" s="20">
        <f>Table1[[#This Row],[Net_revenue]]/Table1[[#This Row],[Gross_revenue]]*100%</f>
        <v>0.95000000000000007</v>
      </c>
      <c r="T1568" s="18">
        <f>COUNTIFS(Table1[Customer ID], "&gt;1", Table1[Customer ID], 1)</f>
        <v>0</v>
      </c>
    </row>
    <row r="1569" spans="1:20" hidden="1" x14ac:dyDescent="0.3">
      <c r="A1569" s="2" t="s">
        <v>2261</v>
      </c>
      <c r="B1569" s="5">
        <v>45725</v>
      </c>
      <c r="C1569" s="5" t="str">
        <f>TEXT(B1569,"mmm")</f>
        <v>Mar</v>
      </c>
      <c r="D1569" s="2" t="s">
        <v>985</v>
      </c>
      <c r="E1569" s="2" t="s">
        <v>27</v>
      </c>
      <c r="F1569" s="2" t="str" cm="1">
        <f t="array" ref="F15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569" s="2" t="str" cm="1">
        <f t="array" ref="G15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69" s="2" t="s">
        <v>217</v>
      </c>
      <c r="I1569" s="2" t="s">
        <v>29</v>
      </c>
      <c r="J1569" s="2">
        <v>1</v>
      </c>
      <c r="K1569" s="8">
        <v>3299</v>
      </c>
      <c r="L1569" s="3">
        <v>0.05</v>
      </c>
      <c r="M1569" s="12">
        <f>K1569*L1569</f>
        <v>164.95000000000002</v>
      </c>
      <c r="N1569" s="12">
        <f>K1569*J1569</f>
        <v>3299</v>
      </c>
      <c r="O1569" s="12">
        <f>N1569-M1569</f>
        <v>3134.05</v>
      </c>
      <c r="P1569" s="2" t="s">
        <v>17</v>
      </c>
      <c r="Q1569" s="2" t="s">
        <v>18</v>
      </c>
      <c r="R1569" s="2">
        <v>0</v>
      </c>
      <c r="S1569" s="20">
        <f>Table1[[#This Row],[Net_revenue]]/Table1[[#This Row],[Gross_revenue]]*100%</f>
        <v>0.95000000000000007</v>
      </c>
      <c r="T1569" s="18">
        <f>COUNTIFS(Table1[Customer ID], "&gt;1", Table1[Customer ID], 1)</f>
        <v>0</v>
      </c>
    </row>
    <row r="1570" spans="1:20" hidden="1" x14ac:dyDescent="0.3">
      <c r="A1570" s="2" t="s">
        <v>2262</v>
      </c>
      <c r="B1570" s="5">
        <v>45896</v>
      </c>
      <c r="C1570" s="5" t="str">
        <f>TEXT(B1570,"mmm")</f>
        <v>Aug</v>
      </c>
      <c r="D1570" s="2" t="s">
        <v>276</v>
      </c>
      <c r="E1570" s="2" t="s">
        <v>21</v>
      </c>
      <c r="F1570" s="2" t="str" cm="1">
        <f t="array" ref="F15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70" s="2" t="str" cm="1">
        <f t="array" ref="G15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70" s="2" t="s">
        <v>68</v>
      </c>
      <c r="I1570" s="2" t="s">
        <v>16</v>
      </c>
      <c r="J1570" s="2">
        <v>1</v>
      </c>
      <c r="K1570" s="8">
        <v>599</v>
      </c>
      <c r="L1570" s="3">
        <v>0.1</v>
      </c>
      <c r="M1570" s="12">
        <f>K1570*L1570</f>
        <v>59.900000000000006</v>
      </c>
      <c r="N1570" s="12">
        <f>K1570*J1570</f>
        <v>599</v>
      </c>
      <c r="O1570" s="12">
        <f>N1570-M1570</f>
        <v>539.1</v>
      </c>
      <c r="P1570" s="2" t="s">
        <v>45</v>
      </c>
      <c r="Q1570" s="2" t="s">
        <v>18</v>
      </c>
      <c r="R1570" s="2">
        <v>40</v>
      </c>
      <c r="S1570" s="20">
        <f>Table1[[#This Row],[Net_revenue]]/Table1[[#This Row],[Gross_revenue]]*100%</f>
        <v>0.9</v>
      </c>
      <c r="T1570" s="18">
        <f>COUNTIFS(Table1[Customer ID], "&gt;1", Table1[Customer ID], 1)</f>
        <v>0</v>
      </c>
    </row>
    <row r="1571" spans="1:20" hidden="1" x14ac:dyDescent="0.3">
      <c r="A1571" s="2" t="s">
        <v>2263</v>
      </c>
      <c r="B1571" s="5">
        <v>45892</v>
      </c>
      <c r="C1571" s="5" t="str">
        <f>TEXT(B1571,"mmm")</f>
        <v>Aug</v>
      </c>
      <c r="D1571" s="2" t="s">
        <v>1041</v>
      </c>
      <c r="E1571" s="2" t="s">
        <v>21</v>
      </c>
      <c r="F1571" s="2" t="str" cm="1">
        <f t="array" ref="F15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71" s="2" t="str" cm="1">
        <f t="array" ref="G15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71" s="2" t="s">
        <v>183</v>
      </c>
      <c r="I1571" s="2" t="s">
        <v>37</v>
      </c>
      <c r="J1571" s="2">
        <v>1</v>
      </c>
      <c r="K1571" s="8">
        <v>499</v>
      </c>
      <c r="L1571" s="3">
        <v>0.25</v>
      </c>
      <c r="M1571" s="12">
        <f>K1571*L1571</f>
        <v>124.75</v>
      </c>
      <c r="N1571" s="12">
        <f>K1571*J1571</f>
        <v>499</v>
      </c>
      <c r="O1571" s="12">
        <f>N1571-M1571</f>
        <v>374.25</v>
      </c>
      <c r="P1571" s="2" t="s">
        <v>45</v>
      </c>
      <c r="Q1571" s="2" t="s">
        <v>18</v>
      </c>
      <c r="R1571" s="2">
        <v>60</v>
      </c>
      <c r="S1571" s="20">
        <f>Table1[[#This Row],[Net_revenue]]/Table1[[#This Row],[Gross_revenue]]*100%</f>
        <v>0.75</v>
      </c>
      <c r="T1571" s="18">
        <f>COUNTIFS(Table1[Customer ID], "&gt;1", Table1[Customer ID], 1)</f>
        <v>0</v>
      </c>
    </row>
    <row r="1572" spans="1:20" hidden="1" x14ac:dyDescent="0.3">
      <c r="A1572" s="2" t="s">
        <v>2264</v>
      </c>
      <c r="B1572" s="5">
        <v>46016</v>
      </c>
      <c r="C1572" s="5" t="str">
        <f>TEXT(B1572,"mmm")</f>
        <v>Dec</v>
      </c>
      <c r="D1572" s="2" t="s">
        <v>479</v>
      </c>
      <c r="E1572" s="2" t="s">
        <v>48</v>
      </c>
      <c r="F1572" s="2" t="str" cm="1">
        <f t="array" ref="F15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72" s="2" t="str" cm="1">
        <f t="array" ref="G15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72" s="2" t="s">
        <v>63</v>
      </c>
      <c r="I1572" s="2" t="s">
        <v>23</v>
      </c>
      <c r="J1572" s="2">
        <v>1</v>
      </c>
      <c r="K1572" s="8">
        <v>2499</v>
      </c>
      <c r="L1572" s="3">
        <v>0.2</v>
      </c>
      <c r="M1572" s="12">
        <f>K1572*L1572</f>
        <v>499.8</v>
      </c>
      <c r="N1572" s="12">
        <f>K1572*J1572</f>
        <v>2499</v>
      </c>
      <c r="O1572" s="12">
        <f>N1572-M1572</f>
        <v>1999.2</v>
      </c>
      <c r="P1572" s="2" t="s">
        <v>45</v>
      </c>
      <c r="Q1572" s="2" t="s">
        <v>18</v>
      </c>
      <c r="R1572" s="2">
        <v>80</v>
      </c>
      <c r="S1572" s="20">
        <f>Table1[[#This Row],[Net_revenue]]/Table1[[#This Row],[Gross_revenue]]*100%</f>
        <v>0.8</v>
      </c>
      <c r="T1572" s="18">
        <f>COUNTIFS(Table1[Customer ID], "&gt;1", Table1[Customer ID], 1)</f>
        <v>0</v>
      </c>
    </row>
    <row r="1573" spans="1:20" hidden="1" x14ac:dyDescent="0.3">
      <c r="A1573" s="2" t="s">
        <v>2265</v>
      </c>
      <c r="B1573" s="5">
        <v>46020</v>
      </c>
      <c r="C1573" s="5" t="str">
        <f>TEXT(B1573,"mmm")</f>
        <v>Dec</v>
      </c>
      <c r="D1573" s="2" t="s">
        <v>1326</v>
      </c>
      <c r="E1573" s="2" t="s">
        <v>40</v>
      </c>
      <c r="F1573" s="2" t="str" cm="1">
        <f t="array" ref="F15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73" s="2" t="str" cm="1">
        <f t="array" ref="G15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73" s="2" t="s">
        <v>28</v>
      </c>
      <c r="I1573" s="2" t="s">
        <v>29</v>
      </c>
      <c r="J1573" s="2">
        <v>1</v>
      </c>
      <c r="K1573" s="8">
        <v>2799</v>
      </c>
      <c r="L1573" s="3">
        <v>0</v>
      </c>
      <c r="M1573" s="12">
        <f>K1573*L1573</f>
        <v>0</v>
      </c>
      <c r="N1573" s="12">
        <f>K1573*J1573</f>
        <v>2799</v>
      </c>
      <c r="O1573" s="12">
        <f>N1573-M1573</f>
        <v>2799</v>
      </c>
      <c r="P1573" s="2" t="s">
        <v>17</v>
      </c>
      <c r="Q1573" s="2" t="s">
        <v>18</v>
      </c>
      <c r="R1573" s="2">
        <v>40</v>
      </c>
      <c r="S1573" s="20">
        <f>Table1[[#This Row],[Net_revenue]]/Table1[[#This Row],[Gross_revenue]]*100%</f>
        <v>1</v>
      </c>
      <c r="T1573" s="18">
        <f>COUNTIFS(Table1[Customer ID], "&gt;1", Table1[Customer ID], 1)</f>
        <v>0</v>
      </c>
    </row>
    <row r="1574" spans="1:20" hidden="1" x14ac:dyDescent="0.3">
      <c r="A1574" s="2" t="s">
        <v>2266</v>
      </c>
      <c r="B1574" s="5">
        <v>45984</v>
      </c>
      <c r="C1574" s="5" t="str">
        <f>TEXT(B1574,"mmm")</f>
        <v>Nov</v>
      </c>
      <c r="D1574" s="2" t="s">
        <v>846</v>
      </c>
      <c r="E1574" s="2" t="s">
        <v>120</v>
      </c>
      <c r="F1574" s="2" t="str" cm="1">
        <f t="array" ref="F15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74" s="2" t="str" cm="1">
        <f t="array" ref="G15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74" s="2" t="s">
        <v>188</v>
      </c>
      <c r="I1574" s="2" t="s">
        <v>95</v>
      </c>
      <c r="J1574" s="2">
        <v>1</v>
      </c>
      <c r="K1574" s="8">
        <v>699</v>
      </c>
      <c r="L1574" s="3">
        <v>0.25</v>
      </c>
      <c r="M1574" s="12">
        <f>K1574*L1574</f>
        <v>174.75</v>
      </c>
      <c r="N1574" s="12">
        <f>K1574*J1574</f>
        <v>699</v>
      </c>
      <c r="O1574" s="12">
        <f>N1574-M1574</f>
        <v>524.25</v>
      </c>
      <c r="P1574" s="2" t="s">
        <v>45</v>
      </c>
      <c r="Q1574" s="2" t="s">
        <v>18</v>
      </c>
      <c r="R1574" s="2">
        <v>60</v>
      </c>
      <c r="S1574" s="20">
        <f>Table1[[#This Row],[Net_revenue]]/Table1[[#This Row],[Gross_revenue]]*100%</f>
        <v>0.75</v>
      </c>
      <c r="T1574" s="18">
        <f>COUNTIFS(Table1[Customer ID], "&gt;1", Table1[Customer ID], 1)</f>
        <v>0</v>
      </c>
    </row>
    <row r="1575" spans="1:20" hidden="1" x14ac:dyDescent="0.3">
      <c r="A1575" s="2" t="s">
        <v>2267</v>
      </c>
      <c r="B1575" s="5">
        <v>45874</v>
      </c>
      <c r="C1575" s="5" t="str">
        <f>TEXT(B1575,"mmm")</f>
        <v>Aug</v>
      </c>
      <c r="D1575" s="2" t="s">
        <v>1510</v>
      </c>
      <c r="E1575" s="2" t="s">
        <v>40</v>
      </c>
      <c r="F1575" s="2" t="str" cm="1">
        <f t="array" ref="F15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75" s="2" t="str" cm="1">
        <f t="array" ref="G15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75" s="2" t="s">
        <v>121</v>
      </c>
      <c r="I1575" s="2" t="s">
        <v>95</v>
      </c>
      <c r="J1575" s="2">
        <v>1</v>
      </c>
      <c r="K1575" s="8">
        <v>1299</v>
      </c>
      <c r="L1575" s="3">
        <v>0.25</v>
      </c>
      <c r="M1575" s="12">
        <f>K1575*L1575</f>
        <v>324.75</v>
      </c>
      <c r="N1575" s="12">
        <f>K1575*J1575</f>
        <v>1299</v>
      </c>
      <c r="O1575" s="12">
        <f>N1575-M1575</f>
        <v>974.25</v>
      </c>
      <c r="P1575" s="2" t="s">
        <v>45</v>
      </c>
      <c r="Q1575" s="2" t="s">
        <v>18</v>
      </c>
      <c r="R1575" s="2">
        <v>80</v>
      </c>
      <c r="S1575" s="20">
        <f>Table1[[#This Row],[Net_revenue]]/Table1[[#This Row],[Gross_revenue]]*100%</f>
        <v>0.75</v>
      </c>
      <c r="T1575" s="18">
        <f>COUNTIFS(Table1[Customer ID], "&gt;1", Table1[Customer ID], 1)</f>
        <v>0</v>
      </c>
    </row>
    <row r="1576" spans="1:20" hidden="1" x14ac:dyDescent="0.3">
      <c r="A1576" s="2" t="s">
        <v>2268</v>
      </c>
      <c r="B1576" s="5">
        <v>45746</v>
      </c>
      <c r="C1576" s="5" t="str">
        <f>TEXT(B1576,"mmm")</f>
        <v>Mar</v>
      </c>
      <c r="D1576" s="2" t="s">
        <v>213</v>
      </c>
      <c r="E1576" s="2" t="s">
        <v>56</v>
      </c>
      <c r="F1576" s="2" t="str" cm="1">
        <f t="array" ref="F15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76" s="2" t="str" cm="1">
        <f t="array" ref="G15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76" s="2" t="s">
        <v>28</v>
      </c>
      <c r="I1576" s="2" t="s">
        <v>29</v>
      </c>
      <c r="J1576" s="2">
        <v>1</v>
      </c>
      <c r="K1576" s="8">
        <v>2799</v>
      </c>
      <c r="L1576" s="3">
        <v>0</v>
      </c>
      <c r="M1576" s="12">
        <f>K1576*L1576</f>
        <v>0</v>
      </c>
      <c r="N1576" s="12">
        <f>K1576*J1576</f>
        <v>2799</v>
      </c>
      <c r="O1576" s="12">
        <f>N1576-M1576</f>
        <v>2799</v>
      </c>
      <c r="P1576" s="2" t="s">
        <v>30</v>
      </c>
      <c r="Q1576" s="2" t="s">
        <v>18</v>
      </c>
      <c r="R1576" s="2">
        <v>80</v>
      </c>
      <c r="S1576" s="20">
        <f>Table1[[#This Row],[Net_revenue]]/Table1[[#This Row],[Gross_revenue]]*100%</f>
        <v>1</v>
      </c>
      <c r="T1576" s="18">
        <f>COUNTIFS(Table1[Customer ID], "&gt;1", Table1[Customer ID], 1)</f>
        <v>0</v>
      </c>
    </row>
    <row r="1577" spans="1:20" hidden="1" x14ac:dyDescent="0.3">
      <c r="A1577" s="2" t="s">
        <v>2269</v>
      </c>
      <c r="B1577" s="5">
        <v>45873</v>
      </c>
      <c r="C1577" s="5" t="str">
        <f>TEXT(B1577,"mmm")</f>
        <v>Aug</v>
      </c>
      <c r="D1577" s="2" t="s">
        <v>1663</v>
      </c>
      <c r="E1577" s="2" t="s">
        <v>40</v>
      </c>
      <c r="F1577" s="2" t="str" cm="1">
        <f t="array" ref="F15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77" s="2" t="str" cm="1">
        <f t="array" ref="G15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77" s="2" t="s">
        <v>117</v>
      </c>
      <c r="I1577" s="2" t="s">
        <v>23</v>
      </c>
      <c r="J1577" s="2">
        <v>1</v>
      </c>
      <c r="K1577" s="8">
        <v>2199</v>
      </c>
      <c r="L1577" s="3">
        <v>0.25</v>
      </c>
      <c r="M1577" s="12">
        <f>K1577*L1577</f>
        <v>549.75</v>
      </c>
      <c r="N1577" s="12">
        <f>K1577*J1577</f>
        <v>2199</v>
      </c>
      <c r="O1577" s="12">
        <f>N1577-M1577</f>
        <v>1649.25</v>
      </c>
      <c r="P1577" s="2" t="s">
        <v>17</v>
      </c>
      <c r="Q1577" s="2" t="s">
        <v>18</v>
      </c>
      <c r="R1577" s="2">
        <v>80</v>
      </c>
      <c r="S1577" s="20">
        <f>Table1[[#This Row],[Net_revenue]]/Table1[[#This Row],[Gross_revenue]]*100%</f>
        <v>0.75</v>
      </c>
      <c r="T1577" s="18">
        <f>COUNTIFS(Table1[Customer ID], "&gt;1", Table1[Customer ID], 1)</f>
        <v>0</v>
      </c>
    </row>
    <row r="1578" spans="1:20" hidden="1" x14ac:dyDescent="0.3">
      <c r="A1578" s="2" t="s">
        <v>2270</v>
      </c>
      <c r="B1578" s="5">
        <v>45661</v>
      </c>
      <c r="C1578" s="5" t="str">
        <f>TEXT(B1578,"mmm")</f>
        <v>Jan</v>
      </c>
      <c r="D1578" s="2" t="s">
        <v>150</v>
      </c>
      <c r="E1578" s="2" t="s">
        <v>40</v>
      </c>
      <c r="F1578" s="2" t="str" cm="1">
        <f t="array" ref="F15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78" s="2" t="str" cm="1">
        <f t="array" ref="G15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78" s="2" t="s">
        <v>41</v>
      </c>
      <c r="I1578" s="2" t="s">
        <v>16</v>
      </c>
      <c r="J1578" s="2">
        <v>2</v>
      </c>
      <c r="K1578" s="8">
        <v>2299</v>
      </c>
      <c r="L1578" s="3">
        <v>0.05</v>
      </c>
      <c r="M1578" s="12">
        <f>K1578*L1578</f>
        <v>114.95</v>
      </c>
      <c r="N1578" s="12">
        <f>K1578*J1578</f>
        <v>4598</v>
      </c>
      <c r="O1578" s="12">
        <f>N1578-M1578</f>
        <v>4483.05</v>
      </c>
      <c r="P1578" s="2" t="s">
        <v>17</v>
      </c>
      <c r="Q1578" s="2" t="s">
        <v>18</v>
      </c>
      <c r="R1578" s="2">
        <v>40</v>
      </c>
      <c r="S1578" s="20">
        <f>Table1[[#This Row],[Net_revenue]]/Table1[[#This Row],[Gross_revenue]]*100%</f>
        <v>0.97500000000000009</v>
      </c>
      <c r="T1578" s="18">
        <f>COUNTIFS(Table1[Customer ID], "&gt;1", Table1[Customer ID], 1)</f>
        <v>0</v>
      </c>
    </row>
    <row r="1579" spans="1:20" hidden="1" x14ac:dyDescent="0.3">
      <c r="A1579" s="2" t="s">
        <v>2271</v>
      </c>
      <c r="B1579" s="5">
        <v>45790</v>
      </c>
      <c r="C1579" s="5" t="str">
        <f>TEXT(B1579,"mmm")</f>
        <v>May</v>
      </c>
      <c r="D1579" s="2" t="s">
        <v>1125</v>
      </c>
      <c r="E1579" s="2" t="s">
        <v>21</v>
      </c>
      <c r="F1579" s="2" t="str" cm="1">
        <f t="array" ref="F15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79" s="2" t="str" cm="1">
        <f t="array" ref="G15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79" s="2" t="s">
        <v>63</v>
      </c>
      <c r="I1579" s="2" t="s">
        <v>23</v>
      </c>
      <c r="J1579" s="2">
        <v>1</v>
      </c>
      <c r="K1579" s="8">
        <v>2499</v>
      </c>
      <c r="L1579" s="3">
        <v>0.25</v>
      </c>
      <c r="M1579" s="12">
        <f>K1579*L1579</f>
        <v>624.75</v>
      </c>
      <c r="N1579" s="12">
        <f>K1579*J1579</f>
        <v>2499</v>
      </c>
      <c r="O1579" s="12">
        <f>N1579-M1579</f>
        <v>1874.25</v>
      </c>
      <c r="P1579" s="2" t="s">
        <v>30</v>
      </c>
      <c r="Q1579" s="2" t="s">
        <v>50</v>
      </c>
      <c r="R1579" s="2">
        <v>60</v>
      </c>
      <c r="S1579" s="20">
        <f>Table1[[#This Row],[Net_revenue]]/Table1[[#This Row],[Gross_revenue]]*100%</f>
        <v>0.75</v>
      </c>
      <c r="T1579" s="18">
        <f>COUNTIFS(Table1[Customer ID], "&gt;1", Table1[Customer ID], 1)</f>
        <v>0</v>
      </c>
    </row>
    <row r="1580" spans="1:20" hidden="1" x14ac:dyDescent="0.3">
      <c r="A1580" s="2" t="s">
        <v>2272</v>
      </c>
      <c r="B1580" s="5">
        <v>45920</v>
      </c>
      <c r="C1580" s="5" t="str">
        <f>TEXT(B1580,"mmm")</f>
        <v>Sep</v>
      </c>
      <c r="D1580" s="2" t="s">
        <v>539</v>
      </c>
      <c r="E1580" s="2" t="s">
        <v>21</v>
      </c>
      <c r="F1580" s="2" t="str" cm="1">
        <f t="array" ref="F15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80" s="2" t="str" cm="1">
        <f t="array" ref="G15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80" s="2" t="s">
        <v>80</v>
      </c>
      <c r="I1580" s="2" t="s">
        <v>23</v>
      </c>
      <c r="J1580" s="2">
        <v>1</v>
      </c>
      <c r="K1580" s="8">
        <v>799</v>
      </c>
      <c r="L1580" s="3">
        <v>0.25</v>
      </c>
      <c r="M1580" s="12">
        <f>K1580*L1580</f>
        <v>199.75</v>
      </c>
      <c r="N1580" s="12">
        <f>K1580*J1580</f>
        <v>799</v>
      </c>
      <c r="O1580" s="12">
        <f>N1580-M1580</f>
        <v>599.25</v>
      </c>
      <c r="P1580" s="2" t="s">
        <v>30</v>
      </c>
      <c r="Q1580" s="2" t="s">
        <v>18</v>
      </c>
      <c r="R1580" s="2">
        <v>40</v>
      </c>
      <c r="S1580" s="20">
        <f>Table1[[#This Row],[Net_revenue]]/Table1[[#This Row],[Gross_revenue]]*100%</f>
        <v>0.75</v>
      </c>
      <c r="T1580" s="18">
        <f>COUNTIFS(Table1[Customer ID], "&gt;1", Table1[Customer ID], 1)</f>
        <v>0</v>
      </c>
    </row>
    <row r="1581" spans="1:20" hidden="1" x14ac:dyDescent="0.3">
      <c r="A1581" s="2" t="s">
        <v>2273</v>
      </c>
      <c r="B1581" s="5">
        <v>45884</v>
      </c>
      <c r="C1581" s="5" t="str">
        <f>TEXT(B1581,"mmm")</f>
        <v>Aug</v>
      </c>
      <c r="D1581" s="2" t="s">
        <v>483</v>
      </c>
      <c r="E1581" s="2" t="s">
        <v>48</v>
      </c>
      <c r="F1581" s="2" t="str" cm="1">
        <f t="array" ref="F15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81" s="2" t="str" cm="1">
        <f t="array" ref="G15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81" s="2" t="s">
        <v>117</v>
      </c>
      <c r="I1581" s="2" t="s">
        <v>23</v>
      </c>
      <c r="J1581" s="2">
        <v>3</v>
      </c>
      <c r="K1581" s="8">
        <v>2199</v>
      </c>
      <c r="L1581" s="3">
        <v>0</v>
      </c>
      <c r="M1581" s="12">
        <f>K1581*L1581</f>
        <v>0</v>
      </c>
      <c r="N1581" s="12">
        <f>K1581*J1581</f>
        <v>6597</v>
      </c>
      <c r="O1581" s="12">
        <f>N1581-M1581</f>
        <v>6597</v>
      </c>
      <c r="P1581" s="2" t="s">
        <v>17</v>
      </c>
      <c r="Q1581" s="2" t="s">
        <v>18</v>
      </c>
      <c r="R1581" s="2">
        <v>0</v>
      </c>
      <c r="S1581" s="20">
        <f>Table1[[#This Row],[Net_revenue]]/Table1[[#This Row],[Gross_revenue]]*100%</f>
        <v>1</v>
      </c>
      <c r="T1581" s="18">
        <f>COUNTIFS(Table1[Customer ID], "&gt;1", Table1[Customer ID], 1)</f>
        <v>0</v>
      </c>
    </row>
    <row r="1582" spans="1:20" hidden="1" x14ac:dyDescent="0.3">
      <c r="A1582" s="2" t="s">
        <v>2274</v>
      </c>
      <c r="B1582" s="5">
        <v>45669</v>
      </c>
      <c r="C1582" s="5" t="str">
        <f>TEXT(B1582,"mmm")</f>
        <v>Jan</v>
      </c>
      <c r="D1582" s="2" t="s">
        <v>1866</v>
      </c>
      <c r="E1582" s="2" t="s">
        <v>195</v>
      </c>
      <c r="F1582" s="2" t="str" cm="1">
        <f t="array" ref="F15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82" s="2" t="str" cm="1">
        <f t="array" ref="G15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82" s="2" t="s">
        <v>134</v>
      </c>
      <c r="I1582" s="2" t="s">
        <v>29</v>
      </c>
      <c r="J1582" s="2">
        <v>2</v>
      </c>
      <c r="K1582" s="8">
        <v>1499</v>
      </c>
      <c r="L1582" s="3">
        <v>0.15</v>
      </c>
      <c r="M1582" s="12">
        <f>K1582*L1582</f>
        <v>224.85</v>
      </c>
      <c r="N1582" s="12">
        <f>K1582*J1582</f>
        <v>2998</v>
      </c>
      <c r="O1582" s="12">
        <f>N1582-M1582</f>
        <v>2773.15</v>
      </c>
      <c r="P1582" s="2" t="s">
        <v>45</v>
      </c>
      <c r="Q1582" s="2" t="s">
        <v>18</v>
      </c>
      <c r="R1582" s="2">
        <v>80</v>
      </c>
      <c r="S1582" s="20">
        <f>Table1[[#This Row],[Net_revenue]]/Table1[[#This Row],[Gross_revenue]]*100%</f>
        <v>0.92500000000000004</v>
      </c>
      <c r="T1582" s="18">
        <f>COUNTIFS(Table1[Customer ID], "&gt;1", Table1[Customer ID], 1)</f>
        <v>0</v>
      </c>
    </row>
    <row r="1583" spans="1:20" hidden="1" x14ac:dyDescent="0.3">
      <c r="A1583" s="2" t="s">
        <v>2275</v>
      </c>
      <c r="B1583" s="5">
        <v>45659</v>
      </c>
      <c r="C1583" s="5" t="str">
        <f>TEXT(B1583,"mmm")</f>
        <v>Jan</v>
      </c>
      <c r="D1583" s="2" t="s">
        <v>1307</v>
      </c>
      <c r="E1583" s="2" t="s">
        <v>120</v>
      </c>
      <c r="F1583" s="2" t="str" cm="1">
        <f t="array" ref="F15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83" s="2" t="str" cm="1">
        <f t="array" ref="G15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83" s="2" t="s">
        <v>33</v>
      </c>
      <c r="I1583" s="2" t="s">
        <v>16</v>
      </c>
      <c r="J1583" s="2">
        <v>4</v>
      </c>
      <c r="K1583" s="8">
        <v>899</v>
      </c>
      <c r="L1583" s="3">
        <v>0.1</v>
      </c>
      <c r="M1583" s="12">
        <f>K1583*L1583</f>
        <v>89.9</v>
      </c>
      <c r="N1583" s="12">
        <f>K1583*J1583</f>
        <v>3596</v>
      </c>
      <c r="O1583" s="12">
        <f>N1583-M1583</f>
        <v>3506.1</v>
      </c>
      <c r="P1583" s="2" t="s">
        <v>17</v>
      </c>
      <c r="Q1583" s="2" t="s">
        <v>72</v>
      </c>
      <c r="R1583" s="2">
        <v>40</v>
      </c>
      <c r="S1583" s="20">
        <f>Table1[[#This Row],[Net_revenue]]/Table1[[#This Row],[Gross_revenue]]*100%</f>
        <v>0.97499999999999998</v>
      </c>
      <c r="T1583" s="18">
        <f>COUNTIFS(Table1[Customer ID], "&gt;1", Table1[Customer ID], 1)</f>
        <v>0</v>
      </c>
    </row>
    <row r="1584" spans="1:20" hidden="1" x14ac:dyDescent="0.3">
      <c r="A1584" s="2" t="s">
        <v>2276</v>
      </c>
      <c r="B1584" s="5">
        <v>45832</v>
      </c>
      <c r="C1584" s="5" t="str">
        <f>TEXT(B1584,"mmm")</f>
        <v>Jun</v>
      </c>
      <c r="D1584" s="2" t="s">
        <v>1326</v>
      </c>
      <c r="E1584" s="2" t="s">
        <v>53</v>
      </c>
      <c r="F1584" s="2" t="str" cm="1">
        <f t="array" ref="F15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584" s="2" t="str" cm="1">
        <f t="array" ref="G15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84" s="2" t="s">
        <v>44</v>
      </c>
      <c r="I1584" s="2" t="s">
        <v>16</v>
      </c>
      <c r="J1584" s="2">
        <v>1</v>
      </c>
      <c r="K1584" s="8">
        <v>1599</v>
      </c>
      <c r="L1584" s="3">
        <v>0.1</v>
      </c>
      <c r="M1584" s="12">
        <f>K1584*L1584</f>
        <v>159.9</v>
      </c>
      <c r="N1584" s="12">
        <f>K1584*J1584</f>
        <v>1599</v>
      </c>
      <c r="O1584" s="12">
        <f>N1584-M1584</f>
        <v>1439.1</v>
      </c>
      <c r="P1584" s="2" t="s">
        <v>17</v>
      </c>
      <c r="Q1584" s="2" t="s">
        <v>18</v>
      </c>
      <c r="R1584" s="2">
        <v>60</v>
      </c>
      <c r="S1584" s="20">
        <f>Table1[[#This Row],[Net_revenue]]/Table1[[#This Row],[Gross_revenue]]*100%</f>
        <v>0.89999999999999991</v>
      </c>
      <c r="T1584" s="18">
        <f>COUNTIFS(Table1[Customer ID], "&gt;1", Table1[Customer ID], 1)</f>
        <v>0</v>
      </c>
    </row>
    <row r="1585" spans="1:20" hidden="1" x14ac:dyDescent="0.3">
      <c r="A1585" s="2" t="s">
        <v>2277</v>
      </c>
      <c r="B1585" s="5">
        <v>45815</v>
      </c>
      <c r="C1585" s="5" t="str">
        <f>TEXT(B1585,"mmm")</f>
        <v>Jun</v>
      </c>
      <c r="D1585" s="2" t="s">
        <v>930</v>
      </c>
      <c r="E1585" s="2" t="s">
        <v>195</v>
      </c>
      <c r="F1585" s="2" t="str" cm="1">
        <f t="array" ref="F15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585" s="2" t="str" cm="1">
        <f t="array" ref="G15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85" s="2" t="s">
        <v>134</v>
      </c>
      <c r="I1585" s="2" t="s">
        <v>29</v>
      </c>
      <c r="J1585" s="2">
        <v>1</v>
      </c>
      <c r="K1585" s="8">
        <v>1499</v>
      </c>
      <c r="L1585" s="3">
        <v>0.1</v>
      </c>
      <c r="M1585" s="12">
        <f>K1585*L1585</f>
        <v>149.9</v>
      </c>
      <c r="N1585" s="12">
        <f>K1585*J1585</f>
        <v>1499</v>
      </c>
      <c r="O1585" s="12">
        <f>N1585-M1585</f>
        <v>1349.1</v>
      </c>
      <c r="P1585" s="2" t="s">
        <v>30</v>
      </c>
      <c r="Q1585" s="2" t="s">
        <v>18</v>
      </c>
      <c r="R1585" s="2">
        <v>40</v>
      </c>
      <c r="S1585" s="20">
        <f>Table1[[#This Row],[Net_revenue]]/Table1[[#This Row],[Gross_revenue]]*100%</f>
        <v>0.89999999999999991</v>
      </c>
      <c r="T1585" s="18">
        <f>COUNTIFS(Table1[Customer ID], "&gt;1", Table1[Customer ID], 1)</f>
        <v>0</v>
      </c>
    </row>
    <row r="1586" spans="1:20" hidden="1" x14ac:dyDescent="0.3">
      <c r="A1586" s="2" t="s">
        <v>2278</v>
      </c>
      <c r="B1586" s="5">
        <v>45799</v>
      </c>
      <c r="C1586" s="5" t="str">
        <f>TEXT(B1586,"mmm")</f>
        <v>May</v>
      </c>
      <c r="D1586" s="2" t="s">
        <v>692</v>
      </c>
      <c r="E1586" s="2" t="s">
        <v>14</v>
      </c>
      <c r="F1586" s="2" t="str" cm="1">
        <f t="array" ref="F15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586" s="2" t="str" cm="1">
        <f t="array" ref="G15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586" s="2" t="s">
        <v>44</v>
      </c>
      <c r="I1586" s="2" t="s">
        <v>16</v>
      </c>
      <c r="J1586" s="2">
        <v>1</v>
      </c>
      <c r="K1586" s="8">
        <v>1599</v>
      </c>
      <c r="L1586" s="3">
        <v>0.15</v>
      </c>
      <c r="M1586" s="12">
        <f>K1586*L1586</f>
        <v>239.85</v>
      </c>
      <c r="N1586" s="12">
        <f>K1586*J1586</f>
        <v>1599</v>
      </c>
      <c r="O1586" s="12">
        <f>N1586-M1586</f>
        <v>1359.15</v>
      </c>
      <c r="P1586" s="2" t="s">
        <v>24</v>
      </c>
      <c r="Q1586" s="2" t="s">
        <v>18</v>
      </c>
      <c r="R1586" s="2">
        <v>80</v>
      </c>
      <c r="S1586" s="20">
        <f>Table1[[#This Row],[Net_revenue]]/Table1[[#This Row],[Gross_revenue]]*100%</f>
        <v>0.85000000000000009</v>
      </c>
      <c r="T1586" s="18">
        <f>COUNTIFS(Table1[Customer ID], "&gt;1", Table1[Customer ID], 1)</f>
        <v>0</v>
      </c>
    </row>
    <row r="1587" spans="1:20" hidden="1" x14ac:dyDescent="0.3">
      <c r="A1587" s="2" t="s">
        <v>2279</v>
      </c>
      <c r="B1587" s="5">
        <v>45922</v>
      </c>
      <c r="C1587" s="5" t="str">
        <f>TEXT(B1587,"mmm")</f>
        <v>Sep</v>
      </c>
      <c r="D1587" s="2" t="s">
        <v>2280</v>
      </c>
      <c r="E1587" s="2" t="s">
        <v>40</v>
      </c>
      <c r="F1587" s="2" t="str" cm="1">
        <f t="array" ref="F15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87" s="2" t="str" cm="1">
        <f t="array" ref="G15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87" s="2" t="s">
        <v>89</v>
      </c>
      <c r="I1587" s="2" t="s">
        <v>29</v>
      </c>
      <c r="J1587" s="2">
        <v>1</v>
      </c>
      <c r="K1587" s="8">
        <v>449</v>
      </c>
      <c r="L1587" s="3">
        <v>0.2</v>
      </c>
      <c r="M1587" s="12">
        <f>K1587*L1587</f>
        <v>89.800000000000011</v>
      </c>
      <c r="N1587" s="12">
        <f>K1587*J1587</f>
        <v>449</v>
      </c>
      <c r="O1587" s="12">
        <f>N1587-M1587</f>
        <v>359.2</v>
      </c>
      <c r="P1587" s="2" t="s">
        <v>30</v>
      </c>
      <c r="Q1587" s="2" t="s">
        <v>18</v>
      </c>
      <c r="R1587" s="2">
        <v>60</v>
      </c>
      <c r="S1587" s="20">
        <f>Table1[[#This Row],[Net_revenue]]/Table1[[#This Row],[Gross_revenue]]*100%</f>
        <v>0.79999999999999993</v>
      </c>
      <c r="T1587" s="18">
        <f>COUNTIFS(Table1[Customer ID], "&gt;1", Table1[Customer ID], 1)</f>
        <v>0</v>
      </c>
    </row>
    <row r="1588" spans="1:20" hidden="1" x14ac:dyDescent="0.3">
      <c r="A1588" s="2" t="s">
        <v>2281</v>
      </c>
      <c r="B1588" s="5">
        <v>45739</v>
      </c>
      <c r="C1588" s="5" t="str">
        <f>TEXT(B1588,"mmm")</f>
        <v>Mar</v>
      </c>
      <c r="D1588" s="2" t="s">
        <v>494</v>
      </c>
      <c r="E1588" s="2" t="s">
        <v>21</v>
      </c>
      <c r="F1588" s="2" t="str" cm="1">
        <f t="array" ref="F15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88" s="2" t="str" cm="1">
        <f t="array" ref="G15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88" s="2" t="s">
        <v>49</v>
      </c>
      <c r="I1588" s="2" t="s">
        <v>23</v>
      </c>
      <c r="J1588" s="2">
        <v>1</v>
      </c>
      <c r="K1588" s="8">
        <v>1299</v>
      </c>
      <c r="L1588" s="3">
        <v>0.15</v>
      </c>
      <c r="M1588" s="12">
        <f>K1588*L1588</f>
        <v>194.85</v>
      </c>
      <c r="N1588" s="12">
        <f>K1588*J1588</f>
        <v>1299</v>
      </c>
      <c r="O1588" s="12">
        <f>N1588-M1588</f>
        <v>1104.1500000000001</v>
      </c>
      <c r="P1588" s="2" t="s">
        <v>30</v>
      </c>
      <c r="Q1588" s="2" t="s">
        <v>50</v>
      </c>
      <c r="R1588" s="2">
        <v>0</v>
      </c>
      <c r="S1588" s="20">
        <f>Table1[[#This Row],[Net_revenue]]/Table1[[#This Row],[Gross_revenue]]*100%</f>
        <v>0.85000000000000009</v>
      </c>
      <c r="T1588" s="18">
        <f>COUNTIFS(Table1[Customer ID], "&gt;1", Table1[Customer ID], 1)</f>
        <v>0</v>
      </c>
    </row>
    <row r="1589" spans="1:20" hidden="1" x14ac:dyDescent="0.3">
      <c r="A1589" s="2" t="s">
        <v>2282</v>
      </c>
      <c r="B1589" s="5">
        <v>45926</v>
      </c>
      <c r="C1589" s="5" t="str">
        <f>TEXT(B1589,"mmm")</f>
        <v>Sep</v>
      </c>
      <c r="D1589" s="2" t="s">
        <v>1041</v>
      </c>
      <c r="E1589" s="2" t="s">
        <v>21</v>
      </c>
      <c r="F1589" s="2" t="str" cm="1">
        <f t="array" ref="F15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89" s="2" t="str" cm="1">
        <f t="array" ref="G15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89" s="2" t="s">
        <v>65</v>
      </c>
      <c r="I1589" s="2" t="s">
        <v>23</v>
      </c>
      <c r="J1589" s="2">
        <v>4</v>
      </c>
      <c r="K1589" s="8">
        <v>1899</v>
      </c>
      <c r="L1589" s="3">
        <v>0.2</v>
      </c>
      <c r="M1589" s="12">
        <f>K1589*L1589</f>
        <v>379.8</v>
      </c>
      <c r="N1589" s="12">
        <f>K1589*J1589</f>
        <v>7596</v>
      </c>
      <c r="O1589" s="12">
        <f>N1589-M1589</f>
        <v>7216.2</v>
      </c>
      <c r="P1589" s="2" t="s">
        <v>30</v>
      </c>
      <c r="Q1589" s="2" t="s">
        <v>18</v>
      </c>
      <c r="R1589" s="2">
        <v>80</v>
      </c>
      <c r="S1589" s="20">
        <f>Table1[[#This Row],[Net_revenue]]/Table1[[#This Row],[Gross_revenue]]*100%</f>
        <v>0.95</v>
      </c>
      <c r="T1589" s="18">
        <f>COUNTIFS(Table1[Customer ID], "&gt;1", Table1[Customer ID], 1)</f>
        <v>0</v>
      </c>
    </row>
    <row r="1590" spans="1:20" hidden="1" x14ac:dyDescent="0.3">
      <c r="A1590" s="2" t="s">
        <v>2283</v>
      </c>
      <c r="B1590" s="5">
        <v>45848</v>
      </c>
      <c r="C1590" s="5" t="str">
        <f>TEXT(B1590,"mmm")</f>
        <v>Jul</v>
      </c>
      <c r="D1590" s="2" t="s">
        <v>1222</v>
      </c>
      <c r="E1590" s="2" t="s">
        <v>48</v>
      </c>
      <c r="F1590" s="2" t="str" cm="1">
        <f t="array" ref="F15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90" s="2" t="str" cm="1">
        <f t="array" ref="G15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90" s="2" t="s">
        <v>121</v>
      </c>
      <c r="I1590" s="2" t="s">
        <v>95</v>
      </c>
      <c r="J1590" s="2">
        <v>1</v>
      </c>
      <c r="K1590" s="8">
        <v>1299</v>
      </c>
      <c r="L1590" s="3">
        <v>0</v>
      </c>
      <c r="M1590" s="12">
        <f>K1590*L1590</f>
        <v>0</v>
      </c>
      <c r="N1590" s="12">
        <f>K1590*J1590</f>
        <v>1299</v>
      </c>
      <c r="O1590" s="12">
        <f>N1590-M1590</f>
        <v>1299</v>
      </c>
      <c r="P1590" s="2" t="s">
        <v>30</v>
      </c>
      <c r="Q1590" s="2" t="s">
        <v>18</v>
      </c>
      <c r="R1590" s="2">
        <v>0</v>
      </c>
      <c r="S1590" s="20">
        <f>Table1[[#This Row],[Net_revenue]]/Table1[[#This Row],[Gross_revenue]]*100%</f>
        <v>1</v>
      </c>
      <c r="T1590" s="18">
        <f>COUNTIFS(Table1[Customer ID], "&gt;1", Table1[Customer ID], 1)</f>
        <v>0</v>
      </c>
    </row>
    <row r="1591" spans="1:20" hidden="1" x14ac:dyDescent="0.3">
      <c r="A1591" s="2" t="s">
        <v>2284</v>
      </c>
      <c r="B1591" s="5">
        <v>45698</v>
      </c>
      <c r="C1591" s="5" t="str">
        <f>TEXT(B1591,"mmm")</f>
        <v>Feb</v>
      </c>
      <c r="D1591" s="2" t="s">
        <v>570</v>
      </c>
      <c r="E1591" s="2" t="s">
        <v>14</v>
      </c>
      <c r="F1591" s="2" t="str" cm="1">
        <f t="array" ref="F15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591" s="2" t="str" cm="1">
        <f t="array" ref="G15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591" s="2" t="s">
        <v>28</v>
      </c>
      <c r="I1591" s="2" t="s">
        <v>29</v>
      </c>
      <c r="J1591" s="2">
        <v>4</v>
      </c>
      <c r="K1591" s="8">
        <v>2799</v>
      </c>
      <c r="L1591" s="3">
        <v>0</v>
      </c>
      <c r="M1591" s="12">
        <f>K1591*L1591</f>
        <v>0</v>
      </c>
      <c r="N1591" s="12">
        <f>K1591*J1591</f>
        <v>11196</v>
      </c>
      <c r="O1591" s="12">
        <f>N1591-M1591</f>
        <v>11196</v>
      </c>
      <c r="P1591" s="2" t="s">
        <v>30</v>
      </c>
      <c r="Q1591" s="2" t="s">
        <v>18</v>
      </c>
      <c r="R1591" s="2">
        <v>60</v>
      </c>
      <c r="S1591" s="20">
        <f>Table1[[#This Row],[Net_revenue]]/Table1[[#This Row],[Gross_revenue]]*100%</f>
        <v>1</v>
      </c>
      <c r="T1591" s="18">
        <f>COUNTIFS(Table1[Customer ID], "&gt;1", Table1[Customer ID], 1)</f>
        <v>0</v>
      </c>
    </row>
    <row r="1592" spans="1:20" hidden="1" x14ac:dyDescent="0.3">
      <c r="A1592" s="2" t="s">
        <v>2285</v>
      </c>
      <c r="B1592" s="5">
        <v>45983</v>
      </c>
      <c r="C1592" s="5" t="str">
        <f>TEXT(B1592,"mmm")</f>
        <v>Nov</v>
      </c>
      <c r="D1592" s="2" t="s">
        <v>856</v>
      </c>
      <c r="E1592" s="2" t="s">
        <v>14</v>
      </c>
      <c r="F1592" s="2" t="str" cm="1">
        <f t="array" ref="F15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592" s="2" t="str" cm="1">
        <f t="array" ref="G15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592" s="2" t="s">
        <v>15</v>
      </c>
      <c r="I1592" s="2" t="s">
        <v>16</v>
      </c>
      <c r="J1592" s="2">
        <v>1</v>
      </c>
      <c r="K1592" s="8">
        <v>1799</v>
      </c>
      <c r="L1592" s="3">
        <v>0.25</v>
      </c>
      <c r="M1592" s="12">
        <f>K1592*L1592</f>
        <v>449.75</v>
      </c>
      <c r="N1592" s="12">
        <f>K1592*J1592</f>
        <v>1799</v>
      </c>
      <c r="O1592" s="12">
        <f>N1592-M1592</f>
        <v>1349.25</v>
      </c>
      <c r="P1592" s="2" t="s">
        <v>17</v>
      </c>
      <c r="Q1592" s="2" t="s">
        <v>18</v>
      </c>
      <c r="R1592" s="2">
        <v>80</v>
      </c>
      <c r="S1592" s="20">
        <f>Table1[[#This Row],[Net_revenue]]/Table1[[#This Row],[Gross_revenue]]*100%</f>
        <v>0.75</v>
      </c>
      <c r="T1592" s="18">
        <f>COUNTIFS(Table1[Customer ID], "&gt;1", Table1[Customer ID], 1)</f>
        <v>0</v>
      </c>
    </row>
    <row r="1593" spans="1:20" hidden="1" x14ac:dyDescent="0.3">
      <c r="A1593" s="2" t="s">
        <v>2286</v>
      </c>
      <c r="B1593" s="5">
        <v>45733</v>
      </c>
      <c r="C1593" s="5" t="str">
        <f>TEXT(B1593,"mmm")</f>
        <v>Mar</v>
      </c>
      <c r="D1593" s="2" t="s">
        <v>2287</v>
      </c>
      <c r="E1593" s="2" t="s">
        <v>48</v>
      </c>
      <c r="F1593" s="2" t="str" cm="1">
        <f t="array" ref="F15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593" s="2" t="str" cm="1">
        <f t="array" ref="G15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93" s="2" t="s">
        <v>71</v>
      </c>
      <c r="I1593" s="2" t="s">
        <v>29</v>
      </c>
      <c r="J1593" s="2">
        <v>2</v>
      </c>
      <c r="K1593" s="8">
        <v>5499</v>
      </c>
      <c r="L1593" s="3">
        <v>0.25</v>
      </c>
      <c r="M1593" s="12">
        <f>K1593*L1593</f>
        <v>1374.75</v>
      </c>
      <c r="N1593" s="12">
        <f>K1593*J1593</f>
        <v>10998</v>
      </c>
      <c r="O1593" s="12">
        <f>N1593-M1593</f>
        <v>9623.25</v>
      </c>
      <c r="P1593" s="2" t="s">
        <v>24</v>
      </c>
      <c r="Q1593" s="2" t="s">
        <v>18</v>
      </c>
      <c r="R1593" s="2">
        <v>80</v>
      </c>
      <c r="S1593" s="20">
        <f>Table1[[#This Row],[Net_revenue]]/Table1[[#This Row],[Gross_revenue]]*100%</f>
        <v>0.875</v>
      </c>
      <c r="T1593" s="18">
        <f>COUNTIFS(Table1[Customer ID], "&gt;1", Table1[Customer ID], 1)</f>
        <v>0</v>
      </c>
    </row>
    <row r="1594" spans="1:20" hidden="1" x14ac:dyDescent="0.3">
      <c r="A1594" s="2" t="s">
        <v>2288</v>
      </c>
      <c r="B1594" s="5">
        <v>45858</v>
      </c>
      <c r="C1594" s="5" t="str">
        <f>TEXT(B1594,"mmm")</f>
        <v>Jul</v>
      </c>
      <c r="D1594" s="2" t="s">
        <v>253</v>
      </c>
      <c r="E1594" s="2" t="s">
        <v>40</v>
      </c>
      <c r="F1594" s="2" t="str" cm="1">
        <f t="array" ref="F15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94" s="2" t="str" cm="1">
        <f t="array" ref="G15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94" s="2" t="s">
        <v>36</v>
      </c>
      <c r="I1594" s="2" t="s">
        <v>37</v>
      </c>
      <c r="J1594" s="2">
        <v>2</v>
      </c>
      <c r="K1594" s="8">
        <v>349</v>
      </c>
      <c r="L1594" s="3">
        <v>0.1</v>
      </c>
      <c r="M1594" s="12">
        <f>K1594*L1594</f>
        <v>34.9</v>
      </c>
      <c r="N1594" s="12">
        <f>K1594*J1594</f>
        <v>698</v>
      </c>
      <c r="O1594" s="12">
        <f>N1594-M1594</f>
        <v>663.1</v>
      </c>
      <c r="P1594" s="2" t="s">
        <v>17</v>
      </c>
      <c r="Q1594" s="2" t="s">
        <v>18</v>
      </c>
      <c r="R1594" s="2">
        <v>40</v>
      </c>
      <c r="S1594" s="20">
        <f>Table1[[#This Row],[Net_revenue]]/Table1[[#This Row],[Gross_revenue]]*100%</f>
        <v>0.95000000000000007</v>
      </c>
      <c r="T1594" s="18">
        <f>COUNTIFS(Table1[Customer ID], "&gt;1", Table1[Customer ID], 1)</f>
        <v>0</v>
      </c>
    </row>
    <row r="1595" spans="1:20" hidden="1" x14ac:dyDescent="0.3">
      <c r="A1595" s="2" t="s">
        <v>2289</v>
      </c>
      <c r="B1595" s="5">
        <v>45813</v>
      </c>
      <c r="C1595" s="5" t="str">
        <f>TEXT(B1595,"mmm")</f>
        <v>Jun</v>
      </c>
      <c r="D1595" s="2" t="s">
        <v>319</v>
      </c>
      <c r="E1595" s="2" t="s">
        <v>21</v>
      </c>
      <c r="F1595" s="2" t="str" cm="1">
        <f t="array" ref="F15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95" s="2" t="str" cm="1">
        <f t="array" ref="G15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95" s="2" t="s">
        <v>68</v>
      </c>
      <c r="I1595" s="2" t="s">
        <v>16</v>
      </c>
      <c r="J1595" s="2">
        <v>5</v>
      </c>
      <c r="K1595" s="8">
        <v>599</v>
      </c>
      <c r="L1595" s="3">
        <v>0.2</v>
      </c>
      <c r="M1595" s="12">
        <f>K1595*L1595</f>
        <v>119.80000000000001</v>
      </c>
      <c r="N1595" s="12">
        <f>K1595*J1595</f>
        <v>2995</v>
      </c>
      <c r="O1595" s="12">
        <f>N1595-M1595</f>
        <v>2875.2</v>
      </c>
      <c r="P1595" s="2" t="s">
        <v>45</v>
      </c>
      <c r="Q1595" s="2" t="s">
        <v>18</v>
      </c>
      <c r="R1595" s="2">
        <v>60</v>
      </c>
      <c r="S1595" s="20">
        <f>Table1[[#This Row],[Net_revenue]]/Table1[[#This Row],[Gross_revenue]]*100%</f>
        <v>0.96</v>
      </c>
      <c r="T1595" s="18">
        <f>COUNTIFS(Table1[Customer ID], "&gt;1", Table1[Customer ID], 1)</f>
        <v>0</v>
      </c>
    </row>
    <row r="1596" spans="1:20" hidden="1" x14ac:dyDescent="0.3">
      <c r="A1596" s="2" t="s">
        <v>2290</v>
      </c>
      <c r="B1596" s="5">
        <v>45741</v>
      </c>
      <c r="C1596" s="5" t="str">
        <f>TEXT(B1596,"mmm")</f>
        <v>Mar</v>
      </c>
      <c r="D1596" s="2" t="s">
        <v>1038</v>
      </c>
      <c r="E1596" s="2" t="s">
        <v>40</v>
      </c>
      <c r="F1596" s="2" t="str" cm="1">
        <f t="array" ref="F15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96" s="2" t="str" cm="1">
        <f t="array" ref="G15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96" s="2" t="s">
        <v>33</v>
      </c>
      <c r="I1596" s="2" t="s">
        <v>16</v>
      </c>
      <c r="J1596" s="2">
        <v>1</v>
      </c>
      <c r="K1596" s="8">
        <v>899</v>
      </c>
      <c r="L1596" s="3">
        <v>0.1</v>
      </c>
      <c r="M1596" s="12">
        <f>K1596*L1596</f>
        <v>89.9</v>
      </c>
      <c r="N1596" s="12">
        <f>K1596*J1596</f>
        <v>899</v>
      </c>
      <c r="O1596" s="12">
        <f>N1596-M1596</f>
        <v>809.1</v>
      </c>
      <c r="P1596" s="2" t="s">
        <v>17</v>
      </c>
      <c r="Q1596" s="2" t="s">
        <v>18</v>
      </c>
      <c r="R1596" s="2">
        <v>0</v>
      </c>
      <c r="S1596" s="20">
        <f>Table1[[#This Row],[Net_revenue]]/Table1[[#This Row],[Gross_revenue]]*100%</f>
        <v>0.9</v>
      </c>
      <c r="T1596" s="18">
        <f>COUNTIFS(Table1[Customer ID], "&gt;1", Table1[Customer ID], 1)</f>
        <v>0</v>
      </c>
    </row>
    <row r="1597" spans="1:20" hidden="1" x14ac:dyDescent="0.3">
      <c r="A1597" s="2" t="s">
        <v>2291</v>
      </c>
      <c r="B1597" s="5">
        <v>45970</v>
      </c>
      <c r="C1597" s="5" t="str">
        <f>TEXT(B1597,"mmm")</f>
        <v>Nov</v>
      </c>
      <c r="D1597" s="2" t="s">
        <v>383</v>
      </c>
      <c r="E1597" s="2" t="s">
        <v>120</v>
      </c>
      <c r="F1597" s="2" t="str" cm="1">
        <f t="array" ref="F15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597" s="2" t="str" cm="1">
        <f t="array" ref="G15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597" s="2" t="s">
        <v>183</v>
      </c>
      <c r="I1597" s="2" t="s">
        <v>37</v>
      </c>
      <c r="J1597" s="2">
        <v>2</v>
      </c>
      <c r="K1597" s="8">
        <v>499</v>
      </c>
      <c r="L1597" s="3">
        <v>0</v>
      </c>
      <c r="M1597" s="12">
        <f>K1597*L1597</f>
        <v>0</v>
      </c>
      <c r="N1597" s="12">
        <f>K1597*J1597</f>
        <v>998</v>
      </c>
      <c r="O1597" s="12">
        <f>N1597-M1597</f>
        <v>998</v>
      </c>
      <c r="P1597" s="2" t="s">
        <v>24</v>
      </c>
      <c r="Q1597" s="2" t="s">
        <v>18</v>
      </c>
      <c r="R1597" s="2">
        <v>80</v>
      </c>
      <c r="S1597" s="20">
        <f>Table1[[#This Row],[Net_revenue]]/Table1[[#This Row],[Gross_revenue]]*100%</f>
        <v>1</v>
      </c>
      <c r="T1597" s="18">
        <f>COUNTIFS(Table1[Customer ID], "&gt;1", Table1[Customer ID], 1)</f>
        <v>0</v>
      </c>
    </row>
    <row r="1598" spans="1:20" hidden="1" x14ac:dyDescent="0.3">
      <c r="A1598" s="2" t="s">
        <v>2292</v>
      </c>
      <c r="B1598" s="5">
        <v>46000</v>
      </c>
      <c r="C1598" s="5" t="str">
        <f>TEXT(B1598,"mmm")</f>
        <v>Dec</v>
      </c>
      <c r="D1598" s="2" t="s">
        <v>1029</v>
      </c>
      <c r="E1598" s="2" t="s">
        <v>56</v>
      </c>
      <c r="F1598" s="2" t="str" cm="1">
        <f t="array" ref="F15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598" s="2" t="str" cm="1">
        <f t="array" ref="G15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598" s="2" t="s">
        <v>22</v>
      </c>
      <c r="I1598" s="2" t="s">
        <v>23</v>
      </c>
      <c r="J1598" s="2">
        <v>3</v>
      </c>
      <c r="K1598" s="8">
        <v>3999</v>
      </c>
      <c r="L1598" s="3">
        <v>0.05</v>
      </c>
      <c r="M1598" s="12">
        <f>K1598*L1598</f>
        <v>199.95000000000002</v>
      </c>
      <c r="N1598" s="12">
        <f>K1598*J1598</f>
        <v>11997</v>
      </c>
      <c r="O1598" s="12">
        <f>N1598-M1598</f>
        <v>11797.05</v>
      </c>
      <c r="P1598" s="2" t="s">
        <v>45</v>
      </c>
      <c r="Q1598" s="2" t="s">
        <v>18</v>
      </c>
      <c r="R1598" s="2">
        <v>0</v>
      </c>
      <c r="S1598" s="20">
        <f>Table1[[#This Row],[Net_revenue]]/Table1[[#This Row],[Gross_revenue]]*100%</f>
        <v>0.98333333333333328</v>
      </c>
      <c r="T1598" s="18">
        <f>COUNTIFS(Table1[Customer ID], "&gt;1", Table1[Customer ID], 1)</f>
        <v>0</v>
      </c>
    </row>
    <row r="1599" spans="1:20" hidden="1" x14ac:dyDescent="0.3">
      <c r="A1599" s="2" t="s">
        <v>2293</v>
      </c>
      <c r="B1599" s="5">
        <v>45934</v>
      </c>
      <c r="C1599" s="5" t="str">
        <f>TEXT(B1599,"mmm")</f>
        <v>Oct</v>
      </c>
      <c r="D1599" s="2" t="s">
        <v>626</v>
      </c>
      <c r="E1599" s="2" t="s">
        <v>40</v>
      </c>
      <c r="F1599" s="2" t="str" cm="1">
        <f t="array" ref="F15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599" s="2" t="str" cm="1">
        <f t="array" ref="G15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599" s="2" t="s">
        <v>28</v>
      </c>
      <c r="I1599" s="2" t="s">
        <v>29</v>
      </c>
      <c r="J1599" s="2">
        <v>3</v>
      </c>
      <c r="K1599" s="8">
        <v>2799</v>
      </c>
      <c r="L1599" s="3">
        <v>0.15</v>
      </c>
      <c r="M1599" s="12">
        <f>K1599*L1599</f>
        <v>419.84999999999997</v>
      </c>
      <c r="N1599" s="12">
        <f>K1599*J1599</f>
        <v>8397</v>
      </c>
      <c r="O1599" s="12">
        <f>N1599-M1599</f>
        <v>7977.15</v>
      </c>
      <c r="P1599" s="2" t="s">
        <v>45</v>
      </c>
      <c r="Q1599" s="2" t="s">
        <v>18</v>
      </c>
      <c r="R1599" s="2">
        <v>80</v>
      </c>
      <c r="S1599" s="20">
        <f>Table1[[#This Row],[Net_revenue]]/Table1[[#This Row],[Gross_revenue]]*100%</f>
        <v>0.95</v>
      </c>
      <c r="T1599" s="18">
        <f>COUNTIFS(Table1[Customer ID], "&gt;1", Table1[Customer ID], 1)</f>
        <v>0</v>
      </c>
    </row>
    <row r="1600" spans="1:20" hidden="1" x14ac:dyDescent="0.3">
      <c r="A1600" s="2" t="s">
        <v>2294</v>
      </c>
      <c r="B1600" s="5">
        <v>45716</v>
      </c>
      <c r="C1600" s="5" t="str">
        <f>TEXT(B1600,"mmm")</f>
        <v>Feb</v>
      </c>
      <c r="D1600" s="2" t="s">
        <v>1622</v>
      </c>
      <c r="E1600" s="2" t="s">
        <v>75</v>
      </c>
      <c r="F1600" s="2" t="str" cm="1">
        <f t="array" ref="F16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00" s="2" t="str" cm="1">
        <f t="array" ref="G16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00" s="2" t="s">
        <v>15</v>
      </c>
      <c r="I1600" s="2" t="s">
        <v>16</v>
      </c>
      <c r="J1600" s="2">
        <v>4</v>
      </c>
      <c r="K1600" s="8">
        <v>1799</v>
      </c>
      <c r="L1600" s="3">
        <v>0.25</v>
      </c>
      <c r="M1600" s="12">
        <f>K1600*L1600</f>
        <v>449.75</v>
      </c>
      <c r="N1600" s="12">
        <f>K1600*J1600</f>
        <v>7196</v>
      </c>
      <c r="O1600" s="12">
        <f>N1600-M1600</f>
        <v>6746.25</v>
      </c>
      <c r="P1600" s="2" t="s">
        <v>30</v>
      </c>
      <c r="Q1600" s="2" t="s">
        <v>18</v>
      </c>
      <c r="R1600" s="2">
        <v>80</v>
      </c>
      <c r="S1600" s="20">
        <f>Table1[[#This Row],[Net_revenue]]/Table1[[#This Row],[Gross_revenue]]*100%</f>
        <v>0.9375</v>
      </c>
      <c r="T1600" s="18">
        <f>COUNTIFS(Table1[Customer ID], "&gt;1", Table1[Customer ID], 1)</f>
        <v>0</v>
      </c>
    </row>
    <row r="1601" spans="1:20" hidden="1" x14ac:dyDescent="0.3">
      <c r="A1601" s="2" t="s">
        <v>2295</v>
      </c>
      <c r="B1601" s="5">
        <v>45706</v>
      </c>
      <c r="C1601" s="5" t="str">
        <f>TEXT(B1601,"mmm")</f>
        <v>Feb</v>
      </c>
      <c r="D1601" s="2" t="s">
        <v>1753</v>
      </c>
      <c r="E1601" s="2" t="s">
        <v>48</v>
      </c>
      <c r="F1601" s="2" t="str" cm="1">
        <f t="array" ref="F16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01" s="2" t="str" cm="1">
        <f t="array" ref="G16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01" s="2" t="s">
        <v>121</v>
      </c>
      <c r="I1601" s="2" t="s">
        <v>95</v>
      </c>
      <c r="J1601" s="2">
        <v>1</v>
      </c>
      <c r="K1601" s="8">
        <v>1299</v>
      </c>
      <c r="L1601" s="3">
        <v>0.25</v>
      </c>
      <c r="M1601" s="12">
        <f>K1601*L1601</f>
        <v>324.75</v>
      </c>
      <c r="N1601" s="12">
        <f>K1601*J1601</f>
        <v>1299</v>
      </c>
      <c r="O1601" s="12">
        <f>N1601-M1601</f>
        <v>974.25</v>
      </c>
      <c r="P1601" s="2" t="s">
        <v>45</v>
      </c>
      <c r="Q1601" s="2" t="s">
        <v>18</v>
      </c>
      <c r="R1601" s="2">
        <v>40</v>
      </c>
      <c r="S1601" s="20">
        <f>Table1[[#This Row],[Net_revenue]]/Table1[[#This Row],[Gross_revenue]]*100%</f>
        <v>0.75</v>
      </c>
      <c r="T1601" s="18">
        <f>COUNTIFS(Table1[Customer ID], "&gt;1", Table1[Customer ID], 1)</f>
        <v>0</v>
      </c>
    </row>
    <row r="1602" spans="1:20" hidden="1" x14ac:dyDescent="0.3">
      <c r="A1602" s="2" t="s">
        <v>2296</v>
      </c>
      <c r="B1602" s="5">
        <v>45881</v>
      </c>
      <c r="C1602" s="5" t="str">
        <f>TEXT(B1602,"mmm")</f>
        <v>Aug</v>
      </c>
      <c r="D1602" s="2" t="s">
        <v>626</v>
      </c>
      <c r="E1602" s="2" t="s">
        <v>40</v>
      </c>
      <c r="F1602" s="2" t="str" cm="1">
        <f t="array" ref="F16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02" s="2" t="str" cm="1">
        <f t="array" ref="G16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02" s="2" t="s">
        <v>80</v>
      </c>
      <c r="I1602" s="2" t="s">
        <v>23</v>
      </c>
      <c r="J1602" s="2">
        <v>1</v>
      </c>
      <c r="K1602" s="8">
        <v>799</v>
      </c>
      <c r="L1602" s="3">
        <v>0.2</v>
      </c>
      <c r="M1602" s="12">
        <f>K1602*L1602</f>
        <v>159.80000000000001</v>
      </c>
      <c r="N1602" s="12">
        <f>K1602*J1602</f>
        <v>799</v>
      </c>
      <c r="O1602" s="12">
        <f>N1602-M1602</f>
        <v>639.20000000000005</v>
      </c>
      <c r="P1602" s="2" t="s">
        <v>45</v>
      </c>
      <c r="Q1602" s="2" t="s">
        <v>18</v>
      </c>
      <c r="R1602" s="2">
        <v>60</v>
      </c>
      <c r="S1602" s="20">
        <f>Table1[[#This Row],[Net_revenue]]/Table1[[#This Row],[Gross_revenue]]*100%</f>
        <v>0.8</v>
      </c>
      <c r="T1602" s="18">
        <f>COUNTIFS(Table1[Customer ID], "&gt;1", Table1[Customer ID], 1)</f>
        <v>0</v>
      </c>
    </row>
    <row r="1603" spans="1:20" hidden="1" x14ac:dyDescent="0.3">
      <c r="A1603" s="2" t="s">
        <v>2297</v>
      </c>
      <c r="B1603" s="5">
        <v>45663</v>
      </c>
      <c r="C1603" s="5" t="str">
        <f>TEXT(B1603,"mmm")</f>
        <v>Jan</v>
      </c>
      <c r="D1603" s="2" t="s">
        <v>1821</v>
      </c>
      <c r="E1603" s="2" t="s">
        <v>21</v>
      </c>
      <c r="F1603" s="2" t="str" cm="1">
        <f t="array" ref="F16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03" s="2" t="str" cm="1">
        <f t="array" ref="G16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03" s="2" t="s">
        <v>188</v>
      </c>
      <c r="I1603" s="2" t="s">
        <v>95</v>
      </c>
      <c r="J1603" s="2">
        <v>1</v>
      </c>
      <c r="K1603" s="8">
        <v>699</v>
      </c>
      <c r="L1603" s="3">
        <v>0</v>
      </c>
      <c r="M1603" s="12">
        <f>K1603*L1603</f>
        <v>0</v>
      </c>
      <c r="N1603" s="12">
        <f>K1603*J1603</f>
        <v>699</v>
      </c>
      <c r="O1603" s="12">
        <f>N1603-M1603</f>
        <v>699</v>
      </c>
      <c r="P1603" s="2" t="s">
        <v>45</v>
      </c>
      <c r="Q1603" s="2" t="s">
        <v>18</v>
      </c>
      <c r="R1603" s="2">
        <v>60</v>
      </c>
      <c r="S1603" s="20">
        <f>Table1[[#This Row],[Net_revenue]]/Table1[[#This Row],[Gross_revenue]]*100%</f>
        <v>1</v>
      </c>
      <c r="T1603" s="18">
        <f>COUNTIFS(Table1[Customer ID], "&gt;1", Table1[Customer ID], 1)</f>
        <v>0</v>
      </c>
    </row>
    <row r="1604" spans="1:20" hidden="1" x14ac:dyDescent="0.3">
      <c r="A1604" s="2" t="s">
        <v>2298</v>
      </c>
      <c r="B1604" s="5">
        <v>45895</v>
      </c>
      <c r="C1604" s="5" t="str">
        <f>TEXT(B1604,"mmm")</f>
        <v>Aug</v>
      </c>
      <c r="D1604" s="2" t="s">
        <v>434</v>
      </c>
      <c r="E1604" s="2" t="s">
        <v>40</v>
      </c>
      <c r="F1604" s="2" t="str" cm="1">
        <f t="array" ref="F16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04" s="2" t="str" cm="1">
        <f t="array" ref="G16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04" s="2" t="s">
        <v>44</v>
      </c>
      <c r="I1604" s="2" t="s">
        <v>16</v>
      </c>
      <c r="J1604" s="2">
        <v>4</v>
      </c>
      <c r="K1604" s="8">
        <v>1599</v>
      </c>
      <c r="L1604" s="3">
        <v>0</v>
      </c>
      <c r="M1604" s="12">
        <f>K1604*L1604</f>
        <v>0</v>
      </c>
      <c r="N1604" s="12">
        <f>K1604*J1604</f>
        <v>6396</v>
      </c>
      <c r="O1604" s="12">
        <f>N1604-M1604</f>
        <v>6396</v>
      </c>
      <c r="P1604" s="2" t="s">
        <v>45</v>
      </c>
      <c r="Q1604" s="2" t="s">
        <v>72</v>
      </c>
      <c r="R1604" s="2">
        <v>0</v>
      </c>
      <c r="S1604" s="20">
        <f>Table1[[#This Row],[Net_revenue]]/Table1[[#This Row],[Gross_revenue]]*100%</f>
        <v>1</v>
      </c>
      <c r="T1604" s="18">
        <f>COUNTIFS(Table1[Customer ID], "&gt;1", Table1[Customer ID], 1)</f>
        <v>0</v>
      </c>
    </row>
    <row r="1605" spans="1:20" hidden="1" x14ac:dyDescent="0.3">
      <c r="A1605" s="2" t="s">
        <v>2299</v>
      </c>
      <c r="B1605" s="5">
        <v>45849</v>
      </c>
      <c r="C1605" s="5" t="str">
        <f>TEXT(B1605,"mmm")</f>
        <v>Jul</v>
      </c>
      <c r="D1605" s="2" t="s">
        <v>2300</v>
      </c>
      <c r="E1605" s="2" t="s">
        <v>14</v>
      </c>
      <c r="F1605" s="2" t="str" cm="1">
        <f t="array" ref="F16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05" s="2" t="str" cm="1">
        <f t="array" ref="G16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05" s="2" t="s">
        <v>65</v>
      </c>
      <c r="I1605" s="2" t="s">
        <v>23</v>
      </c>
      <c r="J1605" s="2">
        <v>1</v>
      </c>
      <c r="K1605" s="8">
        <v>1899</v>
      </c>
      <c r="L1605" s="3">
        <v>0.1</v>
      </c>
      <c r="M1605" s="12">
        <f>K1605*L1605</f>
        <v>189.9</v>
      </c>
      <c r="N1605" s="12">
        <f>K1605*J1605</f>
        <v>1899</v>
      </c>
      <c r="O1605" s="12">
        <f>N1605-M1605</f>
        <v>1709.1</v>
      </c>
      <c r="P1605" s="2" t="s">
        <v>45</v>
      </c>
      <c r="Q1605" s="2" t="s">
        <v>18</v>
      </c>
      <c r="R1605" s="2">
        <v>80</v>
      </c>
      <c r="S1605" s="20">
        <f>Table1[[#This Row],[Net_revenue]]/Table1[[#This Row],[Gross_revenue]]*100%</f>
        <v>0.89999999999999991</v>
      </c>
      <c r="T1605" s="18">
        <f>COUNTIFS(Table1[Customer ID], "&gt;1", Table1[Customer ID], 1)</f>
        <v>0</v>
      </c>
    </row>
    <row r="1606" spans="1:20" hidden="1" x14ac:dyDescent="0.3">
      <c r="A1606" s="2" t="s">
        <v>2301</v>
      </c>
      <c r="B1606" s="5">
        <v>45746</v>
      </c>
      <c r="C1606" s="5" t="str">
        <f>TEXT(B1606,"mmm")</f>
        <v>Mar</v>
      </c>
      <c r="D1606" s="2" t="s">
        <v>373</v>
      </c>
      <c r="E1606" s="2" t="s">
        <v>75</v>
      </c>
      <c r="F1606" s="2" t="str" cm="1">
        <f t="array" ref="F16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06" s="2" t="str" cm="1">
        <f t="array" ref="G16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06" s="2" t="s">
        <v>98</v>
      </c>
      <c r="I1606" s="2" t="s">
        <v>37</v>
      </c>
      <c r="J1606" s="2">
        <v>1</v>
      </c>
      <c r="K1606" s="8">
        <v>299</v>
      </c>
      <c r="L1606" s="3">
        <v>0.1</v>
      </c>
      <c r="M1606" s="12">
        <f>K1606*L1606</f>
        <v>29.900000000000002</v>
      </c>
      <c r="N1606" s="12">
        <f>K1606*J1606</f>
        <v>299</v>
      </c>
      <c r="O1606" s="12">
        <f>N1606-M1606</f>
        <v>269.10000000000002</v>
      </c>
      <c r="P1606" s="2" t="s">
        <v>45</v>
      </c>
      <c r="Q1606" s="2" t="s">
        <v>18</v>
      </c>
      <c r="R1606" s="2">
        <v>80</v>
      </c>
      <c r="S1606" s="20">
        <f>Table1[[#This Row],[Net_revenue]]/Table1[[#This Row],[Gross_revenue]]*100%</f>
        <v>0.9</v>
      </c>
      <c r="T1606" s="18">
        <f>COUNTIFS(Table1[Customer ID], "&gt;1", Table1[Customer ID], 1)</f>
        <v>0</v>
      </c>
    </row>
    <row r="1607" spans="1:20" hidden="1" x14ac:dyDescent="0.3">
      <c r="A1607" s="2" t="s">
        <v>2302</v>
      </c>
      <c r="B1607" s="5">
        <v>45713</v>
      </c>
      <c r="C1607" s="5" t="str">
        <f>TEXT(B1607,"mmm")</f>
        <v>Feb</v>
      </c>
      <c r="D1607" s="2" t="s">
        <v>1821</v>
      </c>
      <c r="E1607" s="2" t="s">
        <v>21</v>
      </c>
      <c r="F1607" s="2" t="str" cm="1">
        <f t="array" ref="F16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07" s="2" t="str" cm="1">
        <f t="array" ref="G16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07" s="2" t="s">
        <v>80</v>
      </c>
      <c r="I1607" s="2" t="s">
        <v>23</v>
      </c>
      <c r="J1607" s="2">
        <v>2</v>
      </c>
      <c r="K1607" s="8">
        <v>799</v>
      </c>
      <c r="L1607" s="3">
        <v>0.05</v>
      </c>
      <c r="M1607" s="12">
        <f>K1607*L1607</f>
        <v>39.950000000000003</v>
      </c>
      <c r="N1607" s="12">
        <f>K1607*J1607</f>
        <v>1598</v>
      </c>
      <c r="O1607" s="12">
        <f>N1607-M1607</f>
        <v>1558.05</v>
      </c>
      <c r="P1607" s="2" t="s">
        <v>45</v>
      </c>
      <c r="Q1607" s="2" t="s">
        <v>18</v>
      </c>
      <c r="R1607" s="2">
        <v>60</v>
      </c>
      <c r="S1607" s="20">
        <f>Table1[[#This Row],[Net_revenue]]/Table1[[#This Row],[Gross_revenue]]*100%</f>
        <v>0.97499999999999998</v>
      </c>
      <c r="T1607" s="18">
        <f>COUNTIFS(Table1[Customer ID], "&gt;1", Table1[Customer ID], 1)</f>
        <v>0</v>
      </c>
    </row>
    <row r="1608" spans="1:20" hidden="1" x14ac:dyDescent="0.3">
      <c r="A1608" s="2" t="s">
        <v>2303</v>
      </c>
      <c r="B1608" s="5">
        <v>45700</v>
      </c>
      <c r="C1608" s="5" t="str">
        <f>TEXT(B1608,"mmm")</f>
        <v>Feb</v>
      </c>
      <c r="D1608" s="2" t="s">
        <v>511</v>
      </c>
      <c r="E1608" s="2" t="s">
        <v>27</v>
      </c>
      <c r="F1608" s="2" t="str" cm="1">
        <f t="array" ref="F16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08" s="2" t="str" cm="1">
        <f t="array" ref="G16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08" s="2" t="s">
        <v>22</v>
      </c>
      <c r="I1608" s="2" t="s">
        <v>23</v>
      </c>
      <c r="J1608" s="2">
        <v>1</v>
      </c>
      <c r="K1608" s="8">
        <v>3999</v>
      </c>
      <c r="L1608" s="3">
        <v>0</v>
      </c>
      <c r="M1608" s="12">
        <f>K1608*L1608</f>
        <v>0</v>
      </c>
      <c r="N1608" s="12">
        <f>K1608*J1608</f>
        <v>3999</v>
      </c>
      <c r="O1608" s="12">
        <f>N1608-M1608</f>
        <v>3999</v>
      </c>
      <c r="P1608" s="2" t="s">
        <v>45</v>
      </c>
      <c r="Q1608" s="2" t="s">
        <v>18</v>
      </c>
      <c r="R1608" s="2">
        <v>40</v>
      </c>
      <c r="S1608" s="20">
        <f>Table1[[#This Row],[Net_revenue]]/Table1[[#This Row],[Gross_revenue]]*100%</f>
        <v>1</v>
      </c>
      <c r="T1608" s="18">
        <f>COUNTIFS(Table1[Customer ID], "&gt;1", Table1[Customer ID], 1)</f>
        <v>0</v>
      </c>
    </row>
    <row r="1609" spans="1:20" hidden="1" x14ac:dyDescent="0.3">
      <c r="A1609" s="2" t="s">
        <v>2304</v>
      </c>
      <c r="B1609" s="5">
        <v>45776</v>
      </c>
      <c r="C1609" s="5" t="str">
        <f>TEXT(B1609,"mmm")</f>
        <v>Apr</v>
      </c>
      <c r="D1609" s="2" t="s">
        <v>701</v>
      </c>
      <c r="E1609" s="2" t="s">
        <v>120</v>
      </c>
      <c r="F1609" s="2" t="str" cm="1">
        <f t="array" ref="F16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09" s="2" t="str" cm="1">
        <f t="array" ref="G16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09" s="2" t="s">
        <v>49</v>
      </c>
      <c r="I1609" s="2" t="s">
        <v>23</v>
      </c>
      <c r="J1609" s="2">
        <v>1</v>
      </c>
      <c r="K1609" s="8">
        <v>1299</v>
      </c>
      <c r="L1609" s="3">
        <v>0.1</v>
      </c>
      <c r="M1609" s="12">
        <f>K1609*L1609</f>
        <v>129.9</v>
      </c>
      <c r="N1609" s="12">
        <f>K1609*J1609</f>
        <v>1299</v>
      </c>
      <c r="O1609" s="12">
        <f>N1609-M1609</f>
        <v>1169.0999999999999</v>
      </c>
      <c r="P1609" s="2" t="s">
        <v>45</v>
      </c>
      <c r="Q1609" s="2" t="s">
        <v>18</v>
      </c>
      <c r="R1609" s="2">
        <v>0</v>
      </c>
      <c r="S1609" s="20">
        <f>Table1[[#This Row],[Net_revenue]]/Table1[[#This Row],[Gross_revenue]]*100%</f>
        <v>0.89999999999999991</v>
      </c>
      <c r="T1609" s="18">
        <f>COUNTIFS(Table1[Customer ID], "&gt;1", Table1[Customer ID], 1)</f>
        <v>0</v>
      </c>
    </row>
    <row r="1610" spans="1:20" hidden="1" x14ac:dyDescent="0.3">
      <c r="A1610" s="2" t="s">
        <v>2305</v>
      </c>
      <c r="B1610" s="5">
        <v>45942</v>
      </c>
      <c r="C1610" s="5" t="str">
        <f>TEXT(B1610,"mmm")</f>
        <v>Oct</v>
      </c>
      <c r="D1610" s="2" t="s">
        <v>500</v>
      </c>
      <c r="E1610" s="2" t="s">
        <v>48</v>
      </c>
      <c r="F1610" s="2" t="str" cm="1">
        <f t="array" ref="F16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10" s="2" t="str" cm="1">
        <f t="array" ref="G16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10" s="2" t="s">
        <v>63</v>
      </c>
      <c r="I1610" s="2" t="s">
        <v>23</v>
      </c>
      <c r="J1610" s="2">
        <v>3</v>
      </c>
      <c r="K1610" s="8">
        <v>2499</v>
      </c>
      <c r="L1610" s="3">
        <v>0.1</v>
      </c>
      <c r="M1610" s="12">
        <f>K1610*L1610</f>
        <v>249.9</v>
      </c>
      <c r="N1610" s="12">
        <f>K1610*J1610</f>
        <v>7497</v>
      </c>
      <c r="O1610" s="12">
        <f>N1610-M1610</f>
        <v>7247.1</v>
      </c>
      <c r="P1610" s="2" t="s">
        <v>24</v>
      </c>
      <c r="Q1610" s="2" t="s">
        <v>18</v>
      </c>
      <c r="R1610" s="2">
        <v>40</v>
      </c>
      <c r="S1610" s="20">
        <f>Table1[[#This Row],[Net_revenue]]/Table1[[#This Row],[Gross_revenue]]*100%</f>
        <v>0.96666666666666667</v>
      </c>
      <c r="T1610" s="18">
        <f>COUNTIFS(Table1[Customer ID], "&gt;1", Table1[Customer ID], 1)</f>
        <v>0</v>
      </c>
    </row>
    <row r="1611" spans="1:20" hidden="1" x14ac:dyDescent="0.3">
      <c r="A1611" s="2" t="s">
        <v>2306</v>
      </c>
      <c r="B1611" s="5">
        <v>45896</v>
      </c>
      <c r="C1611" s="5" t="str">
        <f>TEXT(B1611,"mmm")</f>
        <v>Aug</v>
      </c>
      <c r="D1611" s="2" t="s">
        <v>440</v>
      </c>
      <c r="E1611" s="2" t="s">
        <v>48</v>
      </c>
      <c r="F1611" s="2" t="str" cm="1">
        <f t="array" ref="F16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11" s="2" t="str" cm="1">
        <f t="array" ref="G16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11" s="2" t="s">
        <v>94</v>
      </c>
      <c r="I1611" s="2" t="s">
        <v>95</v>
      </c>
      <c r="J1611" s="2">
        <v>1</v>
      </c>
      <c r="K1611" s="8">
        <v>399</v>
      </c>
      <c r="L1611" s="3">
        <v>0.05</v>
      </c>
      <c r="M1611" s="12">
        <f>K1611*L1611</f>
        <v>19.950000000000003</v>
      </c>
      <c r="N1611" s="12">
        <f>K1611*J1611</f>
        <v>399</v>
      </c>
      <c r="O1611" s="12">
        <f>N1611-M1611</f>
        <v>379.05</v>
      </c>
      <c r="P1611" s="2" t="s">
        <v>17</v>
      </c>
      <c r="Q1611" s="2" t="s">
        <v>18</v>
      </c>
      <c r="R1611" s="2">
        <v>60</v>
      </c>
      <c r="S1611" s="20">
        <f>Table1[[#This Row],[Net_revenue]]/Table1[[#This Row],[Gross_revenue]]*100%</f>
        <v>0.95000000000000007</v>
      </c>
      <c r="T1611" s="18">
        <f>COUNTIFS(Table1[Customer ID], "&gt;1", Table1[Customer ID], 1)</f>
        <v>0</v>
      </c>
    </row>
    <row r="1612" spans="1:20" hidden="1" x14ac:dyDescent="0.3">
      <c r="A1612" s="2" t="s">
        <v>2307</v>
      </c>
      <c r="B1612" s="5">
        <v>45820</v>
      </c>
      <c r="C1612" s="5" t="str">
        <f>TEXT(B1612,"mmm")</f>
        <v>Jun</v>
      </c>
      <c r="D1612" s="2" t="s">
        <v>2308</v>
      </c>
      <c r="E1612" s="2" t="s">
        <v>40</v>
      </c>
      <c r="F1612" s="2" t="str" cm="1">
        <f t="array" ref="F16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12" s="2" t="str" cm="1">
        <f t="array" ref="G16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12" s="2" t="s">
        <v>49</v>
      </c>
      <c r="I1612" s="2" t="s">
        <v>23</v>
      </c>
      <c r="J1612" s="2">
        <v>1</v>
      </c>
      <c r="K1612" s="8">
        <v>1299</v>
      </c>
      <c r="L1612" s="3">
        <v>0.1</v>
      </c>
      <c r="M1612" s="12">
        <f>K1612*L1612</f>
        <v>129.9</v>
      </c>
      <c r="N1612" s="12">
        <f>K1612*J1612</f>
        <v>1299</v>
      </c>
      <c r="O1612" s="12">
        <f>N1612-M1612</f>
        <v>1169.0999999999999</v>
      </c>
      <c r="P1612" s="2" t="s">
        <v>45</v>
      </c>
      <c r="Q1612" s="2" t="s">
        <v>18</v>
      </c>
      <c r="R1612" s="2">
        <v>40</v>
      </c>
      <c r="S1612" s="20">
        <f>Table1[[#This Row],[Net_revenue]]/Table1[[#This Row],[Gross_revenue]]*100%</f>
        <v>0.89999999999999991</v>
      </c>
      <c r="T1612" s="18">
        <f>COUNTIFS(Table1[Customer ID], "&gt;1", Table1[Customer ID], 1)</f>
        <v>0</v>
      </c>
    </row>
    <row r="1613" spans="1:20" hidden="1" x14ac:dyDescent="0.3">
      <c r="A1613" s="2" t="s">
        <v>2309</v>
      </c>
      <c r="B1613" s="5">
        <v>45818</v>
      </c>
      <c r="C1613" s="5" t="str">
        <f>TEXT(B1613,"mmm")</f>
        <v>Jun</v>
      </c>
      <c r="D1613" s="2" t="s">
        <v>699</v>
      </c>
      <c r="E1613" s="2" t="s">
        <v>40</v>
      </c>
      <c r="F1613" s="2" t="str" cm="1">
        <f t="array" ref="F16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13" s="2" t="str" cm="1">
        <f t="array" ref="G16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13" s="2" t="s">
        <v>44</v>
      </c>
      <c r="I1613" s="2" t="s">
        <v>16</v>
      </c>
      <c r="J1613" s="2">
        <v>2</v>
      </c>
      <c r="K1613" s="8">
        <v>1599</v>
      </c>
      <c r="L1613" s="3">
        <v>0.25</v>
      </c>
      <c r="M1613" s="12">
        <f>K1613*L1613</f>
        <v>399.75</v>
      </c>
      <c r="N1613" s="12">
        <f>K1613*J1613</f>
        <v>3198</v>
      </c>
      <c r="O1613" s="12">
        <f>N1613-M1613</f>
        <v>2798.25</v>
      </c>
      <c r="P1613" s="2" t="s">
        <v>45</v>
      </c>
      <c r="Q1613" s="2" t="s">
        <v>18</v>
      </c>
      <c r="R1613" s="2">
        <v>0</v>
      </c>
      <c r="S1613" s="20">
        <f>Table1[[#This Row],[Net_revenue]]/Table1[[#This Row],[Gross_revenue]]*100%</f>
        <v>0.875</v>
      </c>
      <c r="T1613" s="18">
        <f>COUNTIFS(Table1[Customer ID], "&gt;1", Table1[Customer ID], 1)</f>
        <v>0</v>
      </c>
    </row>
    <row r="1614" spans="1:20" hidden="1" x14ac:dyDescent="0.3">
      <c r="A1614" s="2" t="s">
        <v>2310</v>
      </c>
      <c r="B1614" s="5">
        <v>45853</v>
      </c>
      <c r="C1614" s="5" t="str">
        <f>TEXT(B1614,"mmm")</f>
        <v>Jul</v>
      </c>
      <c r="D1614" s="2" t="s">
        <v>1510</v>
      </c>
      <c r="E1614" s="2" t="s">
        <v>14</v>
      </c>
      <c r="F1614" s="2" t="str" cm="1">
        <f t="array" ref="F16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14" s="2" t="str" cm="1">
        <f t="array" ref="G16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14" s="2" t="s">
        <v>33</v>
      </c>
      <c r="I1614" s="2" t="s">
        <v>16</v>
      </c>
      <c r="J1614" s="2">
        <v>3</v>
      </c>
      <c r="K1614" s="8">
        <v>899</v>
      </c>
      <c r="L1614" s="3">
        <v>0</v>
      </c>
      <c r="M1614" s="12">
        <f>K1614*L1614</f>
        <v>0</v>
      </c>
      <c r="N1614" s="12">
        <f>K1614*J1614</f>
        <v>2697</v>
      </c>
      <c r="O1614" s="12">
        <f>N1614-M1614</f>
        <v>2697</v>
      </c>
      <c r="P1614" s="2" t="s">
        <v>45</v>
      </c>
      <c r="Q1614" s="2" t="s">
        <v>18</v>
      </c>
      <c r="R1614" s="2">
        <v>80</v>
      </c>
      <c r="S1614" s="20">
        <f>Table1[[#This Row],[Net_revenue]]/Table1[[#This Row],[Gross_revenue]]*100%</f>
        <v>1</v>
      </c>
      <c r="T1614" s="18">
        <f>COUNTIFS(Table1[Customer ID], "&gt;1", Table1[Customer ID], 1)</f>
        <v>0</v>
      </c>
    </row>
    <row r="1615" spans="1:20" hidden="1" x14ac:dyDescent="0.3">
      <c r="A1615" s="2" t="s">
        <v>2311</v>
      </c>
      <c r="B1615" s="5">
        <v>45792</v>
      </c>
      <c r="C1615" s="5" t="str">
        <f>TEXT(B1615,"mmm")</f>
        <v>May</v>
      </c>
      <c r="D1615" s="2" t="s">
        <v>653</v>
      </c>
      <c r="E1615" s="2" t="s">
        <v>21</v>
      </c>
      <c r="F1615" s="2" t="str" cm="1">
        <f t="array" ref="F16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15" s="2" t="str" cm="1">
        <f t="array" ref="G16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15" s="2" t="s">
        <v>89</v>
      </c>
      <c r="I1615" s="2" t="s">
        <v>29</v>
      </c>
      <c r="J1615" s="2">
        <v>1</v>
      </c>
      <c r="K1615" s="8">
        <v>449</v>
      </c>
      <c r="L1615" s="3">
        <v>0.25</v>
      </c>
      <c r="M1615" s="12">
        <f>K1615*L1615</f>
        <v>112.25</v>
      </c>
      <c r="N1615" s="12">
        <f>K1615*J1615</f>
        <v>449</v>
      </c>
      <c r="O1615" s="12">
        <f>N1615-M1615</f>
        <v>336.75</v>
      </c>
      <c r="P1615" s="2" t="s">
        <v>45</v>
      </c>
      <c r="Q1615" s="2" t="s">
        <v>18</v>
      </c>
      <c r="R1615" s="2">
        <v>80</v>
      </c>
      <c r="S1615" s="20">
        <f>Table1[[#This Row],[Net_revenue]]/Table1[[#This Row],[Gross_revenue]]*100%</f>
        <v>0.75</v>
      </c>
      <c r="T1615" s="18">
        <f>COUNTIFS(Table1[Customer ID], "&gt;1", Table1[Customer ID], 1)</f>
        <v>0</v>
      </c>
    </row>
    <row r="1616" spans="1:20" hidden="1" x14ac:dyDescent="0.3">
      <c r="A1616" s="2" t="s">
        <v>2312</v>
      </c>
      <c r="B1616" s="5">
        <v>45912</v>
      </c>
      <c r="C1616" s="5" t="str">
        <f>TEXT(B1616,"mmm")</f>
        <v>Sep</v>
      </c>
      <c r="D1616" s="2" t="s">
        <v>539</v>
      </c>
      <c r="E1616" s="2" t="s">
        <v>21</v>
      </c>
      <c r="F1616" s="2" t="str" cm="1">
        <f t="array" ref="F16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16" s="2" t="str" cm="1">
        <f t="array" ref="G16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16" s="2" t="s">
        <v>22</v>
      </c>
      <c r="I1616" s="2" t="s">
        <v>23</v>
      </c>
      <c r="J1616" s="2">
        <v>2</v>
      </c>
      <c r="K1616" s="8">
        <v>3999</v>
      </c>
      <c r="L1616" s="3">
        <v>0</v>
      </c>
      <c r="M1616" s="12">
        <f>K1616*L1616</f>
        <v>0</v>
      </c>
      <c r="N1616" s="12">
        <f>K1616*J1616</f>
        <v>7998</v>
      </c>
      <c r="O1616" s="12">
        <f>N1616-M1616</f>
        <v>7998</v>
      </c>
      <c r="P1616" s="2" t="s">
        <v>45</v>
      </c>
      <c r="Q1616" s="2" t="s">
        <v>18</v>
      </c>
      <c r="R1616" s="2">
        <v>0</v>
      </c>
      <c r="S1616" s="20">
        <f>Table1[[#This Row],[Net_revenue]]/Table1[[#This Row],[Gross_revenue]]*100%</f>
        <v>1</v>
      </c>
      <c r="T1616" s="18">
        <f>COUNTIFS(Table1[Customer ID], "&gt;1", Table1[Customer ID], 1)</f>
        <v>0</v>
      </c>
    </row>
    <row r="1617" spans="1:20" hidden="1" x14ac:dyDescent="0.3">
      <c r="A1617" s="2" t="s">
        <v>2313</v>
      </c>
      <c r="B1617" s="5">
        <v>45795</v>
      </c>
      <c r="C1617" s="5" t="str">
        <f>TEXT(B1617,"mmm")</f>
        <v>May</v>
      </c>
      <c r="D1617" s="2" t="s">
        <v>309</v>
      </c>
      <c r="E1617" s="2" t="s">
        <v>56</v>
      </c>
      <c r="F1617" s="2" t="str" cm="1">
        <f t="array" ref="F16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17" s="2" t="str" cm="1">
        <f t="array" ref="G16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17" s="2" t="s">
        <v>121</v>
      </c>
      <c r="I1617" s="2" t="s">
        <v>95</v>
      </c>
      <c r="J1617" s="2">
        <v>1</v>
      </c>
      <c r="K1617" s="8">
        <v>1299</v>
      </c>
      <c r="L1617" s="3">
        <v>0.15</v>
      </c>
      <c r="M1617" s="12">
        <f>K1617*L1617</f>
        <v>194.85</v>
      </c>
      <c r="N1617" s="12">
        <f>K1617*J1617</f>
        <v>1299</v>
      </c>
      <c r="O1617" s="12">
        <f>N1617-M1617</f>
        <v>1104.1500000000001</v>
      </c>
      <c r="P1617" s="2" t="s">
        <v>24</v>
      </c>
      <c r="Q1617" s="2" t="s">
        <v>18</v>
      </c>
      <c r="R1617" s="2">
        <v>40</v>
      </c>
      <c r="S1617" s="20">
        <f>Table1[[#This Row],[Net_revenue]]/Table1[[#This Row],[Gross_revenue]]*100%</f>
        <v>0.85000000000000009</v>
      </c>
      <c r="T1617" s="18">
        <f>COUNTIFS(Table1[Customer ID], "&gt;1", Table1[Customer ID], 1)</f>
        <v>0</v>
      </c>
    </row>
    <row r="1618" spans="1:20" hidden="1" x14ac:dyDescent="0.3">
      <c r="A1618" s="2" t="s">
        <v>2314</v>
      </c>
      <c r="B1618" s="5">
        <v>45693</v>
      </c>
      <c r="C1618" s="5" t="str">
        <f>TEXT(B1618,"mmm")</f>
        <v>Feb</v>
      </c>
      <c r="D1618" s="2" t="s">
        <v>1233</v>
      </c>
      <c r="E1618" s="2" t="s">
        <v>48</v>
      </c>
      <c r="F1618" s="2" t="str" cm="1">
        <f t="array" ref="F16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18" s="2" t="str" cm="1">
        <f t="array" ref="G16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18" s="2" t="s">
        <v>121</v>
      </c>
      <c r="I1618" s="2" t="s">
        <v>95</v>
      </c>
      <c r="J1618" s="2">
        <v>1</v>
      </c>
      <c r="K1618" s="8">
        <v>1299</v>
      </c>
      <c r="L1618" s="3">
        <v>0.15</v>
      </c>
      <c r="M1618" s="12">
        <f>K1618*L1618</f>
        <v>194.85</v>
      </c>
      <c r="N1618" s="12">
        <f>K1618*J1618</f>
        <v>1299</v>
      </c>
      <c r="O1618" s="12">
        <f>N1618-M1618</f>
        <v>1104.1500000000001</v>
      </c>
      <c r="P1618" s="2" t="s">
        <v>24</v>
      </c>
      <c r="Q1618" s="2" t="s">
        <v>18</v>
      </c>
      <c r="R1618" s="2">
        <v>80</v>
      </c>
      <c r="S1618" s="20">
        <f>Table1[[#This Row],[Net_revenue]]/Table1[[#This Row],[Gross_revenue]]*100%</f>
        <v>0.85000000000000009</v>
      </c>
      <c r="T1618" s="18">
        <f>COUNTIFS(Table1[Customer ID], "&gt;1", Table1[Customer ID], 1)</f>
        <v>0</v>
      </c>
    </row>
    <row r="1619" spans="1:20" hidden="1" x14ac:dyDescent="0.3">
      <c r="A1619" s="2" t="s">
        <v>2315</v>
      </c>
      <c r="B1619" s="5">
        <v>45861</v>
      </c>
      <c r="C1619" s="5" t="str">
        <f>TEXT(B1619,"mmm")</f>
        <v>Jul</v>
      </c>
      <c r="D1619" s="2" t="s">
        <v>1406</v>
      </c>
      <c r="E1619" s="2" t="s">
        <v>21</v>
      </c>
      <c r="F1619" s="2" t="str" cm="1">
        <f t="array" ref="F16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19" s="2" t="str" cm="1">
        <f t="array" ref="G16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19" s="2" t="s">
        <v>68</v>
      </c>
      <c r="I1619" s="2" t="s">
        <v>16</v>
      </c>
      <c r="J1619" s="2">
        <v>1</v>
      </c>
      <c r="K1619" s="8">
        <v>599</v>
      </c>
      <c r="L1619" s="3">
        <v>0.05</v>
      </c>
      <c r="M1619" s="12">
        <f>K1619*L1619</f>
        <v>29.950000000000003</v>
      </c>
      <c r="N1619" s="12">
        <f>K1619*J1619</f>
        <v>599</v>
      </c>
      <c r="O1619" s="12">
        <f>N1619-M1619</f>
        <v>569.04999999999995</v>
      </c>
      <c r="P1619" s="2" t="s">
        <v>45</v>
      </c>
      <c r="Q1619" s="2" t="s">
        <v>18</v>
      </c>
      <c r="R1619" s="2">
        <v>60</v>
      </c>
      <c r="S1619" s="20">
        <f>Table1[[#This Row],[Net_revenue]]/Table1[[#This Row],[Gross_revenue]]*100%</f>
        <v>0.95</v>
      </c>
      <c r="T1619" s="18">
        <f>COUNTIFS(Table1[Customer ID], "&gt;1", Table1[Customer ID], 1)</f>
        <v>0</v>
      </c>
    </row>
    <row r="1620" spans="1:20" hidden="1" x14ac:dyDescent="0.3">
      <c r="A1620" s="2" t="s">
        <v>2316</v>
      </c>
      <c r="B1620" s="5">
        <v>45764</v>
      </c>
      <c r="C1620" s="5" t="str">
        <f>TEXT(B1620,"mmm")</f>
        <v>Apr</v>
      </c>
      <c r="D1620" s="2" t="s">
        <v>1252</v>
      </c>
      <c r="E1620" s="2" t="s">
        <v>48</v>
      </c>
      <c r="F1620" s="2" t="str" cm="1">
        <f t="array" ref="F16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20" s="2" t="str" cm="1">
        <f t="array" ref="G16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20" s="2" t="s">
        <v>44</v>
      </c>
      <c r="I1620" s="2" t="s">
        <v>16</v>
      </c>
      <c r="J1620" s="2">
        <v>3</v>
      </c>
      <c r="K1620" s="8">
        <v>1599</v>
      </c>
      <c r="L1620" s="3">
        <v>0.2</v>
      </c>
      <c r="M1620" s="12">
        <f>K1620*L1620</f>
        <v>319.8</v>
      </c>
      <c r="N1620" s="12">
        <f>K1620*J1620</f>
        <v>4797</v>
      </c>
      <c r="O1620" s="12">
        <f>N1620-M1620</f>
        <v>4477.2</v>
      </c>
      <c r="P1620" s="2" t="s">
        <v>45</v>
      </c>
      <c r="Q1620" s="2" t="s">
        <v>18</v>
      </c>
      <c r="R1620" s="2">
        <v>40</v>
      </c>
      <c r="S1620" s="20">
        <f>Table1[[#This Row],[Net_revenue]]/Table1[[#This Row],[Gross_revenue]]*100%</f>
        <v>0.93333333333333335</v>
      </c>
      <c r="T1620" s="18">
        <f>COUNTIFS(Table1[Customer ID], "&gt;1", Table1[Customer ID], 1)</f>
        <v>0</v>
      </c>
    </row>
    <row r="1621" spans="1:20" hidden="1" x14ac:dyDescent="0.3">
      <c r="A1621" s="2" t="s">
        <v>2317</v>
      </c>
      <c r="B1621" s="5">
        <v>45689</v>
      </c>
      <c r="C1621" s="5" t="str">
        <f>TEXT(B1621,"mmm")</f>
        <v>Feb</v>
      </c>
      <c r="D1621" s="2" t="s">
        <v>1154</v>
      </c>
      <c r="E1621" s="2" t="s">
        <v>40</v>
      </c>
      <c r="F1621" s="2" t="str" cm="1">
        <f t="array" ref="F16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21" s="2" t="str" cm="1">
        <f t="array" ref="G16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21" s="2" t="s">
        <v>68</v>
      </c>
      <c r="I1621" s="2" t="s">
        <v>16</v>
      </c>
      <c r="J1621" s="2">
        <v>4</v>
      </c>
      <c r="K1621" s="8">
        <v>599</v>
      </c>
      <c r="L1621" s="3">
        <v>0.05</v>
      </c>
      <c r="M1621" s="12">
        <f>K1621*L1621</f>
        <v>29.950000000000003</v>
      </c>
      <c r="N1621" s="12">
        <f>K1621*J1621</f>
        <v>2396</v>
      </c>
      <c r="O1621" s="12">
        <f>N1621-M1621</f>
        <v>2366.0500000000002</v>
      </c>
      <c r="P1621" s="2" t="s">
        <v>45</v>
      </c>
      <c r="Q1621" s="2" t="s">
        <v>18</v>
      </c>
      <c r="R1621" s="2">
        <v>40</v>
      </c>
      <c r="S1621" s="20">
        <f>Table1[[#This Row],[Net_revenue]]/Table1[[#This Row],[Gross_revenue]]*100%</f>
        <v>0.98750000000000004</v>
      </c>
      <c r="T1621" s="18">
        <f>COUNTIFS(Table1[Customer ID], "&gt;1", Table1[Customer ID], 1)</f>
        <v>0</v>
      </c>
    </row>
    <row r="1622" spans="1:20" hidden="1" x14ac:dyDescent="0.3">
      <c r="A1622" s="2" t="s">
        <v>2318</v>
      </c>
      <c r="B1622" s="5">
        <v>45772</v>
      </c>
      <c r="C1622" s="5" t="str">
        <f>TEXT(B1622,"mmm")</f>
        <v>Apr</v>
      </c>
      <c r="D1622" s="2" t="s">
        <v>228</v>
      </c>
      <c r="E1622" s="2" t="s">
        <v>75</v>
      </c>
      <c r="F1622" s="2" t="str" cm="1">
        <f t="array" ref="F16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22" s="2" t="str" cm="1">
        <f t="array" ref="G16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22" s="2" t="s">
        <v>80</v>
      </c>
      <c r="I1622" s="2" t="s">
        <v>23</v>
      </c>
      <c r="J1622" s="2">
        <v>1</v>
      </c>
      <c r="K1622" s="8">
        <v>799</v>
      </c>
      <c r="L1622" s="3">
        <v>0.05</v>
      </c>
      <c r="M1622" s="12">
        <f>K1622*L1622</f>
        <v>39.950000000000003</v>
      </c>
      <c r="N1622" s="12">
        <f>K1622*J1622</f>
        <v>799</v>
      </c>
      <c r="O1622" s="12">
        <f>N1622-M1622</f>
        <v>759.05</v>
      </c>
      <c r="P1622" s="2" t="s">
        <v>17</v>
      </c>
      <c r="Q1622" s="2" t="s">
        <v>18</v>
      </c>
      <c r="R1622" s="2">
        <v>0</v>
      </c>
      <c r="S1622" s="20">
        <f>Table1[[#This Row],[Net_revenue]]/Table1[[#This Row],[Gross_revenue]]*100%</f>
        <v>0.95</v>
      </c>
      <c r="T1622" s="18">
        <f>COUNTIFS(Table1[Customer ID], "&gt;1", Table1[Customer ID], 1)</f>
        <v>0</v>
      </c>
    </row>
    <row r="1623" spans="1:20" hidden="1" x14ac:dyDescent="0.3">
      <c r="A1623" s="2" t="s">
        <v>2319</v>
      </c>
      <c r="B1623" s="5">
        <v>45668</v>
      </c>
      <c r="C1623" s="5" t="str">
        <f>TEXT(B1623,"mmm")</f>
        <v>Jan</v>
      </c>
      <c r="D1623" s="2" t="s">
        <v>604</v>
      </c>
      <c r="E1623" s="2" t="s">
        <v>14</v>
      </c>
      <c r="F1623" s="2" t="str" cm="1">
        <f t="array" ref="F16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23" s="2" t="str" cm="1">
        <f t="array" ref="G16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23" s="2" t="s">
        <v>94</v>
      </c>
      <c r="I1623" s="2" t="s">
        <v>95</v>
      </c>
      <c r="J1623" s="2">
        <v>1</v>
      </c>
      <c r="K1623" s="8">
        <v>399</v>
      </c>
      <c r="L1623" s="3">
        <v>0.05</v>
      </c>
      <c r="M1623" s="12">
        <f>K1623*L1623</f>
        <v>19.950000000000003</v>
      </c>
      <c r="N1623" s="12">
        <f>K1623*J1623</f>
        <v>399</v>
      </c>
      <c r="O1623" s="12">
        <f>N1623-M1623</f>
        <v>379.05</v>
      </c>
      <c r="P1623" s="2" t="s">
        <v>17</v>
      </c>
      <c r="Q1623" s="2" t="s">
        <v>50</v>
      </c>
      <c r="R1623" s="2">
        <v>40</v>
      </c>
      <c r="S1623" s="20">
        <f>Table1[[#This Row],[Net_revenue]]/Table1[[#This Row],[Gross_revenue]]*100%</f>
        <v>0.95000000000000007</v>
      </c>
      <c r="T1623" s="18">
        <f>COUNTIFS(Table1[Customer ID], "&gt;1", Table1[Customer ID], 1)</f>
        <v>0</v>
      </c>
    </row>
    <row r="1624" spans="1:20" hidden="1" x14ac:dyDescent="0.3">
      <c r="A1624" s="2" t="s">
        <v>2320</v>
      </c>
      <c r="B1624" s="5">
        <v>45917</v>
      </c>
      <c r="C1624" s="5" t="str">
        <f>TEXT(B1624,"mmm")</f>
        <v>Sep</v>
      </c>
      <c r="D1624" s="2" t="s">
        <v>2321</v>
      </c>
      <c r="E1624" s="2" t="s">
        <v>53</v>
      </c>
      <c r="F1624" s="2" t="str" cm="1">
        <f t="array" ref="F16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624" s="2" t="str" cm="1">
        <f t="array" ref="G16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24" s="2" t="s">
        <v>33</v>
      </c>
      <c r="I1624" s="2" t="s">
        <v>16</v>
      </c>
      <c r="J1624" s="2">
        <v>3</v>
      </c>
      <c r="K1624" s="8">
        <v>899</v>
      </c>
      <c r="L1624" s="3">
        <v>0.2</v>
      </c>
      <c r="M1624" s="12">
        <f>K1624*L1624</f>
        <v>179.8</v>
      </c>
      <c r="N1624" s="12">
        <f>K1624*J1624</f>
        <v>2697</v>
      </c>
      <c r="O1624" s="12">
        <f>N1624-M1624</f>
        <v>2517.1999999999998</v>
      </c>
      <c r="P1624" s="2" t="s">
        <v>45</v>
      </c>
      <c r="Q1624" s="2" t="s">
        <v>18</v>
      </c>
      <c r="R1624" s="2">
        <v>40</v>
      </c>
      <c r="S1624" s="20">
        <f>Table1[[#This Row],[Net_revenue]]/Table1[[#This Row],[Gross_revenue]]*100%</f>
        <v>0.93333333333333324</v>
      </c>
      <c r="T1624" s="18">
        <f>COUNTIFS(Table1[Customer ID], "&gt;1", Table1[Customer ID], 1)</f>
        <v>0</v>
      </c>
    </row>
    <row r="1625" spans="1:20" hidden="1" x14ac:dyDescent="0.3">
      <c r="A1625" s="2" t="s">
        <v>2322</v>
      </c>
      <c r="B1625" s="5">
        <v>45737</v>
      </c>
      <c r="C1625" s="5" t="str">
        <f>TEXT(B1625,"mmm")</f>
        <v>Mar</v>
      </c>
      <c r="D1625" s="2" t="s">
        <v>1192</v>
      </c>
      <c r="E1625" s="2" t="s">
        <v>14</v>
      </c>
      <c r="F1625" s="2" t="str" cm="1">
        <f t="array" ref="F16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25" s="2" t="str" cm="1">
        <f t="array" ref="G16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25" s="2" t="s">
        <v>44</v>
      </c>
      <c r="I1625" s="2" t="s">
        <v>16</v>
      </c>
      <c r="J1625" s="2">
        <v>1</v>
      </c>
      <c r="K1625" s="8">
        <v>1599</v>
      </c>
      <c r="L1625" s="3">
        <v>0.05</v>
      </c>
      <c r="M1625" s="12">
        <f>K1625*L1625</f>
        <v>79.95</v>
      </c>
      <c r="N1625" s="12">
        <f>K1625*J1625</f>
        <v>1599</v>
      </c>
      <c r="O1625" s="12">
        <f>N1625-M1625</f>
        <v>1519.05</v>
      </c>
      <c r="P1625" s="2" t="s">
        <v>45</v>
      </c>
      <c r="Q1625" s="2" t="s">
        <v>18</v>
      </c>
      <c r="R1625" s="2">
        <v>40</v>
      </c>
      <c r="S1625" s="20">
        <f>Table1[[#This Row],[Net_revenue]]/Table1[[#This Row],[Gross_revenue]]*100%</f>
        <v>0.95</v>
      </c>
      <c r="T1625" s="18">
        <f>COUNTIFS(Table1[Customer ID], "&gt;1", Table1[Customer ID], 1)</f>
        <v>0</v>
      </c>
    </row>
    <row r="1626" spans="1:20" hidden="1" x14ac:dyDescent="0.3">
      <c r="A1626" s="2" t="s">
        <v>2323</v>
      </c>
      <c r="B1626" s="5">
        <v>45892</v>
      </c>
      <c r="C1626" s="5" t="str">
        <f>TEXT(B1626,"mmm")</f>
        <v>Aug</v>
      </c>
      <c r="D1626" s="2" t="s">
        <v>752</v>
      </c>
      <c r="E1626" s="2" t="s">
        <v>21</v>
      </c>
      <c r="F1626" s="2" t="str" cm="1">
        <f t="array" ref="F16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26" s="2" t="str" cm="1">
        <f t="array" ref="G16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26" s="2" t="s">
        <v>94</v>
      </c>
      <c r="I1626" s="2" t="s">
        <v>95</v>
      </c>
      <c r="J1626" s="2">
        <v>2</v>
      </c>
      <c r="K1626" s="8">
        <v>399</v>
      </c>
      <c r="L1626" s="3">
        <v>0.1</v>
      </c>
      <c r="M1626" s="12">
        <f>K1626*L1626</f>
        <v>39.900000000000006</v>
      </c>
      <c r="N1626" s="12">
        <f>K1626*J1626</f>
        <v>798</v>
      </c>
      <c r="O1626" s="12">
        <f>N1626-M1626</f>
        <v>758.1</v>
      </c>
      <c r="P1626" s="2" t="s">
        <v>45</v>
      </c>
      <c r="Q1626" s="2" t="s">
        <v>18</v>
      </c>
      <c r="R1626" s="2">
        <v>40</v>
      </c>
      <c r="S1626" s="20">
        <f>Table1[[#This Row],[Net_revenue]]/Table1[[#This Row],[Gross_revenue]]*100%</f>
        <v>0.95000000000000007</v>
      </c>
      <c r="T1626" s="18">
        <f>COUNTIFS(Table1[Customer ID], "&gt;1", Table1[Customer ID], 1)</f>
        <v>0</v>
      </c>
    </row>
    <row r="1627" spans="1:20" hidden="1" x14ac:dyDescent="0.3">
      <c r="A1627" s="2" t="s">
        <v>2324</v>
      </c>
      <c r="B1627" s="5">
        <v>45702</v>
      </c>
      <c r="C1627" s="5" t="str">
        <f>TEXT(B1627,"mmm")</f>
        <v>Feb</v>
      </c>
      <c r="D1627" s="2" t="s">
        <v>1022</v>
      </c>
      <c r="E1627" s="2" t="s">
        <v>40</v>
      </c>
      <c r="F1627" s="2" t="str" cm="1">
        <f t="array" ref="F16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27" s="2" t="str" cm="1">
        <f t="array" ref="G16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27" s="2" t="s">
        <v>80</v>
      </c>
      <c r="I1627" s="2" t="s">
        <v>23</v>
      </c>
      <c r="J1627" s="2">
        <v>2</v>
      </c>
      <c r="K1627" s="8">
        <v>799</v>
      </c>
      <c r="L1627" s="3">
        <v>0.2</v>
      </c>
      <c r="M1627" s="12">
        <f>K1627*L1627</f>
        <v>159.80000000000001</v>
      </c>
      <c r="N1627" s="12">
        <f>K1627*J1627</f>
        <v>1598</v>
      </c>
      <c r="O1627" s="12">
        <f>N1627-M1627</f>
        <v>1438.2</v>
      </c>
      <c r="P1627" s="2" t="s">
        <v>24</v>
      </c>
      <c r="Q1627" s="2" t="s">
        <v>50</v>
      </c>
      <c r="R1627" s="2">
        <v>60</v>
      </c>
      <c r="S1627" s="20">
        <f>Table1[[#This Row],[Net_revenue]]/Table1[[#This Row],[Gross_revenue]]*100%</f>
        <v>0.9</v>
      </c>
      <c r="T1627" s="18">
        <f>COUNTIFS(Table1[Customer ID], "&gt;1", Table1[Customer ID], 1)</f>
        <v>0</v>
      </c>
    </row>
    <row r="1628" spans="1:20" hidden="1" x14ac:dyDescent="0.3">
      <c r="A1628" s="2" t="s">
        <v>2325</v>
      </c>
      <c r="B1628" s="5">
        <v>45802</v>
      </c>
      <c r="C1628" s="5" t="str">
        <f>TEXT(B1628,"mmm")</f>
        <v>May</v>
      </c>
      <c r="D1628" s="2" t="s">
        <v>150</v>
      </c>
      <c r="E1628" s="2" t="s">
        <v>48</v>
      </c>
      <c r="F1628" s="2" t="str" cm="1">
        <f t="array" ref="F16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28" s="2" t="str" cm="1">
        <f t="array" ref="G16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28" s="2" t="s">
        <v>107</v>
      </c>
      <c r="I1628" s="2" t="s">
        <v>95</v>
      </c>
      <c r="J1628" s="2">
        <v>1</v>
      </c>
      <c r="K1628" s="8">
        <v>1599</v>
      </c>
      <c r="L1628" s="3">
        <v>0.1</v>
      </c>
      <c r="M1628" s="12">
        <f>K1628*L1628</f>
        <v>159.9</v>
      </c>
      <c r="N1628" s="12">
        <f>K1628*J1628</f>
        <v>1599</v>
      </c>
      <c r="O1628" s="12">
        <f>N1628-M1628</f>
        <v>1439.1</v>
      </c>
      <c r="P1628" s="2" t="s">
        <v>17</v>
      </c>
      <c r="Q1628" s="2" t="s">
        <v>18</v>
      </c>
      <c r="R1628" s="2">
        <v>60</v>
      </c>
      <c r="S1628" s="20">
        <f>Table1[[#This Row],[Net_revenue]]/Table1[[#This Row],[Gross_revenue]]*100%</f>
        <v>0.89999999999999991</v>
      </c>
      <c r="T1628" s="18">
        <f>COUNTIFS(Table1[Customer ID], "&gt;1", Table1[Customer ID], 1)</f>
        <v>0</v>
      </c>
    </row>
    <row r="1629" spans="1:20" hidden="1" x14ac:dyDescent="0.3">
      <c r="A1629" s="2" t="s">
        <v>2326</v>
      </c>
      <c r="B1629" s="5">
        <v>45879</v>
      </c>
      <c r="C1629" s="5" t="str">
        <f>TEXT(B1629,"mmm")</f>
        <v>Aug</v>
      </c>
      <c r="D1629" s="2" t="s">
        <v>2158</v>
      </c>
      <c r="E1629" s="2" t="s">
        <v>56</v>
      </c>
      <c r="F1629" s="2" t="str" cm="1">
        <f t="array" ref="F16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29" s="2" t="str" cm="1">
        <f t="array" ref="G16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29" s="2" t="s">
        <v>68</v>
      </c>
      <c r="I1629" s="2" t="s">
        <v>16</v>
      </c>
      <c r="J1629" s="2">
        <v>2</v>
      </c>
      <c r="K1629" s="8">
        <v>599</v>
      </c>
      <c r="L1629" s="3">
        <v>0.2</v>
      </c>
      <c r="M1629" s="12">
        <f>K1629*L1629</f>
        <v>119.80000000000001</v>
      </c>
      <c r="N1629" s="12">
        <f>K1629*J1629</f>
        <v>1198</v>
      </c>
      <c r="O1629" s="12">
        <f>N1629-M1629</f>
        <v>1078.2</v>
      </c>
      <c r="P1629" s="2" t="s">
        <v>45</v>
      </c>
      <c r="Q1629" s="2" t="s">
        <v>18</v>
      </c>
      <c r="R1629" s="2">
        <v>40</v>
      </c>
      <c r="S1629" s="20">
        <f>Table1[[#This Row],[Net_revenue]]/Table1[[#This Row],[Gross_revenue]]*100%</f>
        <v>0.9</v>
      </c>
      <c r="T1629" s="18">
        <f>COUNTIFS(Table1[Customer ID], "&gt;1", Table1[Customer ID], 1)</f>
        <v>0</v>
      </c>
    </row>
    <row r="1630" spans="1:20" hidden="1" x14ac:dyDescent="0.3">
      <c r="A1630" s="2" t="s">
        <v>2327</v>
      </c>
      <c r="B1630" s="5">
        <v>45851</v>
      </c>
      <c r="C1630" s="5" t="str">
        <f>TEXT(B1630,"mmm")</f>
        <v>Jul</v>
      </c>
      <c r="D1630" s="2" t="s">
        <v>900</v>
      </c>
      <c r="E1630" s="2" t="s">
        <v>120</v>
      </c>
      <c r="F1630" s="2" t="str" cm="1">
        <f t="array" ref="F16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30" s="2" t="str" cm="1">
        <f t="array" ref="G16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30" s="2" t="s">
        <v>117</v>
      </c>
      <c r="I1630" s="2" t="s">
        <v>23</v>
      </c>
      <c r="J1630" s="2">
        <v>3</v>
      </c>
      <c r="K1630" s="8">
        <v>2199</v>
      </c>
      <c r="L1630" s="3">
        <v>0</v>
      </c>
      <c r="M1630" s="12">
        <f>K1630*L1630</f>
        <v>0</v>
      </c>
      <c r="N1630" s="12">
        <f>K1630*J1630</f>
        <v>6597</v>
      </c>
      <c r="O1630" s="12">
        <f>N1630-M1630</f>
        <v>6597</v>
      </c>
      <c r="P1630" s="2" t="s">
        <v>45</v>
      </c>
      <c r="Q1630" s="2" t="s">
        <v>18</v>
      </c>
      <c r="R1630" s="2">
        <v>80</v>
      </c>
      <c r="S1630" s="20">
        <f>Table1[[#This Row],[Net_revenue]]/Table1[[#This Row],[Gross_revenue]]*100%</f>
        <v>1</v>
      </c>
      <c r="T1630" s="18">
        <f>COUNTIFS(Table1[Customer ID], "&gt;1", Table1[Customer ID], 1)</f>
        <v>0</v>
      </c>
    </row>
    <row r="1631" spans="1:20" hidden="1" x14ac:dyDescent="0.3">
      <c r="A1631" s="2" t="s">
        <v>2328</v>
      </c>
      <c r="B1631" s="5">
        <v>45809</v>
      </c>
      <c r="C1631" s="5" t="str">
        <f>TEXT(B1631,"mmm")</f>
        <v>Jun</v>
      </c>
      <c r="D1631" s="2" t="s">
        <v>337</v>
      </c>
      <c r="E1631" s="2" t="s">
        <v>40</v>
      </c>
      <c r="F1631" s="2" t="str" cm="1">
        <f t="array" ref="F16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31" s="2" t="str" cm="1">
        <f t="array" ref="G16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31" s="2" t="s">
        <v>94</v>
      </c>
      <c r="I1631" s="2" t="s">
        <v>95</v>
      </c>
      <c r="J1631" s="2">
        <v>1</v>
      </c>
      <c r="K1631" s="8">
        <v>399</v>
      </c>
      <c r="L1631" s="3">
        <v>0.1</v>
      </c>
      <c r="M1631" s="12">
        <f>K1631*L1631</f>
        <v>39.900000000000006</v>
      </c>
      <c r="N1631" s="12">
        <f>K1631*J1631</f>
        <v>399</v>
      </c>
      <c r="O1631" s="12">
        <f>N1631-M1631</f>
        <v>359.1</v>
      </c>
      <c r="P1631" s="2" t="s">
        <v>30</v>
      </c>
      <c r="Q1631" s="2" t="s">
        <v>18</v>
      </c>
      <c r="R1631" s="2">
        <v>40</v>
      </c>
      <c r="S1631" s="20">
        <f>Table1[[#This Row],[Net_revenue]]/Table1[[#This Row],[Gross_revenue]]*100%</f>
        <v>0.9</v>
      </c>
      <c r="T1631" s="18">
        <f>COUNTIFS(Table1[Customer ID], "&gt;1", Table1[Customer ID], 1)</f>
        <v>0</v>
      </c>
    </row>
    <row r="1632" spans="1:20" hidden="1" x14ac:dyDescent="0.3">
      <c r="A1632" s="2" t="s">
        <v>2329</v>
      </c>
      <c r="B1632" s="5">
        <v>46012</v>
      </c>
      <c r="C1632" s="5" t="str">
        <f>TEXT(B1632,"mmm")</f>
        <v>Dec</v>
      </c>
      <c r="D1632" s="2" t="s">
        <v>185</v>
      </c>
      <c r="E1632" s="2" t="s">
        <v>48</v>
      </c>
      <c r="F1632" s="2" t="str" cm="1">
        <f t="array" ref="F16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32" s="2" t="str" cm="1">
        <f t="array" ref="G16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32" s="2" t="s">
        <v>68</v>
      </c>
      <c r="I1632" s="2" t="s">
        <v>16</v>
      </c>
      <c r="J1632" s="2">
        <v>2</v>
      </c>
      <c r="K1632" s="8">
        <v>599</v>
      </c>
      <c r="L1632" s="3">
        <v>0</v>
      </c>
      <c r="M1632" s="12">
        <f>K1632*L1632</f>
        <v>0</v>
      </c>
      <c r="N1632" s="12">
        <f>K1632*J1632</f>
        <v>1198</v>
      </c>
      <c r="O1632" s="12">
        <f>N1632-M1632</f>
        <v>1198</v>
      </c>
      <c r="P1632" s="2" t="s">
        <v>45</v>
      </c>
      <c r="Q1632" s="2" t="s">
        <v>18</v>
      </c>
      <c r="R1632" s="2">
        <v>0</v>
      </c>
      <c r="S1632" s="20">
        <f>Table1[[#This Row],[Net_revenue]]/Table1[[#This Row],[Gross_revenue]]*100%</f>
        <v>1</v>
      </c>
      <c r="T1632" s="18">
        <f>COUNTIFS(Table1[Customer ID], "&gt;1", Table1[Customer ID], 1)</f>
        <v>0</v>
      </c>
    </row>
    <row r="1633" spans="1:20" hidden="1" x14ac:dyDescent="0.3">
      <c r="A1633" s="2" t="s">
        <v>2330</v>
      </c>
      <c r="B1633" s="5">
        <v>45943</v>
      </c>
      <c r="C1633" s="5" t="str">
        <f>TEXT(B1633,"mmm")</f>
        <v>Oct</v>
      </c>
      <c r="D1633" s="2" t="s">
        <v>489</v>
      </c>
      <c r="E1633" s="2" t="s">
        <v>48</v>
      </c>
      <c r="F1633" s="2" t="str" cm="1">
        <f t="array" ref="F16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33" s="2" t="str" cm="1">
        <f t="array" ref="G16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33" s="2" t="s">
        <v>217</v>
      </c>
      <c r="I1633" s="2" t="s">
        <v>29</v>
      </c>
      <c r="J1633" s="2">
        <v>2</v>
      </c>
      <c r="K1633" s="8">
        <v>3299</v>
      </c>
      <c r="L1633" s="3">
        <v>0</v>
      </c>
      <c r="M1633" s="12">
        <f>K1633*L1633</f>
        <v>0</v>
      </c>
      <c r="N1633" s="12">
        <f>K1633*J1633</f>
        <v>6598</v>
      </c>
      <c r="O1633" s="12">
        <f>N1633-M1633</f>
        <v>6598</v>
      </c>
      <c r="P1633" s="2" t="s">
        <v>17</v>
      </c>
      <c r="Q1633" s="2" t="s">
        <v>18</v>
      </c>
      <c r="R1633" s="2">
        <v>0</v>
      </c>
      <c r="S1633" s="20">
        <f>Table1[[#This Row],[Net_revenue]]/Table1[[#This Row],[Gross_revenue]]*100%</f>
        <v>1</v>
      </c>
      <c r="T1633" s="18">
        <f>COUNTIFS(Table1[Customer ID], "&gt;1", Table1[Customer ID], 1)</f>
        <v>0</v>
      </c>
    </row>
    <row r="1634" spans="1:20" hidden="1" x14ac:dyDescent="0.3">
      <c r="A1634" s="2" t="s">
        <v>2331</v>
      </c>
      <c r="B1634" s="5">
        <v>45850</v>
      </c>
      <c r="C1634" s="5" t="str">
        <f>TEXT(B1634,"mmm")</f>
        <v>Jul</v>
      </c>
      <c r="D1634" s="2" t="s">
        <v>1083</v>
      </c>
      <c r="E1634" s="2" t="s">
        <v>120</v>
      </c>
      <c r="F1634" s="2" t="str" cm="1">
        <f t="array" ref="F16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34" s="2" t="str" cm="1">
        <f t="array" ref="G16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34" s="2" t="s">
        <v>217</v>
      </c>
      <c r="I1634" s="2" t="s">
        <v>29</v>
      </c>
      <c r="J1634" s="2">
        <v>1</v>
      </c>
      <c r="K1634" s="8">
        <v>3299</v>
      </c>
      <c r="L1634" s="3">
        <v>0.05</v>
      </c>
      <c r="M1634" s="12">
        <f>K1634*L1634</f>
        <v>164.95000000000002</v>
      </c>
      <c r="N1634" s="12">
        <f>K1634*J1634</f>
        <v>3299</v>
      </c>
      <c r="O1634" s="12">
        <f>N1634-M1634</f>
        <v>3134.05</v>
      </c>
      <c r="P1634" s="2" t="s">
        <v>17</v>
      </c>
      <c r="Q1634" s="2" t="s">
        <v>18</v>
      </c>
      <c r="R1634" s="2">
        <v>0</v>
      </c>
      <c r="S1634" s="20">
        <f>Table1[[#This Row],[Net_revenue]]/Table1[[#This Row],[Gross_revenue]]*100%</f>
        <v>0.95000000000000007</v>
      </c>
      <c r="T1634" s="18">
        <f>COUNTIFS(Table1[Customer ID], "&gt;1", Table1[Customer ID], 1)</f>
        <v>0</v>
      </c>
    </row>
    <row r="1635" spans="1:20" hidden="1" x14ac:dyDescent="0.3">
      <c r="A1635" s="2" t="s">
        <v>2332</v>
      </c>
      <c r="B1635" s="5">
        <v>45782</v>
      </c>
      <c r="C1635" s="5" t="str">
        <f>TEXT(B1635,"mmm")</f>
        <v>May</v>
      </c>
      <c r="D1635" s="2" t="s">
        <v>985</v>
      </c>
      <c r="E1635" s="2" t="s">
        <v>195</v>
      </c>
      <c r="F1635" s="2" t="str" cm="1">
        <f t="array" ref="F16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635" s="2" t="str" cm="1">
        <f t="array" ref="G16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35" s="2" t="s">
        <v>36</v>
      </c>
      <c r="I1635" s="2" t="s">
        <v>37</v>
      </c>
      <c r="J1635" s="2">
        <v>1</v>
      </c>
      <c r="K1635" s="8">
        <v>349</v>
      </c>
      <c r="L1635" s="3">
        <v>0.05</v>
      </c>
      <c r="M1635" s="12">
        <f>K1635*L1635</f>
        <v>17.45</v>
      </c>
      <c r="N1635" s="12">
        <f>K1635*J1635</f>
        <v>349</v>
      </c>
      <c r="O1635" s="12">
        <f>N1635-M1635</f>
        <v>331.55</v>
      </c>
      <c r="P1635" s="2" t="s">
        <v>17</v>
      </c>
      <c r="Q1635" s="2" t="s">
        <v>18</v>
      </c>
      <c r="R1635" s="2">
        <v>80</v>
      </c>
      <c r="S1635" s="20">
        <f>Table1[[#This Row],[Net_revenue]]/Table1[[#This Row],[Gross_revenue]]*100%</f>
        <v>0.95000000000000007</v>
      </c>
      <c r="T1635" s="18">
        <f>COUNTIFS(Table1[Customer ID], "&gt;1", Table1[Customer ID], 1)</f>
        <v>0</v>
      </c>
    </row>
    <row r="1636" spans="1:20" hidden="1" x14ac:dyDescent="0.3">
      <c r="A1636" s="2" t="s">
        <v>2333</v>
      </c>
      <c r="B1636" s="5">
        <v>45663</v>
      </c>
      <c r="C1636" s="5" t="str">
        <f>TEXT(B1636,"mmm")</f>
        <v>Jan</v>
      </c>
      <c r="D1636" s="2" t="s">
        <v>1520</v>
      </c>
      <c r="E1636" s="2" t="s">
        <v>40</v>
      </c>
      <c r="F1636" s="2" t="str" cm="1">
        <f t="array" ref="F16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36" s="2" t="str" cm="1">
        <f t="array" ref="G16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36" s="2" t="s">
        <v>107</v>
      </c>
      <c r="I1636" s="2" t="s">
        <v>95</v>
      </c>
      <c r="J1636" s="2">
        <v>2</v>
      </c>
      <c r="K1636" s="8">
        <v>1599</v>
      </c>
      <c r="L1636" s="3">
        <v>0</v>
      </c>
      <c r="M1636" s="12">
        <f>K1636*L1636</f>
        <v>0</v>
      </c>
      <c r="N1636" s="12">
        <f>K1636*J1636</f>
        <v>3198</v>
      </c>
      <c r="O1636" s="12">
        <f>N1636-M1636</f>
        <v>3198</v>
      </c>
      <c r="P1636" s="2" t="s">
        <v>45</v>
      </c>
      <c r="Q1636" s="2" t="s">
        <v>18</v>
      </c>
      <c r="R1636" s="2">
        <v>60</v>
      </c>
      <c r="S1636" s="20">
        <f>Table1[[#This Row],[Net_revenue]]/Table1[[#This Row],[Gross_revenue]]*100%</f>
        <v>1</v>
      </c>
      <c r="T1636" s="18">
        <f>COUNTIFS(Table1[Customer ID], "&gt;1", Table1[Customer ID], 1)</f>
        <v>0</v>
      </c>
    </row>
    <row r="1637" spans="1:20" hidden="1" x14ac:dyDescent="0.3">
      <c r="A1637" s="2" t="s">
        <v>2334</v>
      </c>
      <c r="B1637" s="5">
        <v>45721</v>
      </c>
      <c r="C1637" s="5" t="str">
        <f>TEXT(B1637,"mmm")</f>
        <v>Mar</v>
      </c>
      <c r="D1637" s="2" t="s">
        <v>1452</v>
      </c>
      <c r="E1637" s="2" t="s">
        <v>48</v>
      </c>
      <c r="F1637" s="2" t="str" cm="1">
        <f t="array" ref="F16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37" s="2" t="str" cm="1">
        <f t="array" ref="G16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37" s="2" t="s">
        <v>121</v>
      </c>
      <c r="I1637" s="2" t="s">
        <v>95</v>
      </c>
      <c r="J1637" s="2">
        <v>2</v>
      </c>
      <c r="K1637" s="8">
        <v>1299</v>
      </c>
      <c r="L1637" s="3">
        <v>0.05</v>
      </c>
      <c r="M1637" s="12">
        <f>K1637*L1637</f>
        <v>64.95</v>
      </c>
      <c r="N1637" s="12">
        <f>K1637*J1637</f>
        <v>2598</v>
      </c>
      <c r="O1637" s="12">
        <f>N1637-M1637</f>
        <v>2533.0500000000002</v>
      </c>
      <c r="P1637" s="2" t="s">
        <v>45</v>
      </c>
      <c r="Q1637" s="2" t="s">
        <v>18</v>
      </c>
      <c r="R1637" s="2">
        <v>0</v>
      </c>
      <c r="S1637" s="20">
        <f>Table1[[#This Row],[Net_revenue]]/Table1[[#This Row],[Gross_revenue]]*100%</f>
        <v>0.97500000000000009</v>
      </c>
      <c r="T1637" s="18">
        <f>COUNTIFS(Table1[Customer ID], "&gt;1", Table1[Customer ID], 1)</f>
        <v>0</v>
      </c>
    </row>
    <row r="1638" spans="1:20" hidden="1" x14ac:dyDescent="0.3">
      <c r="A1638" s="2" t="s">
        <v>2335</v>
      </c>
      <c r="B1638" s="5">
        <v>45933</v>
      </c>
      <c r="C1638" s="5" t="str">
        <f>TEXT(B1638,"mmm")</f>
        <v>Oct</v>
      </c>
      <c r="D1638" s="2" t="s">
        <v>174</v>
      </c>
      <c r="E1638" s="2" t="s">
        <v>75</v>
      </c>
      <c r="F1638" s="2" t="str" cm="1">
        <f t="array" ref="F16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38" s="2" t="str" cm="1">
        <f t="array" ref="G16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38" s="2" t="s">
        <v>65</v>
      </c>
      <c r="I1638" s="2" t="s">
        <v>23</v>
      </c>
      <c r="J1638" s="2">
        <v>1</v>
      </c>
      <c r="K1638" s="8">
        <v>1899</v>
      </c>
      <c r="L1638" s="3">
        <v>0.15</v>
      </c>
      <c r="M1638" s="12">
        <f>K1638*L1638</f>
        <v>284.84999999999997</v>
      </c>
      <c r="N1638" s="12">
        <f>K1638*J1638</f>
        <v>1899</v>
      </c>
      <c r="O1638" s="12">
        <f>N1638-M1638</f>
        <v>1614.15</v>
      </c>
      <c r="P1638" s="2" t="s">
        <v>24</v>
      </c>
      <c r="Q1638" s="2" t="s">
        <v>18</v>
      </c>
      <c r="R1638" s="2">
        <v>60</v>
      </c>
      <c r="S1638" s="20">
        <f>Table1[[#This Row],[Net_revenue]]/Table1[[#This Row],[Gross_revenue]]*100%</f>
        <v>0.85000000000000009</v>
      </c>
      <c r="T1638" s="18">
        <f>COUNTIFS(Table1[Customer ID], "&gt;1", Table1[Customer ID], 1)</f>
        <v>0</v>
      </c>
    </row>
    <row r="1639" spans="1:20" hidden="1" x14ac:dyDescent="0.3">
      <c r="A1639" s="2" t="s">
        <v>2336</v>
      </c>
      <c r="B1639" s="5">
        <v>45755</v>
      </c>
      <c r="C1639" s="5" t="str">
        <f>TEXT(B1639,"mmm")</f>
        <v>Apr</v>
      </c>
      <c r="D1639" s="2" t="s">
        <v>1738</v>
      </c>
      <c r="E1639" s="2" t="s">
        <v>21</v>
      </c>
      <c r="F1639" s="2" t="str" cm="1">
        <f t="array" ref="F16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39" s="2" t="str" cm="1">
        <f t="array" ref="G16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39" s="2" t="s">
        <v>121</v>
      </c>
      <c r="I1639" s="2" t="s">
        <v>95</v>
      </c>
      <c r="J1639" s="2">
        <v>3</v>
      </c>
      <c r="K1639" s="8">
        <v>1299</v>
      </c>
      <c r="L1639" s="3">
        <v>0</v>
      </c>
      <c r="M1639" s="12">
        <f>K1639*L1639</f>
        <v>0</v>
      </c>
      <c r="N1639" s="12">
        <f>K1639*J1639</f>
        <v>3897</v>
      </c>
      <c r="O1639" s="12">
        <f>N1639-M1639</f>
        <v>3897</v>
      </c>
      <c r="P1639" s="2" t="s">
        <v>17</v>
      </c>
      <c r="Q1639" s="2" t="s">
        <v>18</v>
      </c>
      <c r="R1639" s="2">
        <v>80</v>
      </c>
      <c r="S1639" s="20">
        <f>Table1[[#This Row],[Net_revenue]]/Table1[[#This Row],[Gross_revenue]]*100%</f>
        <v>1</v>
      </c>
      <c r="T1639" s="18">
        <f>COUNTIFS(Table1[Customer ID], "&gt;1", Table1[Customer ID], 1)</f>
        <v>0</v>
      </c>
    </row>
    <row r="1640" spans="1:20" hidden="1" x14ac:dyDescent="0.3">
      <c r="A1640" s="2" t="s">
        <v>2337</v>
      </c>
      <c r="B1640" s="5">
        <v>45741</v>
      </c>
      <c r="C1640" s="5" t="str">
        <f>TEXT(B1640,"mmm")</f>
        <v>Mar</v>
      </c>
      <c r="D1640" s="2" t="s">
        <v>1479</v>
      </c>
      <c r="E1640" s="2" t="s">
        <v>40</v>
      </c>
      <c r="F1640" s="2" t="str" cm="1">
        <f t="array" ref="F16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40" s="2" t="str" cm="1">
        <f t="array" ref="G16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40" s="2" t="s">
        <v>33</v>
      </c>
      <c r="I1640" s="2" t="s">
        <v>16</v>
      </c>
      <c r="J1640" s="2">
        <v>4</v>
      </c>
      <c r="K1640" s="8">
        <v>899</v>
      </c>
      <c r="L1640" s="3">
        <v>0.05</v>
      </c>
      <c r="M1640" s="12">
        <f>K1640*L1640</f>
        <v>44.95</v>
      </c>
      <c r="N1640" s="12">
        <f>K1640*J1640</f>
        <v>3596</v>
      </c>
      <c r="O1640" s="12">
        <f>N1640-M1640</f>
        <v>3551.05</v>
      </c>
      <c r="P1640" s="2" t="s">
        <v>45</v>
      </c>
      <c r="Q1640" s="2" t="s">
        <v>18</v>
      </c>
      <c r="R1640" s="2">
        <v>60</v>
      </c>
      <c r="S1640" s="20">
        <f>Table1[[#This Row],[Net_revenue]]/Table1[[#This Row],[Gross_revenue]]*100%</f>
        <v>0.98750000000000004</v>
      </c>
      <c r="T1640" s="18">
        <f>COUNTIFS(Table1[Customer ID], "&gt;1", Table1[Customer ID], 1)</f>
        <v>0</v>
      </c>
    </row>
    <row r="1641" spans="1:20" hidden="1" x14ac:dyDescent="0.3">
      <c r="A1641" s="2" t="s">
        <v>2338</v>
      </c>
      <c r="B1641" s="5">
        <v>46015</v>
      </c>
      <c r="C1641" s="5" t="str">
        <f>TEXT(B1641,"mmm")</f>
        <v>Dec</v>
      </c>
      <c r="D1641" s="2" t="s">
        <v>1963</v>
      </c>
      <c r="E1641" s="2" t="s">
        <v>120</v>
      </c>
      <c r="F1641" s="2" t="str" cm="1">
        <f t="array" ref="F16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41" s="2" t="str" cm="1">
        <f t="array" ref="G16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41" s="2" t="s">
        <v>80</v>
      </c>
      <c r="I1641" s="2" t="s">
        <v>23</v>
      </c>
      <c r="J1641" s="2">
        <v>1</v>
      </c>
      <c r="K1641" s="8">
        <v>799</v>
      </c>
      <c r="L1641" s="3">
        <v>0.1</v>
      </c>
      <c r="M1641" s="12">
        <f>K1641*L1641</f>
        <v>79.900000000000006</v>
      </c>
      <c r="N1641" s="12">
        <f>K1641*J1641</f>
        <v>799</v>
      </c>
      <c r="O1641" s="12">
        <f>N1641-M1641</f>
        <v>719.1</v>
      </c>
      <c r="P1641" s="2" t="s">
        <v>17</v>
      </c>
      <c r="Q1641" s="2" t="s">
        <v>18</v>
      </c>
      <c r="R1641" s="2">
        <v>60</v>
      </c>
      <c r="S1641" s="20">
        <f>Table1[[#This Row],[Net_revenue]]/Table1[[#This Row],[Gross_revenue]]*100%</f>
        <v>0.9</v>
      </c>
      <c r="T1641" s="18">
        <f>COUNTIFS(Table1[Customer ID], "&gt;1", Table1[Customer ID], 1)</f>
        <v>0</v>
      </c>
    </row>
    <row r="1642" spans="1:20" hidden="1" x14ac:dyDescent="0.3">
      <c r="A1642" s="2" t="s">
        <v>2339</v>
      </c>
      <c r="B1642" s="5">
        <v>45761</v>
      </c>
      <c r="C1642" s="5" t="str">
        <f>TEXT(B1642,"mmm")</f>
        <v>Apr</v>
      </c>
      <c r="D1642" s="2" t="s">
        <v>574</v>
      </c>
      <c r="E1642" s="2" t="s">
        <v>75</v>
      </c>
      <c r="F1642" s="2" t="str" cm="1">
        <f t="array" ref="F16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42" s="2" t="str" cm="1">
        <f t="array" ref="G16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42" s="2" t="s">
        <v>68</v>
      </c>
      <c r="I1642" s="2" t="s">
        <v>16</v>
      </c>
      <c r="J1642" s="2">
        <v>3</v>
      </c>
      <c r="K1642" s="8">
        <v>599</v>
      </c>
      <c r="L1642" s="3">
        <v>0.05</v>
      </c>
      <c r="M1642" s="12">
        <f>K1642*L1642</f>
        <v>29.950000000000003</v>
      </c>
      <c r="N1642" s="12">
        <f>K1642*J1642</f>
        <v>1797</v>
      </c>
      <c r="O1642" s="12">
        <f>N1642-M1642</f>
        <v>1767.05</v>
      </c>
      <c r="P1642" s="2" t="s">
        <v>17</v>
      </c>
      <c r="Q1642" s="2" t="s">
        <v>18</v>
      </c>
      <c r="R1642" s="2">
        <v>40</v>
      </c>
      <c r="S1642" s="20">
        <f>Table1[[#This Row],[Net_revenue]]/Table1[[#This Row],[Gross_revenue]]*100%</f>
        <v>0.98333333333333328</v>
      </c>
      <c r="T1642" s="18">
        <f>COUNTIFS(Table1[Customer ID], "&gt;1", Table1[Customer ID], 1)</f>
        <v>0</v>
      </c>
    </row>
    <row r="1643" spans="1:20" hidden="1" x14ac:dyDescent="0.3">
      <c r="A1643" s="2" t="s">
        <v>2340</v>
      </c>
      <c r="B1643" s="5">
        <v>45703</v>
      </c>
      <c r="C1643" s="5" t="str">
        <f>TEXT(B1643,"mmm")</f>
        <v>Feb</v>
      </c>
      <c r="D1643" s="2" t="s">
        <v>2120</v>
      </c>
      <c r="E1643" s="2" t="s">
        <v>48</v>
      </c>
      <c r="F1643" s="2" t="str" cm="1">
        <f t="array" ref="F16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43" s="2" t="str" cm="1">
        <f t="array" ref="G16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43" s="2" t="s">
        <v>36</v>
      </c>
      <c r="I1643" s="2" t="s">
        <v>37</v>
      </c>
      <c r="J1643" s="2">
        <v>1</v>
      </c>
      <c r="K1643" s="8">
        <v>349</v>
      </c>
      <c r="L1643" s="3">
        <v>0</v>
      </c>
      <c r="M1643" s="12">
        <f>K1643*L1643</f>
        <v>0</v>
      </c>
      <c r="N1643" s="12">
        <f>K1643*J1643</f>
        <v>349</v>
      </c>
      <c r="O1643" s="12">
        <f>N1643-M1643</f>
        <v>349</v>
      </c>
      <c r="P1643" s="2" t="s">
        <v>45</v>
      </c>
      <c r="Q1643" s="2" t="s">
        <v>18</v>
      </c>
      <c r="R1643" s="2">
        <v>0</v>
      </c>
      <c r="S1643" s="20">
        <f>Table1[[#This Row],[Net_revenue]]/Table1[[#This Row],[Gross_revenue]]*100%</f>
        <v>1</v>
      </c>
      <c r="T1643" s="18">
        <f>COUNTIFS(Table1[Customer ID], "&gt;1", Table1[Customer ID], 1)</f>
        <v>0</v>
      </c>
    </row>
    <row r="1644" spans="1:20" hidden="1" x14ac:dyDescent="0.3">
      <c r="A1644" s="2" t="s">
        <v>2341</v>
      </c>
      <c r="B1644" s="5">
        <v>45983</v>
      </c>
      <c r="C1644" s="5" t="str">
        <f>TEXT(B1644,"mmm")</f>
        <v>Nov</v>
      </c>
      <c r="D1644" s="2" t="s">
        <v>1192</v>
      </c>
      <c r="E1644" s="2" t="s">
        <v>40</v>
      </c>
      <c r="F1644" s="2" t="str" cm="1">
        <f t="array" ref="F16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44" s="2" t="str" cm="1">
        <f t="array" ref="G16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44" s="2" t="s">
        <v>41</v>
      </c>
      <c r="I1644" s="2" t="s">
        <v>16</v>
      </c>
      <c r="J1644" s="2">
        <v>3</v>
      </c>
      <c r="K1644" s="8">
        <v>2299</v>
      </c>
      <c r="L1644" s="3">
        <v>0.2</v>
      </c>
      <c r="M1644" s="12">
        <f>K1644*L1644</f>
        <v>459.8</v>
      </c>
      <c r="N1644" s="12">
        <f>K1644*J1644</f>
        <v>6897</v>
      </c>
      <c r="O1644" s="12">
        <f>N1644-M1644</f>
        <v>6437.2</v>
      </c>
      <c r="P1644" s="2" t="s">
        <v>45</v>
      </c>
      <c r="Q1644" s="2" t="s">
        <v>18</v>
      </c>
      <c r="R1644" s="2">
        <v>0</v>
      </c>
      <c r="S1644" s="20">
        <f>Table1[[#This Row],[Net_revenue]]/Table1[[#This Row],[Gross_revenue]]*100%</f>
        <v>0.93333333333333335</v>
      </c>
      <c r="T1644" s="18">
        <f>COUNTIFS(Table1[Customer ID], "&gt;1", Table1[Customer ID], 1)</f>
        <v>0</v>
      </c>
    </row>
    <row r="1645" spans="1:20" hidden="1" x14ac:dyDescent="0.3">
      <c r="A1645" s="2" t="s">
        <v>2342</v>
      </c>
      <c r="B1645" s="5">
        <v>45866</v>
      </c>
      <c r="C1645" s="5" t="str">
        <f>TEXT(B1645,"mmm")</f>
        <v>Jul</v>
      </c>
      <c r="D1645" s="2" t="s">
        <v>2106</v>
      </c>
      <c r="E1645" s="2" t="s">
        <v>195</v>
      </c>
      <c r="F1645" s="2" t="str" cm="1">
        <f t="array" ref="F16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645" s="2" t="str" cm="1">
        <f t="array" ref="G16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45" s="2" t="s">
        <v>183</v>
      </c>
      <c r="I1645" s="2" t="s">
        <v>37</v>
      </c>
      <c r="J1645" s="2">
        <v>1</v>
      </c>
      <c r="K1645" s="8">
        <v>499</v>
      </c>
      <c r="L1645" s="3">
        <v>0</v>
      </c>
      <c r="M1645" s="12">
        <f>K1645*L1645</f>
        <v>0</v>
      </c>
      <c r="N1645" s="12">
        <f>K1645*J1645</f>
        <v>499</v>
      </c>
      <c r="O1645" s="12">
        <f>N1645-M1645</f>
        <v>499</v>
      </c>
      <c r="P1645" s="2" t="s">
        <v>17</v>
      </c>
      <c r="Q1645" s="2" t="s">
        <v>18</v>
      </c>
      <c r="R1645" s="2">
        <v>80</v>
      </c>
      <c r="S1645" s="20">
        <f>Table1[[#This Row],[Net_revenue]]/Table1[[#This Row],[Gross_revenue]]*100%</f>
        <v>1</v>
      </c>
      <c r="T1645" s="18">
        <f>COUNTIFS(Table1[Customer ID], "&gt;1", Table1[Customer ID], 1)</f>
        <v>0</v>
      </c>
    </row>
    <row r="1646" spans="1:20" hidden="1" x14ac:dyDescent="0.3">
      <c r="A1646" s="2" t="s">
        <v>2343</v>
      </c>
      <c r="B1646" s="5">
        <v>45873</v>
      </c>
      <c r="C1646" s="5" t="str">
        <f>TEXT(B1646,"mmm")</f>
        <v>Aug</v>
      </c>
      <c r="D1646" s="2" t="s">
        <v>454</v>
      </c>
      <c r="E1646" s="2" t="s">
        <v>56</v>
      </c>
      <c r="F1646" s="2" t="str" cm="1">
        <f t="array" ref="F16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46" s="2" t="str" cm="1">
        <f t="array" ref="G16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46" s="2" t="s">
        <v>94</v>
      </c>
      <c r="I1646" s="2" t="s">
        <v>95</v>
      </c>
      <c r="J1646" s="2">
        <v>2</v>
      </c>
      <c r="K1646" s="8">
        <v>399</v>
      </c>
      <c r="L1646" s="3">
        <v>0.15</v>
      </c>
      <c r="M1646" s="12">
        <f>K1646*L1646</f>
        <v>59.849999999999994</v>
      </c>
      <c r="N1646" s="12">
        <f>K1646*J1646</f>
        <v>798</v>
      </c>
      <c r="O1646" s="12">
        <f>N1646-M1646</f>
        <v>738.15</v>
      </c>
      <c r="P1646" s="2" t="s">
        <v>17</v>
      </c>
      <c r="Q1646" s="2" t="s">
        <v>18</v>
      </c>
      <c r="R1646" s="2">
        <v>40</v>
      </c>
      <c r="S1646" s="20">
        <f>Table1[[#This Row],[Net_revenue]]/Table1[[#This Row],[Gross_revenue]]*100%</f>
        <v>0.92499999999999993</v>
      </c>
      <c r="T1646" s="18">
        <f>COUNTIFS(Table1[Customer ID], "&gt;1", Table1[Customer ID], 1)</f>
        <v>0</v>
      </c>
    </row>
    <row r="1647" spans="1:20" hidden="1" x14ac:dyDescent="0.3">
      <c r="A1647" s="2" t="s">
        <v>2344</v>
      </c>
      <c r="B1647" s="5">
        <v>45705</v>
      </c>
      <c r="C1647" s="5" t="str">
        <f>TEXT(B1647,"mmm")</f>
        <v>Feb</v>
      </c>
      <c r="D1647" s="2" t="s">
        <v>811</v>
      </c>
      <c r="E1647" s="2" t="s">
        <v>120</v>
      </c>
      <c r="F1647" s="2" t="str" cm="1">
        <f t="array" ref="F16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47" s="2" t="str" cm="1">
        <f t="array" ref="G16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47" s="2" t="s">
        <v>63</v>
      </c>
      <c r="I1647" s="2" t="s">
        <v>23</v>
      </c>
      <c r="J1647" s="2">
        <v>1</v>
      </c>
      <c r="K1647" s="8">
        <v>2499</v>
      </c>
      <c r="L1647" s="3">
        <v>0.05</v>
      </c>
      <c r="M1647" s="12">
        <f>K1647*L1647</f>
        <v>124.95</v>
      </c>
      <c r="N1647" s="12">
        <f>K1647*J1647</f>
        <v>2499</v>
      </c>
      <c r="O1647" s="12">
        <f>N1647-M1647</f>
        <v>2374.0500000000002</v>
      </c>
      <c r="P1647" s="2" t="s">
        <v>17</v>
      </c>
      <c r="Q1647" s="2" t="s">
        <v>18</v>
      </c>
      <c r="R1647" s="2">
        <v>40</v>
      </c>
      <c r="S1647" s="20">
        <f>Table1[[#This Row],[Net_revenue]]/Table1[[#This Row],[Gross_revenue]]*100%</f>
        <v>0.95000000000000007</v>
      </c>
      <c r="T1647" s="18">
        <f>COUNTIFS(Table1[Customer ID], "&gt;1", Table1[Customer ID], 1)</f>
        <v>0</v>
      </c>
    </row>
    <row r="1648" spans="1:20" hidden="1" x14ac:dyDescent="0.3">
      <c r="A1648" s="2" t="s">
        <v>2345</v>
      </c>
      <c r="B1648" s="5">
        <v>45889</v>
      </c>
      <c r="C1648" s="5" t="str">
        <f>TEXT(B1648,"mmm")</f>
        <v>Aug</v>
      </c>
      <c r="D1648" s="2" t="s">
        <v>522</v>
      </c>
      <c r="E1648" s="2" t="s">
        <v>53</v>
      </c>
      <c r="F1648" s="2" t="str" cm="1">
        <f t="array" ref="F16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648" s="2" t="str" cm="1">
        <f t="array" ref="G16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48" s="2" t="s">
        <v>63</v>
      </c>
      <c r="I1648" s="2" t="s">
        <v>23</v>
      </c>
      <c r="J1648" s="2">
        <v>2</v>
      </c>
      <c r="K1648" s="8">
        <v>2499</v>
      </c>
      <c r="L1648" s="3">
        <v>0.05</v>
      </c>
      <c r="M1648" s="12">
        <f>K1648*L1648</f>
        <v>124.95</v>
      </c>
      <c r="N1648" s="12">
        <f>K1648*J1648</f>
        <v>4998</v>
      </c>
      <c r="O1648" s="12">
        <f>N1648-M1648</f>
        <v>4873.05</v>
      </c>
      <c r="P1648" s="2" t="s">
        <v>17</v>
      </c>
      <c r="Q1648" s="2" t="s">
        <v>50</v>
      </c>
      <c r="R1648" s="2">
        <v>60</v>
      </c>
      <c r="S1648" s="20">
        <f>Table1[[#This Row],[Net_revenue]]/Table1[[#This Row],[Gross_revenue]]*100%</f>
        <v>0.97500000000000009</v>
      </c>
      <c r="T1648" s="18">
        <f>COUNTIFS(Table1[Customer ID], "&gt;1", Table1[Customer ID], 1)</f>
        <v>0</v>
      </c>
    </row>
    <row r="1649" spans="1:20" hidden="1" x14ac:dyDescent="0.3">
      <c r="A1649" s="2" t="s">
        <v>2346</v>
      </c>
      <c r="B1649" s="5">
        <v>46002</v>
      </c>
      <c r="C1649" s="5" t="str">
        <f>TEXT(B1649,"mmm")</f>
        <v>Dec</v>
      </c>
      <c r="D1649" s="2" t="s">
        <v>317</v>
      </c>
      <c r="E1649" s="2" t="s">
        <v>48</v>
      </c>
      <c r="F1649" s="2" t="str" cm="1">
        <f t="array" ref="F16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49" s="2" t="str" cm="1">
        <f t="array" ref="G16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49" s="2" t="s">
        <v>44</v>
      </c>
      <c r="I1649" s="2" t="s">
        <v>16</v>
      </c>
      <c r="J1649" s="2">
        <v>1</v>
      </c>
      <c r="K1649" s="8">
        <v>1599</v>
      </c>
      <c r="L1649" s="3">
        <v>0.25</v>
      </c>
      <c r="M1649" s="12">
        <f>K1649*L1649</f>
        <v>399.75</v>
      </c>
      <c r="N1649" s="12">
        <f>K1649*J1649</f>
        <v>1599</v>
      </c>
      <c r="O1649" s="12">
        <f>N1649-M1649</f>
        <v>1199.25</v>
      </c>
      <c r="P1649" s="2" t="s">
        <v>45</v>
      </c>
      <c r="Q1649" s="2" t="s">
        <v>18</v>
      </c>
      <c r="R1649" s="2">
        <v>60</v>
      </c>
      <c r="S1649" s="20">
        <f>Table1[[#This Row],[Net_revenue]]/Table1[[#This Row],[Gross_revenue]]*100%</f>
        <v>0.75</v>
      </c>
      <c r="T1649" s="18">
        <f>COUNTIFS(Table1[Customer ID], "&gt;1", Table1[Customer ID], 1)</f>
        <v>0</v>
      </c>
    </row>
    <row r="1650" spans="1:20" hidden="1" x14ac:dyDescent="0.3">
      <c r="A1650" s="2" t="s">
        <v>2347</v>
      </c>
      <c r="B1650" s="5">
        <v>45964</v>
      </c>
      <c r="C1650" s="5" t="str">
        <f>TEXT(B1650,"mmm")</f>
        <v>Nov</v>
      </c>
      <c r="D1650" s="2" t="s">
        <v>1300</v>
      </c>
      <c r="E1650" s="2" t="s">
        <v>120</v>
      </c>
      <c r="F1650" s="2" t="str" cm="1">
        <f t="array" ref="F16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50" s="2" t="str" cm="1">
        <f t="array" ref="G16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50" s="2" t="s">
        <v>49</v>
      </c>
      <c r="I1650" s="2" t="s">
        <v>23</v>
      </c>
      <c r="J1650" s="2">
        <v>1</v>
      </c>
      <c r="K1650" s="8">
        <v>1299</v>
      </c>
      <c r="L1650" s="3">
        <v>0.1</v>
      </c>
      <c r="M1650" s="12">
        <f>K1650*L1650</f>
        <v>129.9</v>
      </c>
      <c r="N1650" s="12">
        <f>K1650*J1650</f>
        <v>1299</v>
      </c>
      <c r="O1650" s="12">
        <f>N1650-M1650</f>
        <v>1169.0999999999999</v>
      </c>
      <c r="P1650" s="2" t="s">
        <v>45</v>
      </c>
      <c r="Q1650" s="2" t="s">
        <v>18</v>
      </c>
      <c r="R1650" s="2">
        <v>0</v>
      </c>
      <c r="S1650" s="20">
        <f>Table1[[#This Row],[Net_revenue]]/Table1[[#This Row],[Gross_revenue]]*100%</f>
        <v>0.89999999999999991</v>
      </c>
      <c r="T1650" s="18">
        <f>COUNTIFS(Table1[Customer ID], "&gt;1", Table1[Customer ID], 1)</f>
        <v>0</v>
      </c>
    </row>
    <row r="1651" spans="1:20" hidden="1" x14ac:dyDescent="0.3">
      <c r="A1651" s="2" t="s">
        <v>2348</v>
      </c>
      <c r="B1651" s="5">
        <v>45805</v>
      </c>
      <c r="C1651" s="5" t="str">
        <f>TEXT(B1651,"mmm")</f>
        <v>May</v>
      </c>
      <c r="D1651" s="2" t="s">
        <v>1866</v>
      </c>
      <c r="E1651" s="2" t="s">
        <v>40</v>
      </c>
      <c r="F1651" s="2" t="str" cm="1">
        <f t="array" ref="F16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51" s="2" t="str" cm="1">
        <f t="array" ref="G16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51" s="2" t="s">
        <v>63</v>
      </c>
      <c r="I1651" s="2" t="s">
        <v>23</v>
      </c>
      <c r="J1651" s="2">
        <v>3</v>
      </c>
      <c r="K1651" s="8">
        <v>2499</v>
      </c>
      <c r="L1651" s="3">
        <v>0.1</v>
      </c>
      <c r="M1651" s="12">
        <f>K1651*L1651</f>
        <v>249.9</v>
      </c>
      <c r="N1651" s="12">
        <f>K1651*J1651</f>
        <v>7497</v>
      </c>
      <c r="O1651" s="12">
        <f>N1651-M1651</f>
        <v>7247.1</v>
      </c>
      <c r="P1651" s="2" t="s">
        <v>30</v>
      </c>
      <c r="Q1651" s="2" t="s">
        <v>72</v>
      </c>
      <c r="R1651" s="2">
        <v>0</v>
      </c>
      <c r="S1651" s="20">
        <f>Table1[[#This Row],[Net_revenue]]/Table1[[#This Row],[Gross_revenue]]*100%</f>
        <v>0.96666666666666667</v>
      </c>
      <c r="T1651" s="18">
        <f>COUNTIFS(Table1[Customer ID], "&gt;1", Table1[Customer ID], 1)</f>
        <v>0</v>
      </c>
    </row>
    <row r="1652" spans="1:20" hidden="1" x14ac:dyDescent="0.3">
      <c r="A1652" s="2" t="s">
        <v>2349</v>
      </c>
      <c r="B1652" s="5">
        <v>45683</v>
      </c>
      <c r="C1652" s="5" t="str">
        <f>TEXT(B1652,"mmm")</f>
        <v>Jan</v>
      </c>
      <c r="D1652" s="2" t="s">
        <v>1588</v>
      </c>
      <c r="E1652" s="2" t="s">
        <v>75</v>
      </c>
      <c r="F1652" s="2" t="str" cm="1">
        <f t="array" ref="F16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52" s="2" t="str" cm="1">
        <f t="array" ref="G16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52" s="2" t="s">
        <v>22</v>
      </c>
      <c r="I1652" s="2" t="s">
        <v>23</v>
      </c>
      <c r="J1652" s="2">
        <v>3</v>
      </c>
      <c r="K1652" s="8">
        <v>3999</v>
      </c>
      <c r="L1652" s="3">
        <v>0.15</v>
      </c>
      <c r="M1652" s="12">
        <f>K1652*L1652</f>
        <v>599.85</v>
      </c>
      <c r="N1652" s="12">
        <f>K1652*J1652</f>
        <v>11997</v>
      </c>
      <c r="O1652" s="12">
        <f>N1652-M1652</f>
        <v>11397.15</v>
      </c>
      <c r="P1652" s="2" t="s">
        <v>17</v>
      </c>
      <c r="Q1652" s="2" t="s">
        <v>18</v>
      </c>
      <c r="R1652" s="2">
        <v>40</v>
      </c>
      <c r="S1652" s="20">
        <f>Table1[[#This Row],[Net_revenue]]/Table1[[#This Row],[Gross_revenue]]*100%</f>
        <v>0.95</v>
      </c>
      <c r="T1652" s="18">
        <f>COUNTIFS(Table1[Customer ID], "&gt;1", Table1[Customer ID], 1)</f>
        <v>0</v>
      </c>
    </row>
    <row r="1653" spans="1:20" hidden="1" x14ac:dyDescent="0.3">
      <c r="A1653" s="2" t="s">
        <v>2350</v>
      </c>
      <c r="B1653" s="5">
        <v>45665</v>
      </c>
      <c r="C1653" s="5" t="str">
        <f>TEXT(B1653,"mmm")</f>
        <v>Jan</v>
      </c>
      <c r="D1653" s="2" t="s">
        <v>574</v>
      </c>
      <c r="E1653" s="2" t="s">
        <v>27</v>
      </c>
      <c r="F1653" s="2" t="str" cm="1">
        <f t="array" ref="F16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53" s="2" t="str" cm="1">
        <f t="array" ref="G16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53" s="2" t="s">
        <v>63</v>
      </c>
      <c r="I1653" s="2" t="s">
        <v>23</v>
      </c>
      <c r="J1653" s="2">
        <v>1</v>
      </c>
      <c r="K1653" s="8">
        <v>2499</v>
      </c>
      <c r="L1653" s="3">
        <v>0.25</v>
      </c>
      <c r="M1653" s="12">
        <f>K1653*L1653</f>
        <v>624.75</v>
      </c>
      <c r="N1653" s="12">
        <f>K1653*J1653</f>
        <v>2499</v>
      </c>
      <c r="O1653" s="12">
        <f>N1653-M1653</f>
        <v>1874.25</v>
      </c>
      <c r="P1653" s="2" t="s">
        <v>45</v>
      </c>
      <c r="Q1653" s="2" t="s">
        <v>18</v>
      </c>
      <c r="R1653" s="2">
        <v>40</v>
      </c>
      <c r="S1653" s="20">
        <f>Table1[[#This Row],[Net_revenue]]/Table1[[#This Row],[Gross_revenue]]*100%</f>
        <v>0.75</v>
      </c>
      <c r="T1653" s="18">
        <f>COUNTIFS(Table1[Customer ID], "&gt;1", Table1[Customer ID], 1)</f>
        <v>0</v>
      </c>
    </row>
    <row r="1654" spans="1:20" hidden="1" x14ac:dyDescent="0.3">
      <c r="A1654" s="2" t="s">
        <v>2351</v>
      </c>
      <c r="B1654" s="5">
        <v>45874</v>
      </c>
      <c r="C1654" s="5" t="str">
        <f>TEXT(B1654,"mmm")</f>
        <v>Aug</v>
      </c>
      <c r="D1654" s="2" t="s">
        <v>985</v>
      </c>
      <c r="E1654" s="2" t="s">
        <v>56</v>
      </c>
      <c r="F1654" s="2" t="str" cm="1">
        <f t="array" ref="F16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54" s="2" t="str" cm="1">
        <f t="array" ref="G16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54" s="2" t="s">
        <v>71</v>
      </c>
      <c r="I1654" s="2" t="s">
        <v>29</v>
      </c>
      <c r="J1654" s="2">
        <v>1</v>
      </c>
      <c r="K1654" s="8">
        <v>5499</v>
      </c>
      <c r="L1654" s="3">
        <v>0.1</v>
      </c>
      <c r="M1654" s="12">
        <f>K1654*L1654</f>
        <v>549.9</v>
      </c>
      <c r="N1654" s="12">
        <f>K1654*J1654</f>
        <v>5499</v>
      </c>
      <c r="O1654" s="12">
        <f>N1654-M1654</f>
        <v>4949.1000000000004</v>
      </c>
      <c r="P1654" s="2" t="s">
        <v>45</v>
      </c>
      <c r="Q1654" s="2" t="s">
        <v>18</v>
      </c>
      <c r="R1654" s="2">
        <v>80</v>
      </c>
      <c r="S1654" s="20">
        <f>Table1[[#This Row],[Net_revenue]]/Table1[[#This Row],[Gross_revenue]]*100%</f>
        <v>0.9</v>
      </c>
      <c r="T1654" s="18">
        <f>COUNTIFS(Table1[Customer ID], "&gt;1", Table1[Customer ID], 1)</f>
        <v>0</v>
      </c>
    </row>
    <row r="1655" spans="1:20" hidden="1" x14ac:dyDescent="0.3">
      <c r="A1655" s="2" t="s">
        <v>2352</v>
      </c>
      <c r="B1655" s="5">
        <v>45745</v>
      </c>
      <c r="C1655" s="5" t="str">
        <f>TEXT(B1655,"mmm")</f>
        <v>Mar</v>
      </c>
      <c r="D1655" s="2" t="s">
        <v>761</v>
      </c>
      <c r="E1655" s="2" t="s">
        <v>120</v>
      </c>
      <c r="F1655" s="2" t="str" cm="1">
        <f t="array" ref="F16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55" s="2" t="str" cm="1">
        <f t="array" ref="G16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55" s="2" t="s">
        <v>41</v>
      </c>
      <c r="I1655" s="2" t="s">
        <v>16</v>
      </c>
      <c r="J1655" s="2">
        <v>3</v>
      </c>
      <c r="K1655" s="8">
        <v>2299</v>
      </c>
      <c r="L1655" s="3">
        <v>0.15</v>
      </c>
      <c r="M1655" s="12">
        <f>K1655*L1655</f>
        <v>344.84999999999997</v>
      </c>
      <c r="N1655" s="12">
        <f>K1655*J1655</f>
        <v>6897</v>
      </c>
      <c r="O1655" s="12">
        <f>N1655-M1655</f>
        <v>6552.15</v>
      </c>
      <c r="P1655" s="2" t="s">
        <v>17</v>
      </c>
      <c r="Q1655" s="2" t="s">
        <v>18</v>
      </c>
      <c r="R1655" s="2">
        <v>0</v>
      </c>
      <c r="S1655" s="20">
        <f>Table1[[#This Row],[Net_revenue]]/Table1[[#This Row],[Gross_revenue]]*100%</f>
        <v>0.95</v>
      </c>
      <c r="T1655" s="18">
        <f>COUNTIFS(Table1[Customer ID], "&gt;1", Table1[Customer ID], 1)</f>
        <v>0</v>
      </c>
    </row>
    <row r="1656" spans="1:20" hidden="1" x14ac:dyDescent="0.3">
      <c r="A1656" s="2" t="s">
        <v>2353</v>
      </c>
      <c r="B1656" s="5">
        <v>45741</v>
      </c>
      <c r="C1656" s="5" t="str">
        <f>TEXT(B1656,"mmm")</f>
        <v>Mar</v>
      </c>
      <c r="D1656" s="2" t="s">
        <v>942</v>
      </c>
      <c r="E1656" s="2" t="s">
        <v>14</v>
      </c>
      <c r="F1656" s="2" t="str" cm="1">
        <f t="array" ref="F16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56" s="2" t="str" cm="1">
        <f t="array" ref="G16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56" s="2" t="s">
        <v>63</v>
      </c>
      <c r="I1656" s="2" t="s">
        <v>23</v>
      </c>
      <c r="J1656" s="2">
        <v>2</v>
      </c>
      <c r="K1656" s="8">
        <v>2499</v>
      </c>
      <c r="L1656" s="3">
        <v>0</v>
      </c>
      <c r="M1656" s="12">
        <f>K1656*L1656</f>
        <v>0</v>
      </c>
      <c r="N1656" s="12">
        <f>K1656*J1656</f>
        <v>4998</v>
      </c>
      <c r="O1656" s="12">
        <f>N1656-M1656</f>
        <v>4998</v>
      </c>
      <c r="P1656" s="2" t="s">
        <v>45</v>
      </c>
      <c r="Q1656" s="2" t="s">
        <v>18</v>
      </c>
      <c r="R1656" s="2">
        <v>40</v>
      </c>
      <c r="S1656" s="20">
        <f>Table1[[#This Row],[Net_revenue]]/Table1[[#This Row],[Gross_revenue]]*100%</f>
        <v>1</v>
      </c>
      <c r="T1656" s="18">
        <f>COUNTIFS(Table1[Customer ID], "&gt;1", Table1[Customer ID], 1)</f>
        <v>0</v>
      </c>
    </row>
    <row r="1657" spans="1:20" hidden="1" x14ac:dyDescent="0.3">
      <c r="A1657" s="2" t="s">
        <v>2354</v>
      </c>
      <c r="B1657" s="5">
        <v>45703</v>
      </c>
      <c r="C1657" s="5" t="str">
        <f>TEXT(B1657,"mmm")</f>
        <v>Feb</v>
      </c>
      <c r="D1657" s="2" t="s">
        <v>303</v>
      </c>
      <c r="E1657" s="2" t="s">
        <v>120</v>
      </c>
      <c r="F1657" s="2" t="str" cm="1">
        <f t="array" ref="F16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57" s="2" t="str" cm="1">
        <f t="array" ref="G16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57" s="2" t="s">
        <v>107</v>
      </c>
      <c r="I1657" s="2" t="s">
        <v>95</v>
      </c>
      <c r="J1657" s="2">
        <v>2</v>
      </c>
      <c r="K1657" s="8">
        <v>1599</v>
      </c>
      <c r="L1657" s="3">
        <v>0.1</v>
      </c>
      <c r="M1657" s="12">
        <f>K1657*L1657</f>
        <v>159.9</v>
      </c>
      <c r="N1657" s="12">
        <f>K1657*J1657</f>
        <v>3198</v>
      </c>
      <c r="O1657" s="12">
        <f>N1657-M1657</f>
        <v>3038.1</v>
      </c>
      <c r="P1657" s="2" t="s">
        <v>30</v>
      </c>
      <c r="Q1657" s="2" t="s">
        <v>18</v>
      </c>
      <c r="R1657" s="2">
        <v>0</v>
      </c>
      <c r="S1657" s="20">
        <f>Table1[[#This Row],[Net_revenue]]/Table1[[#This Row],[Gross_revenue]]*100%</f>
        <v>0.95</v>
      </c>
      <c r="T1657" s="18">
        <f>COUNTIFS(Table1[Customer ID], "&gt;1", Table1[Customer ID], 1)</f>
        <v>0</v>
      </c>
    </row>
    <row r="1658" spans="1:20" hidden="1" x14ac:dyDescent="0.3">
      <c r="A1658" s="2" t="s">
        <v>2355</v>
      </c>
      <c r="B1658" s="5">
        <v>45817</v>
      </c>
      <c r="C1658" s="5" t="str">
        <f>TEXT(B1658,"mmm")</f>
        <v>Jun</v>
      </c>
      <c r="D1658" s="2" t="s">
        <v>2356</v>
      </c>
      <c r="E1658" s="2" t="s">
        <v>27</v>
      </c>
      <c r="F1658" s="2" t="str" cm="1">
        <f t="array" ref="F16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58" s="2" t="str" cm="1">
        <f t="array" ref="G16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58" s="2" t="s">
        <v>117</v>
      </c>
      <c r="I1658" s="2" t="s">
        <v>23</v>
      </c>
      <c r="J1658" s="2">
        <v>1</v>
      </c>
      <c r="K1658" s="8">
        <v>2199</v>
      </c>
      <c r="L1658" s="3">
        <v>0</v>
      </c>
      <c r="M1658" s="12">
        <f>K1658*L1658</f>
        <v>0</v>
      </c>
      <c r="N1658" s="12">
        <f>K1658*J1658</f>
        <v>2199</v>
      </c>
      <c r="O1658" s="12">
        <f>N1658-M1658</f>
        <v>2199</v>
      </c>
      <c r="P1658" s="2" t="s">
        <v>45</v>
      </c>
      <c r="Q1658" s="2" t="s">
        <v>18</v>
      </c>
      <c r="R1658" s="2">
        <v>60</v>
      </c>
      <c r="S1658" s="20">
        <f>Table1[[#This Row],[Net_revenue]]/Table1[[#This Row],[Gross_revenue]]*100%</f>
        <v>1</v>
      </c>
      <c r="T1658" s="18">
        <f>COUNTIFS(Table1[Customer ID], "&gt;1", Table1[Customer ID], 1)</f>
        <v>0</v>
      </c>
    </row>
    <row r="1659" spans="1:20" hidden="1" x14ac:dyDescent="0.3">
      <c r="A1659" s="2" t="s">
        <v>2357</v>
      </c>
      <c r="B1659" s="5">
        <v>45849</v>
      </c>
      <c r="C1659" s="5" t="str">
        <f>TEXT(B1659,"mmm")</f>
        <v>Jul</v>
      </c>
      <c r="D1659" s="2" t="s">
        <v>1661</v>
      </c>
      <c r="E1659" s="2" t="s">
        <v>40</v>
      </c>
      <c r="F1659" s="2" t="str" cm="1">
        <f t="array" ref="F16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59" s="2" t="str" cm="1">
        <f t="array" ref="G16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59" s="2" t="s">
        <v>107</v>
      </c>
      <c r="I1659" s="2" t="s">
        <v>95</v>
      </c>
      <c r="J1659" s="2">
        <v>4</v>
      </c>
      <c r="K1659" s="8">
        <v>1599</v>
      </c>
      <c r="L1659" s="3">
        <v>0</v>
      </c>
      <c r="M1659" s="12">
        <f>K1659*L1659</f>
        <v>0</v>
      </c>
      <c r="N1659" s="12">
        <f>K1659*J1659</f>
        <v>6396</v>
      </c>
      <c r="O1659" s="12">
        <f>N1659-M1659</f>
        <v>6396</v>
      </c>
      <c r="P1659" s="2" t="s">
        <v>17</v>
      </c>
      <c r="Q1659" s="2" t="s">
        <v>18</v>
      </c>
      <c r="R1659" s="2">
        <v>40</v>
      </c>
      <c r="S1659" s="20">
        <f>Table1[[#This Row],[Net_revenue]]/Table1[[#This Row],[Gross_revenue]]*100%</f>
        <v>1</v>
      </c>
      <c r="T1659" s="18">
        <f>COUNTIFS(Table1[Customer ID], "&gt;1", Table1[Customer ID], 1)</f>
        <v>0</v>
      </c>
    </row>
    <row r="1660" spans="1:20" hidden="1" x14ac:dyDescent="0.3">
      <c r="A1660" s="2" t="s">
        <v>2358</v>
      </c>
      <c r="B1660" s="5">
        <v>45756</v>
      </c>
      <c r="C1660" s="5" t="str">
        <f>TEXT(B1660,"mmm")</f>
        <v>Apr</v>
      </c>
      <c r="D1660" s="2" t="s">
        <v>1249</v>
      </c>
      <c r="E1660" s="2" t="s">
        <v>40</v>
      </c>
      <c r="F1660" s="2" t="str" cm="1">
        <f t="array" ref="F16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60" s="2" t="str" cm="1">
        <f t="array" ref="G16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60" s="2" t="s">
        <v>89</v>
      </c>
      <c r="I1660" s="2" t="s">
        <v>29</v>
      </c>
      <c r="J1660" s="2">
        <v>1</v>
      </c>
      <c r="K1660" s="8">
        <v>449</v>
      </c>
      <c r="L1660" s="3">
        <v>0.2</v>
      </c>
      <c r="M1660" s="12">
        <f>K1660*L1660</f>
        <v>89.800000000000011</v>
      </c>
      <c r="N1660" s="12">
        <f>K1660*J1660</f>
        <v>449</v>
      </c>
      <c r="O1660" s="12">
        <f>N1660-M1660</f>
        <v>359.2</v>
      </c>
      <c r="P1660" s="2" t="s">
        <v>45</v>
      </c>
      <c r="Q1660" s="2" t="s">
        <v>18</v>
      </c>
      <c r="R1660" s="2">
        <v>40</v>
      </c>
      <c r="S1660" s="20">
        <f>Table1[[#This Row],[Net_revenue]]/Table1[[#This Row],[Gross_revenue]]*100%</f>
        <v>0.79999999999999993</v>
      </c>
      <c r="T1660" s="18">
        <f>COUNTIFS(Table1[Customer ID], "&gt;1", Table1[Customer ID], 1)</f>
        <v>0</v>
      </c>
    </row>
    <row r="1661" spans="1:20" hidden="1" x14ac:dyDescent="0.3">
      <c r="A1661" s="2" t="s">
        <v>2359</v>
      </c>
      <c r="B1661" s="5">
        <v>45883</v>
      </c>
      <c r="C1661" s="5" t="str">
        <f>TEXT(B1661,"mmm")</f>
        <v>Aug</v>
      </c>
      <c r="D1661" s="2" t="s">
        <v>1070</v>
      </c>
      <c r="E1661" s="2" t="s">
        <v>21</v>
      </c>
      <c r="F1661" s="2" t="str" cm="1">
        <f t="array" ref="F16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61" s="2" t="str" cm="1">
        <f t="array" ref="G16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1" s="2" t="s">
        <v>68</v>
      </c>
      <c r="I1661" s="2" t="s">
        <v>16</v>
      </c>
      <c r="J1661" s="2">
        <v>2</v>
      </c>
      <c r="K1661" s="8">
        <v>599</v>
      </c>
      <c r="L1661" s="3">
        <v>0.05</v>
      </c>
      <c r="M1661" s="12">
        <f>K1661*L1661</f>
        <v>29.950000000000003</v>
      </c>
      <c r="N1661" s="12">
        <f>K1661*J1661</f>
        <v>1198</v>
      </c>
      <c r="O1661" s="12">
        <f>N1661-M1661</f>
        <v>1168.05</v>
      </c>
      <c r="P1661" s="2" t="s">
        <v>17</v>
      </c>
      <c r="Q1661" s="2" t="s">
        <v>18</v>
      </c>
      <c r="R1661" s="2">
        <v>0</v>
      </c>
      <c r="S1661" s="20">
        <f>Table1[[#This Row],[Net_revenue]]/Table1[[#This Row],[Gross_revenue]]*100%</f>
        <v>0.97499999999999998</v>
      </c>
      <c r="T1661" s="18">
        <f>COUNTIFS(Table1[Customer ID], "&gt;1", Table1[Customer ID], 1)</f>
        <v>0</v>
      </c>
    </row>
    <row r="1662" spans="1:20" hidden="1" x14ac:dyDescent="0.3">
      <c r="A1662" s="2" t="s">
        <v>2360</v>
      </c>
      <c r="B1662" s="5">
        <v>45783</v>
      </c>
      <c r="C1662" s="5" t="str">
        <f>TEXT(B1662,"mmm")</f>
        <v>May</v>
      </c>
      <c r="D1662" s="2" t="s">
        <v>628</v>
      </c>
      <c r="E1662" s="2" t="s">
        <v>21</v>
      </c>
      <c r="F1662" s="2" t="str" cm="1">
        <f t="array" ref="F16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62" s="2" t="str" cm="1">
        <f t="array" ref="G16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2" s="2" t="s">
        <v>65</v>
      </c>
      <c r="I1662" s="2" t="s">
        <v>23</v>
      </c>
      <c r="J1662" s="2">
        <v>1</v>
      </c>
      <c r="K1662" s="8">
        <v>1899</v>
      </c>
      <c r="L1662" s="3">
        <v>0</v>
      </c>
      <c r="M1662" s="12">
        <f>K1662*L1662</f>
        <v>0</v>
      </c>
      <c r="N1662" s="12">
        <f>K1662*J1662</f>
        <v>1899</v>
      </c>
      <c r="O1662" s="12">
        <f>N1662-M1662</f>
        <v>1899</v>
      </c>
      <c r="P1662" s="2" t="s">
        <v>17</v>
      </c>
      <c r="Q1662" s="2" t="s">
        <v>50</v>
      </c>
      <c r="R1662" s="2">
        <v>60</v>
      </c>
      <c r="S1662" s="20">
        <f>Table1[[#This Row],[Net_revenue]]/Table1[[#This Row],[Gross_revenue]]*100%</f>
        <v>1</v>
      </c>
      <c r="T1662" s="18">
        <f>COUNTIFS(Table1[Customer ID], "&gt;1", Table1[Customer ID], 1)</f>
        <v>0</v>
      </c>
    </row>
    <row r="1663" spans="1:20" hidden="1" x14ac:dyDescent="0.3">
      <c r="A1663" s="2" t="s">
        <v>2361</v>
      </c>
      <c r="B1663" s="5">
        <v>45689</v>
      </c>
      <c r="C1663" s="5" t="str">
        <f>TEXT(B1663,"mmm")</f>
        <v>Feb</v>
      </c>
      <c r="D1663" s="2" t="s">
        <v>1143</v>
      </c>
      <c r="E1663" s="2" t="s">
        <v>48</v>
      </c>
      <c r="F1663" s="2" t="str" cm="1">
        <f t="array" ref="F16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63" s="2" t="str" cm="1">
        <f t="array" ref="G16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63" s="2" t="s">
        <v>49</v>
      </c>
      <c r="I1663" s="2" t="s">
        <v>23</v>
      </c>
      <c r="J1663" s="2">
        <v>2</v>
      </c>
      <c r="K1663" s="8">
        <v>1299</v>
      </c>
      <c r="L1663" s="3">
        <v>0.15</v>
      </c>
      <c r="M1663" s="12">
        <f>K1663*L1663</f>
        <v>194.85</v>
      </c>
      <c r="N1663" s="12">
        <f>K1663*J1663</f>
        <v>2598</v>
      </c>
      <c r="O1663" s="12">
        <f>N1663-M1663</f>
        <v>2403.15</v>
      </c>
      <c r="P1663" s="2" t="s">
        <v>17</v>
      </c>
      <c r="Q1663" s="2" t="s">
        <v>18</v>
      </c>
      <c r="R1663" s="2">
        <v>0</v>
      </c>
      <c r="S1663" s="20">
        <f>Table1[[#This Row],[Net_revenue]]/Table1[[#This Row],[Gross_revenue]]*100%</f>
        <v>0.92500000000000004</v>
      </c>
      <c r="T1663" s="18">
        <f>COUNTIFS(Table1[Customer ID], "&gt;1", Table1[Customer ID], 1)</f>
        <v>0</v>
      </c>
    </row>
    <row r="1664" spans="1:20" hidden="1" x14ac:dyDescent="0.3">
      <c r="A1664" s="2" t="s">
        <v>2362</v>
      </c>
      <c r="B1664" s="5">
        <v>46015</v>
      </c>
      <c r="C1664" s="5" t="str">
        <f>TEXT(B1664,"mmm")</f>
        <v>Dec</v>
      </c>
      <c r="D1664" s="2" t="s">
        <v>2201</v>
      </c>
      <c r="E1664" s="2" t="s">
        <v>48</v>
      </c>
      <c r="F1664" s="2" t="str" cm="1">
        <f t="array" ref="F16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64" s="2" t="str" cm="1">
        <f t="array" ref="G16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64" s="2" t="s">
        <v>94</v>
      </c>
      <c r="I1664" s="2" t="s">
        <v>95</v>
      </c>
      <c r="J1664" s="2">
        <v>1</v>
      </c>
      <c r="K1664" s="8">
        <v>399</v>
      </c>
      <c r="L1664" s="3">
        <v>0.25</v>
      </c>
      <c r="M1664" s="12">
        <f>K1664*L1664</f>
        <v>99.75</v>
      </c>
      <c r="N1664" s="12">
        <f>K1664*J1664</f>
        <v>399</v>
      </c>
      <c r="O1664" s="12">
        <f>N1664-M1664</f>
        <v>299.25</v>
      </c>
      <c r="P1664" s="2" t="s">
        <v>24</v>
      </c>
      <c r="Q1664" s="2" t="s">
        <v>18</v>
      </c>
      <c r="R1664" s="2">
        <v>40</v>
      </c>
      <c r="S1664" s="20">
        <f>Table1[[#This Row],[Net_revenue]]/Table1[[#This Row],[Gross_revenue]]*100%</f>
        <v>0.75</v>
      </c>
      <c r="T1664" s="18">
        <f>COUNTIFS(Table1[Customer ID], "&gt;1", Table1[Customer ID], 1)</f>
        <v>0</v>
      </c>
    </row>
    <row r="1665" spans="1:20" hidden="1" x14ac:dyDescent="0.3">
      <c r="A1665" s="2" t="s">
        <v>2363</v>
      </c>
      <c r="B1665" s="5">
        <v>45803</v>
      </c>
      <c r="C1665" s="5" t="str">
        <f>TEXT(B1665,"mmm")</f>
        <v>May</v>
      </c>
      <c r="D1665" s="2" t="s">
        <v>1265</v>
      </c>
      <c r="E1665" s="2" t="s">
        <v>195</v>
      </c>
      <c r="F1665" s="2" t="str" cm="1">
        <f t="array" ref="F16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665" s="2" t="str" cm="1">
        <f t="array" ref="G16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5" s="2" t="s">
        <v>80</v>
      </c>
      <c r="I1665" s="2" t="s">
        <v>23</v>
      </c>
      <c r="J1665" s="2">
        <v>2</v>
      </c>
      <c r="K1665" s="8">
        <v>799</v>
      </c>
      <c r="L1665" s="3">
        <v>0.1</v>
      </c>
      <c r="M1665" s="12">
        <f>K1665*L1665</f>
        <v>79.900000000000006</v>
      </c>
      <c r="N1665" s="12">
        <f>K1665*J1665</f>
        <v>1598</v>
      </c>
      <c r="O1665" s="12">
        <f>N1665-M1665</f>
        <v>1518.1</v>
      </c>
      <c r="P1665" s="2" t="s">
        <v>45</v>
      </c>
      <c r="Q1665" s="2" t="s">
        <v>18</v>
      </c>
      <c r="R1665" s="2">
        <v>0</v>
      </c>
      <c r="S1665" s="20">
        <f>Table1[[#This Row],[Net_revenue]]/Table1[[#This Row],[Gross_revenue]]*100%</f>
        <v>0.95</v>
      </c>
      <c r="T1665" s="18">
        <f>COUNTIFS(Table1[Customer ID], "&gt;1", Table1[Customer ID], 1)</f>
        <v>0</v>
      </c>
    </row>
    <row r="1666" spans="1:20" hidden="1" x14ac:dyDescent="0.3">
      <c r="A1666" s="2" t="s">
        <v>2364</v>
      </c>
      <c r="B1666" s="5">
        <v>45816</v>
      </c>
      <c r="C1666" s="5" t="str">
        <f>TEXT(B1666,"mmm")</f>
        <v>Jun</v>
      </c>
      <c r="D1666" s="2" t="s">
        <v>2365</v>
      </c>
      <c r="E1666" s="2" t="s">
        <v>14</v>
      </c>
      <c r="F1666" s="2" t="str" cm="1">
        <f t="array" ref="F16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66" s="2" t="str" cm="1">
        <f t="array" ref="G16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66" s="2" t="s">
        <v>44</v>
      </c>
      <c r="I1666" s="2" t="s">
        <v>16</v>
      </c>
      <c r="J1666" s="2">
        <v>1</v>
      </c>
      <c r="K1666" s="8">
        <v>1599</v>
      </c>
      <c r="L1666" s="3">
        <v>0.25</v>
      </c>
      <c r="M1666" s="12">
        <f>K1666*L1666</f>
        <v>399.75</v>
      </c>
      <c r="N1666" s="12">
        <f>K1666*J1666</f>
        <v>1599</v>
      </c>
      <c r="O1666" s="12">
        <f>N1666-M1666</f>
        <v>1199.25</v>
      </c>
      <c r="P1666" s="2" t="s">
        <v>17</v>
      </c>
      <c r="Q1666" s="2" t="s">
        <v>18</v>
      </c>
      <c r="R1666" s="2">
        <v>80</v>
      </c>
      <c r="S1666" s="20">
        <f>Table1[[#This Row],[Net_revenue]]/Table1[[#This Row],[Gross_revenue]]*100%</f>
        <v>0.75</v>
      </c>
      <c r="T1666" s="18">
        <f>COUNTIFS(Table1[Customer ID], "&gt;1", Table1[Customer ID], 1)</f>
        <v>0</v>
      </c>
    </row>
    <row r="1667" spans="1:20" hidden="1" x14ac:dyDescent="0.3">
      <c r="A1667" s="2" t="s">
        <v>2366</v>
      </c>
      <c r="B1667" s="5">
        <v>45817</v>
      </c>
      <c r="C1667" s="5" t="str">
        <f>TEXT(B1667,"mmm")</f>
        <v>Jun</v>
      </c>
      <c r="D1667" s="2" t="s">
        <v>235</v>
      </c>
      <c r="E1667" s="2" t="s">
        <v>120</v>
      </c>
      <c r="F1667" s="2" t="str" cm="1">
        <f t="array" ref="F16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67" s="2" t="str" cm="1">
        <f t="array" ref="G16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7" s="2" t="s">
        <v>188</v>
      </c>
      <c r="I1667" s="2" t="s">
        <v>95</v>
      </c>
      <c r="J1667" s="2">
        <v>3</v>
      </c>
      <c r="K1667" s="8">
        <v>699</v>
      </c>
      <c r="L1667" s="3">
        <v>0.2</v>
      </c>
      <c r="M1667" s="12">
        <f>K1667*L1667</f>
        <v>139.80000000000001</v>
      </c>
      <c r="N1667" s="12">
        <f>K1667*J1667</f>
        <v>2097</v>
      </c>
      <c r="O1667" s="12">
        <f>N1667-M1667</f>
        <v>1957.2</v>
      </c>
      <c r="P1667" s="2" t="s">
        <v>45</v>
      </c>
      <c r="Q1667" s="2" t="s">
        <v>18</v>
      </c>
      <c r="R1667" s="2">
        <v>0</v>
      </c>
      <c r="S1667" s="20">
        <f>Table1[[#This Row],[Net_revenue]]/Table1[[#This Row],[Gross_revenue]]*100%</f>
        <v>0.93333333333333335</v>
      </c>
      <c r="T1667" s="18">
        <f>COUNTIFS(Table1[Customer ID], "&gt;1", Table1[Customer ID], 1)</f>
        <v>0</v>
      </c>
    </row>
    <row r="1668" spans="1:20" hidden="1" x14ac:dyDescent="0.3">
      <c r="A1668" s="2" t="s">
        <v>2367</v>
      </c>
      <c r="B1668" s="5">
        <v>45708</v>
      </c>
      <c r="C1668" s="5" t="str">
        <f>TEXT(B1668,"mmm")</f>
        <v>Feb</v>
      </c>
      <c r="D1668" s="2" t="s">
        <v>152</v>
      </c>
      <c r="E1668" s="2" t="s">
        <v>21</v>
      </c>
      <c r="F1668" s="2" t="str" cm="1">
        <f t="array" ref="F16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68" s="2" t="str" cm="1">
        <f t="array" ref="G16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8" s="2" t="s">
        <v>65</v>
      </c>
      <c r="I1668" s="2" t="s">
        <v>23</v>
      </c>
      <c r="J1668" s="2">
        <v>1</v>
      </c>
      <c r="K1668" s="8">
        <v>1899</v>
      </c>
      <c r="L1668" s="3">
        <v>0.1</v>
      </c>
      <c r="M1668" s="12">
        <f>K1668*L1668</f>
        <v>189.9</v>
      </c>
      <c r="N1668" s="12">
        <f>K1668*J1668</f>
        <v>1899</v>
      </c>
      <c r="O1668" s="12">
        <f>N1668-M1668</f>
        <v>1709.1</v>
      </c>
      <c r="P1668" s="2" t="s">
        <v>45</v>
      </c>
      <c r="Q1668" s="2" t="s">
        <v>50</v>
      </c>
      <c r="R1668" s="2">
        <v>80</v>
      </c>
      <c r="S1668" s="20">
        <f>Table1[[#This Row],[Net_revenue]]/Table1[[#This Row],[Gross_revenue]]*100%</f>
        <v>0.89999999999999991</v>
      </c>
      <c r="T1668" s="18">
        <f>COUNTIFS(Table1[Customer ID], "&gt;1", Table1[Customer ID], 1)</f>
        <v>0</v>
      </c>
    </row>
    <row r="1669" spans="1:20" hidden="1" x14ac:dyDescent="0.3">
      <c r="A1669" s="2" t="s">
        <v>2368</v>
      </c>
      <c r="B1669" s="5">
        <v>45776</v>
      </c>
      <c r="C1669" s="5" t="str">
        <f>TEXT(B1669,"mmm")</f>
        <v>Apr</v>
      </c>
      <c r="D1669" s="2" t="s">
        <v>1946</v>
      </c>
      <c r="E1669" s="2" t="s">
        <v>75</v>
      </c>
      <c r="F1669" s="2" t="str" cm="1">
        <f t="array" ref="F16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669" s="2" t="str" cm="1">
        <f t="array" ref="G16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69" s="2" t="s">
        <v>80</v>
      </c>
      <c r="I1669" s="2" t="s">
        <v>23</v>
      </c>
      <c r="J1669" s="2">
        <v>1</v>
      </c>
      <c r="K1669" s="8">
        <v>799</v>
      </c>
      <c r="L1669" s="3">
        <v>0.05</v>
      </c>
      <c r="M1669" s="12">
        <f>K1669*L1669</f>
        <v>39.950000000000003</v>
      </c>
      <c r="N1669" s="12">
        <f>K1669*J1669</f>
        <v>799</v>
      </c>
      <c r="O1669" s="12">
        <f>N1669-M1669</f>
        <v>759.05</v>
      </c>
      <c r="P1669" s="2" t="s">
        <v>24</v>
      </c>
      <c r="Q1669" s="2" t="s">
        <v>18</v>
      </c>
      <c r="R1669" s="2">
        <v>0</v>
      </c>
      <c r="S1669" s="20">
        <f>Table1[[#This Row],[Net_revenue]]/Table1[[#This Row],[Gross_revenue]]*100%</f>
        <v>0.95</v>
      </c>
      <c r="T1669" s="18">
        <f>COUNTIFS(Table1[Customer ID], "&gt;1", Table1[Customer ID], 1)</f>
        <v>0</v>
      </c>
    </row>
    <row r="1670" spans="1:20" hidden="1" x14ac:dyDescent="0.3">
      <c r="A1670" s="2" t="s">
        <v>2369</v>
      </c>
      <c r="B1670" s="5">
        <v>45970</v>
      </c>
      <c r="C1670" s="5" t="str">
        <f>TEXT(B1670,"mmm")</f>
        <v>Nov</v>
      </c>
      <c r="D1670" s="2" t="s">
        <v>2370</v>
      </c>
      <c r="E1670" s="2" t="s">
        <v>21</v>
      </c>
      <c r="F1670" s="2" t="str" cm="1">
        <f t="array" ref="F16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70" s="2" t="str" cm="1">
        <f t="array" ref="G16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70" s="2" t="s">
        <v>80</v>
      </c>
      <c r="I1670" s="2" t="s">
        <v>23</v>
      </c>
      <c r="J1670" s="2">
        <v>1</v>
      </c>
      <c r="K1670" s="8">
        <v>799</v>
      </c>
      <c r="L1670" s="3">
        <v>0.25</v>
      </c>
      <c r="M1670" s="12">
        <f>K1670*L1670</f>
        <v>199.75</v>
      </c>
      <c r="N1670" s="12">
        <f>K1670*J1670</f>
        <v>799</v>
      </c>
      <c r="O1670" s="12">
        <f>N1670-M1670</f>
        <v>599.25</v>
      </c>
      <c r="P1670" s="2" t="s">
        <v>45</v>
      </c>
      <c r="Q1670" s="2" t="s">
        <v>18</v>
      </c>
      <c r="R1670" s="2">
        <v>60</v>
      </c>
      <c r="S1670" s="20">
        <f>Table1[[#This Row],[Net_revenue]]/Table1[[#This Row],[Gross_revenue]]*100%</f>
        <v>0.75</v>
      </c>
      <c r="T1670" s="18">
        <f>COUNTIFS(Table1[Customer ID], "&gt;1", Table1[Customer ID], 1)</f>
        <v>0</v>
      </c>
    </row>
    <row r="1671" spans="1:20" hidden="1" x14ac:dyDescent="0.3">
      <c r="A1671" s="2" t="s">
        <v>2371</v>
      </c>
      <c r="B1671" s="5">
        <v>45816</v>
      </c>
      <c r="C1671" s="5" t="str">
        <f>TEXT(B1671,"mmm")</f>
        <v>Jun</v>
      </c>
      <c r="D1671" s="2" t="s">
        <v>136</v>
      </c>
      <c r="E1671" s="2" t="s">
        <v>48</v>
      </c>
      <c r="F1671" s="2" t="str" cm="1">
        <f t="array" ref="F16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71" s="2" t="str" cm="1">
        <f t="array" ref="G16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71" s="2" t="s">
        <v>80</v>
      </c>
      <c r="I1671" s="2" t="s">
        <v>23</v>
      </c>
      <c r="J1671" s="2">
        <v>1</v>
      </c>
      <c r="K1671" s="8">
        <v>799</v>
      </c>
      <c r="L1671" s="3">
        <v>0.1</v>
      </c>
      <c r="M1671" s="12">
        <f>K1671*L1671</f>
        <v>79.900000000000006</v>
      </c>
      <c r="N1671" s="12">
        <f>K1671*J1671</f>
        <v>799</v>
      </c>
      <c r="O1671" s="12">
        <f>N1671-M1671</f>
        <v>719.1</v>
      </c>
      <c r="P1671" s="2" t="s">
        <v>17</v>
      </c>
      <c r="Q1671" s="2" t="s">
        <v>18</v>
      </c>
      <c r="R1671" s="2">
        <v>60</v>
      </c>
      <c r="S1671" s="20">
        <f>Table1[[#This Row],[Net_revenue]]/Table1[[#This Row],[Gross_revenue]]*100%</f>
        <v>0.9</v>
      </c>
      <c r="T1671" s="18">
        <f>COUNTIFS(Table1[Customer ID], "&gt;1", Table1[Customer ID], 1)</f>
        <v>0</v>
      </c>
    </row>
    <row r="1672" spans="1:20" hidden="1" x14ac:dyDescent="0.3">
      <c r="A1672" s="2" t="s">
        <v>2372</v>
      </c>
      <c r="B1672" s="5">
        <v>45754</v>
      </c>
      <c r="C1672" s="5" t="str">
        <f>TEXT(B1672,"mmm")</f>
        <v>Apr</v>
      </c>
      <c r="D1672" s="2" t="s">
        <v>1307</v>
      </c>
      <c r="E1672" s="2" t="s">
        <v>40</v>
      </c>
      <c r="F1672" s="2" t="str" cm="1">
        <f t="array" ref="F16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72" s="2" t="str" cm="1">
        <f t="array" ref="G16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72" s="2" t="s">
        <v>65</v>
      </c>
      <c r="I1672" s="2" t="s">
        <v>23</v>
      </c>
      <c r="J1672" s="2">
        <v>2</v>
      </c>
      <c r="K1672" s="8">
        <v>1899</v>
      </c>
      <c r="L1672" s="3">
        <v>0.1</v>
      </c>
      <c r="M1672" s="12">
        <f>K1672*L1672</f>
        <v>189.9</v>
      </c>
      <c r="N1672" s="12">
        <f>K1672*J1672</f>
        <v>3798</v>
      </c>
      <c r="O1672" s="12">
        <f>N1672-M1672</f>
        <v>3608.1</v>
      </c>
      <c r="P1672" s="2" t="s">
        <v>17</v>
      </c>
      <c r="Q1672" s="2" t="s">
        <v>18</v>
      </c>
      <c r="R1672" s="2">
        <v>40</v>
      </c>
      <c r="S1672" s="20">
        <f>Table1[[#This Row],[Net_revenue]]/Table1[[#This Row],[Gross_revenue]]*100%</f>
        <v>0.95</v>
      </c>
      <c r="T1672" s="18">
        <f>COUNTIFS(Table1[Customer ID], "&gt;1", Table1[Customer ID], 1)</f>
        <v>0</v>
      </c>
    </row>
    <row r="1673" spans="1:20" hidden="1" x14ac:dyDescent="0.3">
      <c r="A1673" s="2" t="s">
        <v>2373</v>
      </c>
      <c r="B1673" s="5">
        <v>45708</v>
      </c>
      <c r="C1673" s="5" t="str">
        <f>TEXT(B1673,"mmm")</f>
        <v>Feb</v>
      </c>
      <c r="D1673" s="2" t="s">
        <v>647</v>
      </c>
      <c r="E1673" s="2" t="s">
        <v>48</v>
      </c>
      <c r="F1673" s="2" t="str" cm="1">
        <f t="array" ref="F16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73" s="2" t="str" cm="1">
        <f t="array" ref="G16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73" s="2" t="s">
        <v>98</v>
      </c>
      <c r="I1673" s="2" t="s">
        <v>37</v>
      </c>
      <c r="J1673" s="2">
        <v>2</v>
      </c>
      <c r="K1673" s="8">
        <v>299</v>
      </c>
      <c r="L1673" s="3">
        <v>0.2</v>
      </c>
      <c r="M1673" s="12">
        <f>K1673*L1673</f>
        <v>59.800000000000004</v>
      </c>
      <c r="N1673" s="12">
        <f>K1673*J1673</f>
        <v>598</v>
      </c>
      <c r="O1673" s="12">
        <f>N1673-M1673</f>
        <v>538.20000000000005</v>
      </c>
      <c r="P1673" s="2" t="s">
        <v>45</v>
      </c>
      <c r="Q1673" s="2" t="s">
        <v>18</v>
      </c>
      <c r="R1673" s="2">
        <v>0</v>
      </c>
      <c r="S1673" s="20">
        <f>Table1[[#This Row],[Net_revenue]]/Table1[[#This Row],[Gross_revenue]]*100%</f>
        <v>0.9</v>
      </c>
      <c r="T1673" s="18">
        <f>COUNTIFS(Table1[Customer ID], "&gt;1", Table1[Customer ID], 1)</f>
        <v>0</v>
      </c>
    </row>
    <row r="1674" spans="1:20" hidden="1" x14ac:dyDescent="0.3">
      <c r="A1674" s="2" t="s">
        <v>2374</v>
      </c>
      <c r="B1674" s="5">
        <v>45956</v>
      </c>
      <c r="C1674" s="5" t="str">
        <f>TEXT(B1674,"mmm")</f>
        <v>Oct</v>
      </c>
      <c r="D1674" s="2" t="s">
        <v>84</v>
      </c>
      <c r="E1674" s="2" t="s">
        <v>27</v>
      </c>
      <c r="F1674" s="2" t="str" cm="1">
        <f t="array" ref="F16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74" s="2" t="str" cm="1">
        <f t="array" ref="G16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74" s="2" t="s">
        <v>117</v>
      </c>
      <c r="I1674" s="2" t="s">
        <v>23</v>
      </c>
      <c r="J1674" s="2">
        <v>2</v>
      </c>
      <c r="K1674" s="8">
        <v>2199</v>
      </c>
      <c r="L1674" s="3">
        <v>0.05</v>
      </c>
      <c r="M1674" s="12">
        <f>K1674*L1674</f>
        <v>109.95</v>
      </c>
      <c r="N1674" s="12">
        <f>K1674*J1674</f>
        <v>4398</v>
      </c>
      <c r="O1674" s="12">
        <f>N1674-M1674</f>
        <v>4288.05</v>
      </c>
      <c r="P1674" s="2" t="s">
        <v>30</v>
      </c>
      <c r="Q1674" s="2" t="s">
        <v>18</v>
      </c>
      <c r="R1674" s="2">
        <v>40</v>
      </c>
      <c r="S1674" s="20">
        <f>Table1[[#This Row],[Net_revenue]]/Table1[[#This Row],[Gross_revenue]]*100%</f>
        <v>0.97500000000000009</v>
      </c>
      <c r="T1674" s="18">
        <f>COUNTIFS(Table1[Customer ID], "&gt;1", Table1[Customer ID], 1)</f>
        <v>0</v>
      </c>
    </row>
    <row r="1675" spans="1:20" hidden="1" x14ac:dyDescent="0.3">
      <c r="A1675" s="2" t="s">
        <v>2375</v>
      </c>
      <c r="B1675" s="5">
        <v>45798</v>
      </c>
      <c r="C1675" s="5" t="str">
        <f>TEXT(B1675,"mmm")</f>
        <v>May</v>
      </c>
      <c r="D1675" s="2" t="s">
        <v>1681</v>
      </c>
      <c r="E1675" s="2" t="s">
        <v>14</v>
      </c>
      <c r="F1675" s="2" t="str" cm="1">
        <f t="array" ref="F16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75" s="2" t="str" cm="1">
        <f t="array" ref="G16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75" s="2" t="s">
        <v>49</v>
      </c>
      <c r="I1675" s="2" t="s">
        <v>23</v>
      </c>
      <c r="J1675" s="2">
        <v>2</v>
      </c>
      <c r="K1675" s="8">
        <v>1299</v>
      </c>
      <c r="L1675" s="3">
        <v>0.2</v>
      </c>
      <c r="M1675" s="12">
        <f>K1675*L1675</f>
        <v>259.8</v>
      </c>
      <c r="N1675" s="12">
        <f>K1675*J1675</f>
        <v>2598</v>
      </c>
      <c r="O1675" s="12">
        <f>N1675-M1675</f>
        <v>2338.1999999999998</v>
      </c>
      <c r="P1675" s="2" t="s">
        <v>45</v>
      </c>
      <c r="Q1675" s="2" t="s">
        <v>18</v>
      </c>
      <c r="R1675" s="2">
        <v>0</v>
      </c>
      <c r="S1675" s="20">
        <f>Table1[[#This Row],[Net_revenue]]/Table1[[#This Row],[Gross_revenue]]*100%</f>
        <v>0.89999999999999991</v>
      </c>
      <c r="T1675" s="18">
        <f>COUNTIFS(Table1[Customer ID], "&gt;1", Table1[Customer ID], 1)</f>
        <v>0</v>
      </c>
    </row>
    <row r="1676" spans="1:20" hidden="1" x14ac:dyDescent="0.3">
      <c r="A1676" s="2" t="s">
        <v>2376</v>
      </c>
      <c r="B1676" s="5">
        <v>45753</v>
      </c>
      <c r="C1676" s="5" t="str">
        <f>TEXT(B1676,"mmm")</f>
        <v>Apr</v>
      </c>
      <c r="D1676" s="2" t="s">
        <v>379</v>
      </c>
      <c r="E1676" s="2" t="s">
        <v>40</v>
      </c>
      <c r="F1676" s="2" t="str" cm="1">
        <f t="array" ref="F16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76" s="2" t="str" cm="1">
        <f t="array" ref="G16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76" s="2" t="s">
        <v>63</v>
      </c>
      <c r="I1676" s="2" t="s">
        <v>23</v>
      </c>
      <c r="J1676" s="2">
        <v>2</v>
      </c>
      <c r="K1676" s="8">
        <v>2499</v>
      </c>
      <c r="L1676" s="3">
        <v>0.05</v>
      </c>
      <c r="M1676" s="12">
        <f>K1676*L1676</f>
        <v>124.95</v>
      </c>
      <c r="N1676" s="12">
        <f>K1676*J1676</f>
        <v>4998</v>
      </c>
      <c r="O1676" s="12">
        <f>N1676-M1676</f>
        <v>4873.05</v>
      </c>
      <c r="P1676" s="2" t="s">
        <v>45</v>
      </c>
      <c r="Q1676" s="2" t="s">
        <v>18</v>
      </c>
      <c r="R1676" s="2">
        <v>40</v>
      </c>
      <c r="S1676" s="20">
        <f>Table1[[#This Row],[Net_revenue]]/Table1[[#This Row],[Gross_revenue]]*100%</f>
        <v>0.97500000000000009</v>
      </c>
      <c r="T1676" s="18">
        <f>COUNTIFS(Table1[Customer ID], "&gt;1", Table1[Customer ID], 1)</f>
        <v>0</v>
      </c>
    </row>
    <row r="1677" spans="1:20" hidden="1" x14ac:dyDescent="0.3">
      <c r="A1677" s="2" t="s">
        <v>2377</v>
      </c>
      <c r="B1677" s="5">
        <v>45849</v>
      </c>
      <c r="C1677" s="5" t="str">
        <f>TEXT(B1677,"mmm")</f>
        <v>Jul</v>
      </c>
      <c r="D1677" s="2" t="s">
        <v>1170</v>
      </c>
      <c r="E1677" s="2" t="s">
        <v>40</v>
      </c>
      <c r="F1677" s="2" t="str" cm="1">
        <f t="array" ref="F16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77" s="2" t="str" cm="1">
        <f t="array" ref="G16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77" s="2" t="s">
        <v>117</v>
      </c>
      <c r="I1677" s="2" t="s">
        <v>23</v>
      </c>
      <c r="J1677" s="2">
        <v>1</v>
      </c>
      <c r="K1677" s="8">
        <v>2199</v>
      </c>
      <c r="L1677" s="3">
        <v>0.1</v>
      </c>
      <c r="M1677" s="12">
        <f>K1677*L1677</f>
        <v>219.9</v>
      </c>
      <c r="N1677" s="12">
        <f>K1677*J1677</f>
        <v>2199</v>
      </c>
      <c r="O1677" s="12">
        <f>N1677-M1677</f>
        <v>1979.1</v>
      </c>
      <c r="P1677" s="2" t="s">
        <v>45</v>
      </c>
      <c r="Q1677" s="2" t="s">
        <v>18</v>
      </c>
      <c r="R1677" s="2">
        <v>80</v>
      </c>
      <c r="S1677" s="20">
        <f>Table1[[#This Row],[Net_revenue]]/Table1[[#This Row],[Gross_revenue]]*100%</f>
        <v>0.89999999999999991</v>
      </c>
      <c r="T1677" s="18">
        <f>COUNTIFS(Table1[Customer ID], "&gt;1", Table1[Customer ID], 1)</f>
        <v>0</v>
      </c>
    </row>
    <row r="1678" spans="1:20" hidden="1" x14ac:dyDescent="0.3">
      <c r="A1678" s="2" t="s">
        <v>2378</v>
      </c>
      <c r="B1678" s="5">
        <v>45916</v>
      </c>
      <c r="C1678" s="5" t="str">
        <f>TEXT(B1678,"mmm")</f>
        <v>Sep</v>
      </c>
      <c r="D1678" s="2" t="s">
        <v>2379</v>
      </c>
      <c r="E1678" s="2" t="s">
        <v>27</v>
      </c>
      <c r="F1678" s="2" t="str" cm="1">
        <f t="array" ref="F16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78" s="2" t="str" cm="1">
        <f t="array" ref="G16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78" s="2" t="s">
        <v>80</v>
      </c>
      <c r="I1678" s="2" t="s">
        <v>23</v>
      </c>
      <c r="J1678" s="2">
        <v>4</v>
      </c>
      <c r="K1678" s="8">
        <v>799</v>
      </c>
      <c r="L1678" s="3">
        <v>0.25</v>
      </c>
      <c r="M1678" s="12">
        <f>K1678*L1678</f>
        <v>199.75</v>
      </c>
      <c r="N1678" s="12">
        <f>K1678*J1678</f>
        <v>3196</v>
      </c>
      <c r="O1678" s="12">
        <f>N1678-M1678</f>
        <v>2996.25</v>
      </c>
      <c r="P1678" s="2" t="s">
        <v>17</v>
      </c>
      <c r="Q1678" s="2" t="s">
        <v>50</v>
      </c>
      <c r="R1678" s="2">
        <v>80</v>
      </c>
      <c r="S1678" s="20">
        <f>Table1[[#This Row],[Net_revenue]]/Table1[[#This Row],[Gross_revenue]]*100%</f>
        <v>0.9375</v>
      </c>
      <c r="T1678" s="18">
        <f>COUNTIFS(Table1[Customer ID], "&gt;1", Table1[Customer ID], 1)</f>
        <v>0</v>
      </c>
    </row>
    <row r="1679" spans="1:20" hidden="1" x14ac:dyDescent="0.3">
      <c r="A1679" s="2" t="s">
        <v>2380</v>
      </c>
      <c r="B1679" s="5">
        <v>45869</v>
      </c>
      <c r="C1679" s="5" t="str">
        <f>TEXT(B1679,"mmm")</f>
        <v>Jul</v>
      </c>
      <c r="D1679" s="2" t="s">
        <v>783</v>
      </c>
      <c r="E1679" s="2" t="s">
        <v>21</v>
      </c>
      <c r="F1679" s="2" t="str" cm="1">
        <f t="array" ref="F16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79" s="2" t="str" cm="1">
        <f t="array" ref="G16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79" s="2" t="s">
        <v>41</v>
      </c>
      <c r="I1679" s="2" t="s">
        <v>16</v>
      </c>
      <c r="J1679" s="2">
        <v>1</v>
      </c>
      <c r="K1679" s="8">
        <v>2299</v>
      </c>
      <c r="L1679" s="3">
        <v>0</v>
      </c>
      <c r="M1679" s="12">
        <f>K1679*L1679</f>
        <v>0</v>
      </c>
      <c r="N1679" s="12">
        <f>K1679*J1679</f>
        <v>2299</v>
      </c>
      <c r="O1679" s="12">
        <f>N1679-M1679</f>
        <v>2299</v>
      </c>
      <c r="P1679" s="2" t="s">
        <v>30</v>
      </c>
      <c r="Q1679" s="2" t="s">
        <v>18</v>
      </c>
      <c r="R1679" s="2">
        <v>60</v>
      </c>
      <c r="S1679" s="20">
        <f>Table1[[#This Row],[Net_revenue]]/Table1[[#This Row],[Gross_revenue]]*100%</f>
        <v>1</v>
      </c>
      <c r="T1679" s="18">
        <f>COUNTIFS(Table1[Customer ID], "&gt;1", Table1[Customer ID], 1)</f>
        <v>0</v>
      </c>
    </row>
    <row r="1680" spans="1:20" hidden="1" x14ac:dyDescent="0.3">
      <c r="A1680" s="2" t="s">
        <v>2381</v>
      </c>
      <c r="B1680" s="5">
        <v>45688</v>
      </c>
      <c r="C1680" s="5" t="str">
        <f>TEXT(B1680,"mmm")</f>
        <v>Jan</v>
      </c>
      <c r="D1680" s="2" t="s">
        <v>2382</v>
      </c>
      <c r="E1680" s="2" t="s">
        <v>48</v>
      </c>
      <c r="F1680" s="2" t="str" cm="1">
        <f t="array" ref="F16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80" s="2" t="str" cm="1">
        <f t="array" ref="G16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80" s="2" t="s">
        <v>134</v>
      </c>
      <c r="I1680" s="2" t="s">
        <v>29</v>
      </c>
      <c r="J1680" s="2">
        <v>2</v>
      </c>
      <c r="K1680" s="8">
        <v>1499</v>
      </c>
      <c r="L1680" s="3">
        <v>0.15</v>
      </c>
      <c r="M1680" s="12">
        <f>K1680*L1680</f>
        <v>224.85</v>
      </c>
      <c r="N1680" s="12">
        <f>K1680*J1680</f>
        <v>2998</v>
      </c>
      <c r="O1680" s="12">
        <f>N1680-M1680</f>
        <v>2773.15</v>
      </c>
      <c r="P1680" s="2" t="s">
        <v>24</v>
      </c>
      <c r="Q1680" s="2" t="s">
        <v>18</v>
      </c>
      <c r="R1680" s="2">
        <v>80</v>
      </c>
      <c r="S1680" s="20">
        <f>Table1[[#This Row],[Net_revenue]]/Table1[[#This Row],[Gross_revenue]]*100%</f>
        <v>0.92500000000000004</v>
      </c>
      <c r="T1680" s="18">
        <f>COUNTIFS(Table1[Customer ID], "&gt;1", Table1[Customer ID], 1)</f>
        <v>0</v>
      </c>
    </row>
    <row r="1681" spans="1:20" hidden="1" x14ac:dyDescent="0.3">
      <c r="A1681" s="2" t="s">
        <v>2383</v>
      </c>
      <c r="B1681" s="5">
        <v>45714</v>
      </c>
      <c r="C1681" s="5" t="str">
        <f>TEXT(B1681,"mmm")</f>
        <v>Feb</v>
      </c>
      <c r="D1681" s="2" t="s">
        <v>2384</v>
      </c>
      <c r="E1681" s="2" t="s">
        <v>56</v>
      </c>
      <c r="F1681" s="2" t="str" cm="1">
        <f t="array" ref="F16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81" s="2" t="str" cm="1">
        <f t="array" ref="G16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81" s="2" t="s">
        <v>183</v>
      </c>
      <c r="I1681" s="2" t="s">
        <v>37</v>
      </c>
      <c r="J1681" s="2">
        <v>3</v>
      </c>
      <c r="K1681" s="8">
        <v>499</v>
      </c>
      <c r="L1681" s="3">
        <v>0.1</v>
      </c>
      <c r="M1681" s="12">
        <f>K1681*L1681</f>
        <v>49.900000000000006</v>
      </c>
      <c r="N1681" s="12">
        <f>K1681*J1681</f>
        <v>1497</v>
      </c>
      <c r="O1681" s="12">
        <f>N1681-M1681</f>
        <v>1447.1</v>
      </c>
      <c r="P1681" s="2" t="s">
        <v>17</v>
      </c>
      <c r="Q1681" s="2" t="s">
        <v>18</v>
      </c>
      <c r="R1681" s="2">
        <v>80</v>
      </c>
      <c r="S1681" s="20">
        <f>Table1[[#This Row],[Net_revenue]]/Table1[[#This Row],[Gross_revenue]]*100%</f>
        <v>0.96666666666666656</v>
      </c>
      <c r="T1681" s="18">
        <f>COUNTIFS(Table1[Customer ID], "&gt;1", Table1[Customer ID], 1)</f>
        <v>0</v>
      </c>
    </row>
    <row r="1682" spans="1:20" hidden="1" x14ac:dyDescent="0.3">
      <c r="A1682" s="2" t="s">
        <v>2385</v>
      </c>
      <c r="B1682" s="5">
        <v>45759</v>
      </c>
      <c r="C1682" s="5" t="str">
        <f>TEXT(B1682,"mmm")</f>
        <v>Apr</v>
      </c>
      <c r="D1682" s="2" t="s">
        <v>643</v>
      </c>
      <c r="E1682" s="2" t="s">
        <v>48</v>
      </c>
      <c r="F1682" s="2" t="str" cm="1">
        <f t="array" ref="F16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82" s="2" t="str" cm="1">
        <f t="array" ref="G16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82" s="2" t="s">
        <v>80</v>
      </c>
      <c r="I1682" s="2" t="s">
        <v>23</v>
      </c>
      <c r="J1682" s="2">
        <v>2</v>
      </c>
      <c r="K1682" s="8">
        <v>799</v>
      </c>
      <c r="L1682" s="3">
        <v>0</v>
      </c>
      <c r="M1682" s="12">
        <f>K1682*L1682</f>
        <v>0</v>
      </c>
      <c r="N1682" s="12">
        <f>K1682*J1682</f>
        <v>1598</v>
      </c>
      <c r="O1682" s="12">
        <f>N1682-M1682</f>
        <v>1598</v>
      </c>
      <c r="P1682" s="2" t="s">
        <v>24</v>
      </c>
      <c r="Q1682" s="2" t="s">
        <v>18</v>
      </c>
      <c r="R1682" s="2">
        <v>40</v>
      </c>
      <c r="S1682" s="20">
        <f>Table1[[#This Row],[Net_revenue]]/Table1[[#This Row],[Gross_revenue]]*100%</f>
        <v>1</v>
      </c>
      <c r="T1682" s="18">
        <f>COUNTIFS(Table1[Customer ID], "&gt;1", Table1[Customer ID], 1)</f>
        <v>0</v>
      </c>
    </row>
    <row r="1683" spans="1:20" hidden="1" x14ac:dyDescent="0.3">
      <c r="A1683" s="2" t="s">
        <v>2386</v>
      </c>
      <c r="B1683" s="5">
        <v>45898</v>
      </c>
      <c r="C1683" s="5" t="str">
        <f>TEXT(B1683,"mmm")</f>
        <v>Aug</v>
      </c>
      <c r="D1683" s="2" t="s">
        <v>112</v>
      </c>
      <c r="E1683" s="2" t="s">
        <v>56</v>
      </c>
      <c r="F1683" s="2" t="str" cm="1">
        <f t="array" ref="F16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83" s="2" t="str" cm="1">
        <f t="array" ref="G16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83" s="2" t="s">
        <v>63</v>
      </c>
      <c r="I1683" s="2" t="s">
        <v>23</v>
      </c>
      <c r="J1683" s="2">
        <v>1</v>
      </c>
      <c r="K1683" s="8">
        <v>2499</v>
      </c>
      <c r="L1683" s="3">
        <v>0</v>
      </c>
      <c r="M1683" s="12">
        <f>K1683*L1683</f>
        <v>0</v>
      </c>
      <c r="N1683" s="12">
        <f>K1683*J1683</f>
        <v>2499</v>
      </c>
      <c r="O1683" s="12">
        <f>N1683-M1683</f>
        <v>2499</v>
      </c>
      <c r="P1683" s="2" t="s">
        <v>24</v>
      </c>
      <c r="Q1683" s="2" t="s">
        <v>18</v>
      </c>
      <c r="R1683" s="2">
        <v>60</v>
      </c>
      <c r="S1683" s="20">
        <f>Table1[[#This Row],[Net_revenue]]/Table1[[#This Row],[Gross_revenue]]*100%</f>
        <v>1</v>
      </c>
      <c r="T1683" s="18">
        <f>COUNTIFS(Table1[Customer ID], "&gt;1", Table1[Customer ID], 1)</f>
        <v>0</v>
      </c>
    </row>
    <row r="1684" spans="1:20" hidden="1" x14ac:dyDescent="0.3">
      <c r="A1684" s="2" t="s">
        <v>2387</v>
      </c>
      <c r="B1684" s="5">
        <v>45842</v>
      </c>
      <c r="C1684" s="5" t="str">
        <f>TEXT(B1684,"mmm")</f>
        <v>Jul</v>
      </c>
      <c r="D1684" s="2" t="s">
        <v>465</v>
      </c>
      <c r="E1684" s="2" t="s">
        <v>14</v>
      </c>
      <c r="F1684" s="2" t="str" cm="1">
        <f t="array" ref="F16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84" s="2" t="str" cm="1">
        <f t="array" ref="G16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84" s="2" t="s">
        <v>65</v>
      </c>
      <c r="I1684" s="2" t="s">
        <v>23</v>
      </c>
      <c r="J1684" s="2">
        <v>1</v>
      </c>
      <c r="K1684" s="8">
        <v>1899</v>
      </c>
      <c r="L1684" s="3">
        <v>0.25</v>
      </c>
      <c r="M1684" s="12">
        <f>K1684*L1684</f>
        <v>474.75</v>
      </c>
      <c r="N1684" s="12">
        <f>K1684*J1684</f>
        <v>1899</v>
      </c>
      <c r="O1684" s="12">
        <f>N1684-M1684</f>
        <v>1424.25</v>
      </c>
      <c r="P1684" s="2" t="s">
        <v>17</v>
      </c>
      <c r="Q1684" s="2" t="s">
        <v>18</v>
      </c>
      <c r="R1684" s="2">
        <v>40</v>
      </c>
      <c r="S1684" s="20">
        <f>Table1[[#This Row],[Net_revenue]]/Table1[[#This Row],[Gross_revenue]]*100%</f>
        <v>0.75</v>
      </c>
      <c r="T1684" s="18">
        <f>COUNTIFS(Table1[Customer ID], "&gt;1", Table1[Customer ID], 1)</f>
        <v>0</v>
      </c>
    </row>
    <row r="1685" spans="1:20" hidden="1" x14ac:dyDescent="0.3">
      <c r="A1685" s="2" t="s">
        <v>2388</v>
      </c>
      <c r="B1685" s="5">
        <v>45922</v>
      </c>
      <c r="C1685" s="5" t="str">
        <f>TEXT(B1685,"mmm")</f>
        <v>Sep</v>
      </c>
      <c r="D1685" s="2" t="s">
        <v>2389</v>
      </c>
      <c r="E1685" s="2" t="s">
        <v>56</v>
      </c>
      <c r="F1685" s="2" t="str" cm="1">
        <f t="array" ref="F16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85" s="2" t="str" cm="1">
        <f t="array" ref="G16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85" s="2" t="s">
        <v>117</v>
      </c>
      <c r="I1685" s="2" t="s">
        <v>23</v>
      </c>
      <c r="J1685" s="2">
        <v>4</v>
      </c>
      <c r="K1685" s="8">
        <v>2199</v>
      </c>
      <c r="L1685" s="3">
        <v>0.25</v>
      </c>
      <c r="M1685" s="12">
        <f>K1685*L1685</f>
        <v>549.75</v>
      </c>
      <c r="N1685" s="12">
        <f>K1685*J1685</f>
        <v>8796</v>
      </c>
      <c r="O1685" s="12">
        <f>N1685-M1685</f>
        <v>8246.25</v>
      </c>
      <c r="P1685" s="2" t="s">
        <v>45</v>
      </c>
      <c r="Q1685" s="2" t="s">
        <v>18</v>
      </c>
      <c r="R1685" s="2">
        <v>0</v>
      </c>
      <c r="S1685" s="20">
        <f>Table1[[#This Row],[Net_revenue]]/Table1[[#This Row],[Gross_revenue]]*100%</f>
        <v>0.9375</v>
      </c>
      <c r="T1685" s="18">
        <f>COUNTIFS(Table1[Customer ID], "&gt;1", Table1[Customer ID], 1)</f>
        <v>0</v>
      </c>
    </row>
    <row r="1686" spans="1:20" hidden="1" x14ac:dyDescent="0.3">
      <c r="A1686" s="2" t="s">
        <v>2390</v>
      </c>
      <c r="B1686" s="5">
        <v>45838</v>
      </c>
      <c r="C1686" s="5" t="str">
        <f>TEXT(B1686,"mmm")</f>
        <v>Jun</v>
      </c>
      <c r="D1686" s="2" t="s">
        <v>84</v>
      </c>
      <c r="E1686" s="2" t="s">
        <v>40</v>
      </c>
      <c r="F1686" s="2" t="str" cm="1">
        <f t="array" ref="F16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86" s="2" t="str" cm="1">
        <f t="array" ref="G16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86" s="2" t="s">
        <v>15</v>
      </c>
      <c r="I1686" s="2" t="s">
        <v>16</v>
      </c>
      <c r="J1686" s="2">
        <v>1</v>
      </c>
      <c r="K1686" s="8">
        <v>1799</v>
      </c>
      <c r="L1686" s="3">
        <v>0.1</v>
      </c>
      <c r="M1686" s="12">
        <f>K1686*L1686</f>
        <v>179.9</v>
      </c>
      <c r="N1686" s="12">
        <f>K1686*J1686</f>
        <v>1799</v>
      </c>
      <c r="O1686" s="12">
        <f>N1686-M1686</f>
        <v>1619.1</v>
      </c>
      <c r="P1686" s="2" t="s">
        <v>24</v>
      </c>
      <c r="Q1686" s="2" t="s">
        <v>50</v>
      </c>
      <c r="R1686" s="2">
        <v>80</v>
      </c>
      <c r="S1686" s="20">
        <f>Table1[[#This Row],[Net_revenue]]/Table1[[#This Row],[Gross_revenue]]*100%</f>
        <v>0.89999999999999991</v>
      </c>
      <c r="T1686" s="18">
        <f>COUNTIFS(Table1[Customer ID], "&gt;1", Table1[Customer ID], 1)</f>
        <v>0</v>
      </c>
    </row>
    <row r="1687" spans="1:20" hidden="1" x14ac:dyDescent="0.3">
      <c r="A1687" s="2" t="s">
        <v>2391</v>
      </c>
      <c r="B1687" s="5">
        <v>45798</v>
      </c>
      <c r="C1687" s="5" t="str">
        <f>TEXT(B1687,"mmm")</f>
        <v>May</v>
      </c>
      <c r="D1687" s="2" t="s">
        <v>1175</v>
      </c>
      <c r="E1687" s="2" t="s">
        <v>21</v>
      </c>
      <c r="F1687" s="2" t="str" cm="1">
        <f t="array" ref="F16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87" s="2" t="str" cm="1">
        <f t="array" ref="G16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87" s="2" t="s">
        <v>33</v>
      </c>
      <c r="I1687" s="2" t="s">
        <v>16</v>
      </c>
      <c r="J1687" s="2">
        <v>1</v>
      </c>
      <c r="K1687" s="8">
        <v>899</v>
      </c>
      <c r="L1687" s="3">
        <v>0.05</v>
      </c>
      <c r="M1687" s="12">
        <f>K1687*L1687</f>
        <v>44.95</v>
      </c>
      <c r="N1687" s="12">
        <f>K1687*J1687</f>
        <v>899</v>
      </c>
      <c r="O1687" s="12">
        <f>N1687-M1687</f>
        <v>854.05</v>
      </c>
      <c r="P1687" s="2" t="s">
        <v>45</v>
      </c>
      <c r="Q1687" s="2" t="s">
        <v>18</v>
      </c>
      <c r="R1687" s="2">
        <v>0</v>
      </c>
      <c r="S1687" s="20">
        <f>Table1[[#This Row],[Net_revenue]]/Table1[[#This Row],[Gross_revenue]]*100%</f>
        <v>0.95</v>
      </c>
      <c r="T1687" s="18">
        <f>COUNTIFS(Table1[Customer ID], "&gt;1", Table1[Customer ID], 1)</f>
        <v>0</v>
      </c>
    </row>
    <row r="1688" spans="1:20" hidden="1" x14ac:dyDescent="0.3">
      <c r="A1688" s="2" t="s">
        <v>2392</v>
      </c>
      <c r="B1688" s="5">
        <v>45956</v>
      </c>
      <c r="C1688" s="5" t="str">
        <f>TEXT(B1688,"mmm")</f>
        <v>Oct</v>
      </c>
      <c r="D1688" s="2" t="s">
        <v>963</v>
      </c>
      <c r="E1688" s="2" t="s">
        <v>14</v>
      </c>
      <c r="F1688" s="2" t="str" cm="1">
        <f t="array" ref="F16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688" s="2" t="str" cm="1">
        <f t="array" ref="G16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688" s="2" t="s">
        <v>63</v>
      </c>
      <c r="I1688" s="2" t="s">
        <v>23</v>
      </c>
      <c r="J1688" s="2">
        <v>1</v>
      </c>
      <c r="K1688" s="8">
        <v>2499</v>
      </c>
      <c r="L1688" s="3">
        <v>0.25</v>
      </c>
      <c r="M1688" s="12">
        <f>K1688*L1688</f>
        <v>624.75</v>
      </c>
      <c r="N1688" s="12">
        <f>K1688*J1688</f>
        <v>2499</v>
      </c>
      <c r="O1688" s="12">
        <f>N1688-M1688</f>
        <v>1874.25</v>
      </c>
      <c r="P1688" s="2" t="s">
        <v>45</v>
      </c>
      <c r="Q1688" s="2" t="s">
        <v>72</v>
      </c>
      <c r="R1688" s="2">
        <v>60</v>
      </c>
      <c r="S1688" s="20">
        <f>Table1[[#This Row],[Net_revenue]]/Table1[[#This Row],[Gross_revenue]]*100%</f>
        <v>0.75</v>
      </c>
      <c r="T1688" s="18">
        <f>COUNTIFS(Table1[Customer ID], "&gt;1", Table1[Customer ID], 1)</f>
        <v>0</v>
      </c>
    </row>
    <row r="1689" spans="1:20" hidden="1" x14ac:dyDescent="0.3">
      <c r="A1689" s="2" t="s">
        <v>2393</v>
      </c>
      <c r="B1689" s="5">
        <v>45799</v>
      </c>
      <c r="C1689" s="5" t="str">
        <f>TEXT(B1689,"mmm")</f>
        <v>May</v>
      </c>
      <c r="D1689" s="2" t="s">
        <v>1324</v>
      </c>
      <c r="E1689" s="2" t="s">
        <v>56</v>
      </c>
      <c r="F1689" s="2" t="str" cm="1">
        <f t="array" ref="F16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689" s="2" t="str" cm="1">
        <f t="array" ref="G16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89" s="2" t="s">
        <v>107</v>
      </c>
      <c r="I1689" s="2" t="s">
        <v>95</v>
      </c>
      <c r="J1689" s="2">
        <v>1</v>
      </c>
      <c r="K1689" s="8">
        <v>1599</v>
      </c>
      <c r="L1689" s="3">
        <v>0</v>
      </c>
      <c r="M1689" s="12">
        <f>K1689*L1689</f>
        <v>0</v>
      </c>
      <c r="N1689" s="12">
        <f>K1689*J1689</f>
        <v>1599</v>
      </c>
      <c r="O1689" s="12">
        <f>N1689-M1689</f>
        <v>1599</v>
      </c>
      <c r="P1689" s="2" t="s">
        <v>45</v>
      </c>
      <c r="Q1689" s="2" t="s">
        <v>18</v>
      </c>
      <c r="R1689" s="2">
        <v>40</v>
      </c>
      <c r="S1689" s="20">
        <f>Table1[[#This Row],[Net_revenue]]/Table1[[#This Row],[Gross_revenue]]*100%</f>
        <v>1</v>
      </c>
      <c r="T1689" s="18">
        <f>COUNTIFS(Table1[Customer ID], "&gt;1", Table1[Customer ID], 1)</f>
        <v>0</v>
      </c>
    </row>
    <row r="1690" spans="1:20" hidden="1" x14ac:dyDescent="0.3">
      <c r="A1690" s="2" t="s">
        <v>2394</v>
      </c>
      <c r="B1690" s="5">
        <v>45953</v>
      </c>
      <c r="C1690" s="5" t="str">
        <f>TEXT(B1690,"mmm")</f>
        <v>Oct</v>
      </c>
      <c r="D1690" s="2" t="s">
        <v>668</v>
      </c>
      <c r="E1690" s="2" t="s">
        <v>21</v>
      </c>
      <c r="F1690" s="2" t="str" cm="1">
        <f t="array" ref="F16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90" s="2" t="str" cm="1">
        <f t="array" ref="G16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90" s="2" t="s">
        <v>94</v>
      </c>
      <c r="I1690" s="2" t="s">
        <v>95</v>
      </c>
      <c r="J1690" s="2">
        <v>1</v>
      </c>
      <c r="K1690" s="8">
        <v>399</v>
      </c>
      <c r="L1690" s="3">
        <v>0.1</v>
      </c>
      <c r="M1690" s="12">
        <f>K1690*L1690</f>
        <v>39.900000000000006</v>
      </c>
      <c r="N1690" s="12">
        <f>K1690*J1690</f>
        <v>399</v>
      </c>
      <c r="O1690" s="12">
        <f>N1690-M1690</f>
        <v>359.1</v>
      </c>
      <c r="P1690" s="2" t="s">
        <v>45</v>
      </c>
      <c r="Q1690" s="2" t="s">
        <v>18</v>
      </c>
      <c r="R1690" s="2">
        <v>80</v>
      </c>
      <c r="S1690" s="20">
        <f>Table1[[#This Row],[Net_revenue]]/Table1[[#This Row],[Gross_revenue]]*100%</f>
        <v>0.9</v>
      </c>
      <c r="T1690" s="18">
        <f>COUNTIFS(Table1[Customer ID], "&gt;1", Table1[Customer ID], 1)</f>
        <v>0</v>
      </c>
    </row>
    <row r="1691" spans="1:20" hidden="1" x14ac:dyDescent="0.3">
      <c r="A1691" s="2" t="s">
        <v>2395</v>
      </c>
      <c r="B1691" s="5">
        <v>45680</v>
      </c>
      <c r="C1691" s="5" t="str">
        <f>TEXT(B1691,"mmm")</f>
        <v>Jan</v>
      </c>
      <c r="D1691" s="2" t="s">
        <v>255</v>
      </c>
      <c r="E1691" s="2" t="s">
        <v>48</v>
      </c>
      <c r="F1691" s="2" t="str" cm="1">
        <f t="array" ref="F16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91" s="2" t="str" cm="1">
        <f t="array" ref="G16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1" s="2" t="s">
        <v>217</v>
      </c>
      <c r="I1691" s="2" t="s">
        <v>29</v>
      </c>
      <c r="J1691" s="2">
        <v>2</v>
      </c>
      <c r="K1691" s="8">
        <v>3299</v>
      </c>
      <c r="L1691" s="3">
        <v>0</v>
      </c>
      <c r="M1691" s="12">
        <f>K1691*L1691</f>
        <v>0</v>
      </c>
      <c r="N1691" s="12">
        <f>K1691*J1691</f>
        <v>6598</v>
      </c>
      <c r="O1691" s="12">
        <f>N1691-M1691</f>
        <v>6598</v>
      </c>
      <c r="P1691" s="2" t="s">
        <v>45</v>
      </c>
      <c r="Q1691" s="2" t="s">
        <v>18</v>
      </c>
      <c r="R1691" s="2">
        <v>40</v>
      </c>
      <c r="S1691" s="20">
        <f>Table1[[#This Row],[Net_revenue]]/Table1[[#This Row],[Gross_revenue]]*100%</f>
        <v>1</v>
      </c>
      <c r="T1691" s="18">
        <f>COUNTIFS(Table1[Customer ID], "&gt;1", Table1[Customer ID], 1)</f>
        <v>0</v>
      </c>
    </row>
    <row r="1692" spans="1:20" hidden="1" x14ac:dyDescent="0.3">
      <c r="A1692" s="2" t="s">
        <v>2396</v>
      </c>
      <c r="B1692" s="5">
        <v>45787</v>
      </c>
      <c r="C1692" s="5" t="str">
        <f>TEXT(B1692,"mmm")</f>
        <v>May</v>
      </c>
      <c r="D1692" s="2" t="s">
        <v>1493</v>
      </c>
      <c r="E1692" s="2" t="s">
        <v>27</v>
      </c>
      <c r="F1692" s="2" t="str" cm="1">
        <f t="array" ref="F16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692" s="2" t="str" cm="1">
        <f t="array" ref="G16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2" s="2" t="s">
        <v>22</v>
      </c>
      <c r="I1692" s="2" t="s">
        <v>23</v>
      </c>
      <c r="J1692" s="2">
        <v>3</v>
      </c>
      <c r="K1692" s="8">
        <v>3999</v>
      </c>
      <c r="L1692" s="3">
        <v>0.05</v>
      </c>
      <c r="M1692" s="12">
        <f>K1692*L1692</f>
        <v>199.95000000000002</v>
      </c>
      <c r="N1692" s="12">
        <f>K1692*J1692</f>
        <v>11997</v>
      </c>
      <c r="O1692" s="12">
        <f>N1692-M1692</f>
        <v>11797.05</v>
      </c>
      <c r="P1692" s="2" t="s">
        <v>45</v>
      </c>
      <c r="Q1692" s="2" t="s">
        <v>18</v>
      </c>
      <c r="R1692" s="2">
        <v>60</v>
      </c>
      <c r="S1692" s="20">
        <f>Table1[[#This Row],[Net_revenue]]/Table1[[#This Row],[Gross_revenue]]*100%</f>
        <v>0.98333333333333328</v>
      </c>
      <c r="T1692" s="18">
        <f>COUNTIFS(Table1[Customer ID], "&gt;1", Table1[Customer ID], 1)</f>
        <v>0</v>
      </c>
    </row>
    <row r="1693" spans="1:20" hidden="1" x14ac:dyDescent="0.3">
      <c r="A1693" s="2" t="s">
        <v>2397</v>
      </c>
      <c r="B1693" s="5">
        <v>45709</v>
      </c>
      <c r="C1693" s="5" t="str">
        <f>TEXT(B1693,"mmm")</f>
        <v>Feb</v>
      </c>
      <c r="D1693" s="2" t="s">
        <v>1612</v>
      </c>
      <c r="E1693" s="2" t="s">
        <v>40</v>
      </c>
      <c r="F1693" s="2" t="str" cm="1">
        <f t="array" ref="F16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693" s="2" t="str" cm="1">
        <f t="array" ref="G16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693" s="2" t="s">
        <v>94</v>
      </c>
      <c r="I1693" s="2" t="s">
        <v>95</v>
      </c>
      <c r="J1693" s="2">
        <v>3</v>
      </c>
      <c r="K1693" s="8">
        <v>399</v>
      </c>
      <c r="L1693" s="3">
        <v>0</v>
      </c>
      <c r="M1693" s="12">
        <f>K1693*L1693</f>
        <v>0</v>
      </c>
      <c r="N1693" s="12">
        <f>K1693*J1693</f>
        <v>1197</v>
      </c>
      <c r="O1693" s="12">
        <f>N1693-M1693</f>
        <v>1197</v>
      </c>
      <c r="P1693" s="2" t="s">
        <v>30</v>
      </c>
      <c r="Q1693" s="2" t="s">
        <v>18</v>
      </c>
      <c r="R1693" s="2">
        <v>60</v>
      </c>
      <c r="S1693" s="20">
        <f>Table1[[#This Row],[Net_revenue]]/Table1[[#This Row],[Gross_revenue]]*100%</f>
        <v>1</v>
      </c>
      <c r="T1693" s="18">
        <f>COUNTIFS(Table1[Customer ID], "&gt;1", Table1[Customer ID], 1)</f>
        <v>0</v>
      </c>
    </row>
    <row r="1694" spans="1:20" hidden="1" x14ac:dyDescent="0.3">
      <c r="A1694" s="2" t="s">
        <v>2398</v>
      </c>
      <c r="B1694" s="5">
        <v>45690</v>
      </c>
      <c r="C1694" s="5" t="str">
        <f>TEXT(B1694,"mmm")</f>
        <v>Feb</v>
      </c>
      <c r="D1694" s="2" t="s">
        <v>1095</v>
      </c>
      <c r="E1694" s="2" t="s">
        <v>195</v>
      </c>
      <c r="F1694" s="2" t="str" cm="1">
        <f t="array" ref="F16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694" s="2" t="str" cm="1">
        <f t="array" ref="G16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94" s="2" t="s">
        <v>68</v>
      </c>
      <c r="I1694" s="2" t="s">
        <v>16</v>
      </c>
      <c r="J1694" s="2">
        <v>5</v>
      </c>
      <c r="K1694" s="8">
        <v>599</v>
      </c>
      <c r="L1694" s="3">
        <v>0.05</v>
      </c>
      <c r="M1694" s="12">
        <f>K1694*L1694</f>
        <v>29.950000000000003</v>
      </c>
      <c r="N1694" s="12">
        <f>K1694*J1694</f>
        <v>2995</v>
      </c>
      <c r="O1694" s="12">
        <f>N1694-M1694</f>
        <v>2965.05</v>
      </c>
      <c r="P1694" s="2" t="s">
        <v>30</v>
      </c>
      <c r="Q1694" s="2" t="s">
        <v>18</v>
      </c>
      <c r="R1694" s="2">
        <v>80</v>
      </c>
      <c r="S1694" s="20">
        <f>Table1[[#This Row],[Net_revenue]]/Table1[[#This Row],[Gross_revenue]]*100%</f>
        <v>0.9900000000000001</v>
      </c>
      <c r="T1694" s="18">
        <f>COUNTIFS(Table1[Customer ID], "&gt;1", Table1[Customer ID], 1)</f>
        <v>0</v>
      </c>
    </row>
    <row r="1695" spans="1:20" hidden="1" x14ac:dyDescent="0.3">
      <c r="A1695" s="2" t="s">
        <v>2399</v>
      </c>
      <c r="B1695" s="5">
        <v>45969</v>
      </c>
      <c r="C1695" s="5" t="str">
        <f>TEXT(B1695,"mmm")</f>
        <v>Nov</v>
      </c>
      <c r="D1695" s="2" t="s">
        <v>1693</v>
      </c>
      <c r="E1695" s="2" t="s">
        <v>48</v>
      </c>
      <c r="F1695" s="2" t="str" cm="1">
        <f t="array" ref="F16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95" s="2" t="str" cm="1">
        <f t="array" ref="G16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5" s="2" t="s">
        <v>107</v>
      </c>
      <c r="I1695" s="2" t="s">
        <v>95</v>
      </c>
      <c r="J1695" s="2">
        <v>5</v>
      </c>
      <c r="K1695" s="8">
        <v>1599</v>
      </c>
      <c r="L1695" s="3">
        <v>0.1</v>
      </c>
      <c r="M1695" s="12">
        <f>K1695*L1695</f>
        <v>159.9</v>
      </c>
      <c r="N1695" s="12">
        <f>K1695*J1695</f>
        <v>7995</v>
      </c>
      <c r="O1695" s="12">
        <f>N1695-M1695</f>
        <v>7835.1</v>
      </c>
      <c r="P1695" s="2" t="s">
        <v>17</v>
      </c>
      <c r="Q1695" s="2" t="s">
        <v>18</v>
      </c>
      <c r="R1695" s="2">
        <v>80</v>
      </c>
      <c r="S1695" s="20">
        <f>Table1[[#This Row],[Net_revenue]]/Table1[[#This Row],[Gross_revenue]]*100%</f>
        <v>0.98000000000000009</v>
      </c>
      <c r="T1695" s="18">
        <f>COUNTIFS(Table1[Customer ID], "&gt;1", Table1[Customer ID], 1)</f>
        <v>0</v>
      </c>
    </row>
    <row r="1696" spans="1:20" hidden="1" x14ac:dyDescent="0.3">
      <c r="A1696" s="2" t="s">
        <v>2400</v>
      </c>
      <c r="B1696" s="5">
        <v>46003</v>
      </c>
      <c r="C1696" s="5" t="str">
        <f>TEXT(B1696,"mmm")</f>
        <v>Dec</v>
      </c>
      <c r="D1696" s="2" t="s">
        <v>467</v>
      </c>
      <c r="E1696" s="2" t="s">
        <v>48</v>
      </c>
      <c r="F1696" s="2" t="str" cm="1">
        <f t="array" ref="F16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96" s="2" t="str" cm="1">
        <f t="array" ref="G16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6" s="2" t="s">
        <v>217</v>
      </c>
      <c r="I1696" s="2" t="s">
        <v>29</v>
      </c>
      <c r="J1696" s="2">
        <v>2</v>
      </c>
      <c r="K1696" s="8">
        <v>3299</v>
      </c>
      <c r="L1696" s="3">
        <v>0.1</v>
      </c>
      <c r="M1696" s="12">
        <f>K1696*L1696</f>
        <v>329.90000000000003</v>
      </c>
      <c r="N1696" s="12">
        <f>K1696*J1696</f>
        <v>6598</v>
      </c>
      <c r="O1696" s="12">
        <f>N1696-M1696</f>
        <v>6268.1</v>
      </c>
      <c r="P1696" s="2" t="s">
        <v>24</v>
      </c>
      <c r="Q1696" s="2" t="s">
        <v>18</v>
      </c>
      <c r="R1696" s="2">
        <v>60</v>
      </c>
      <c r="S1696" s="20">
        <f>Table1[[#This Row],[Net_revenue]]/Table1[[#This Row],[Gross_revenue]]*100%</f>
        <v>0.95000000000000007</v>
      </c>
      <c r="T1696" s="18">
        <f>COUNTIFS(Table1[Customer ID], "&gt;1", Table1[Customer ID], 1)</f>
        <v>0</v>
      </c>
    </row>
    <row r="1697" spans="1:20" hidden="1" x14ac:dyDescent="0.3">
      <c r="A1697" s="2" t="s">
        <v>2401</v>
      </c>
      <c r="B1697" s="5">
        <v>45942</v>
      </c>
      <c r="C1697" s="5" t="str">
        <f>TEXT(B1697,"mmm")</f>
        <v>Oct</v>
      </c>
      <c r="D1697" s="2" t="s">
        <v>522</v>
      </c>
      <c r="E1697" s="2" t="s">
        <v>48</v>
      </c>
      <c r="F1697" s="2" t="str" cm="1">
        <f t="array" ref="F16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97" s="2" t="str" cm="1">
        <f t="array" ref="G16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7" s="2" t="s">
        <v>80</v>
      </c>
      <c r="I1697" s="2" t="s">
        <v>23</v>
      </c>
      <c r="J1697" s="2">
        <v>1</v>
      </c>
      <c r="K1697" s="8">
        <v>799</v>
      </c>
      <c r="L1697" s="3">
        <v>0.25</v>
      </c>
      <c r="M1697" s="12">
        <f>K1697*L1697</f>
        <v>199.75</v>
      </c>
      <c r="N1697" s="12">
        <f>K1697*J1697</f>
        <v>799</v>
      </c>
      <c r="O1697" s="12">
        <f>N1697-M1697</f>
        <v>599.25</v>
      </c>
      <c r="P1697" s="2" t="s">
        <v>17</v>
      </c>
      <c r="Q1697" s="2" t="s">
        <v>18</v>
      </c>
      <c r="R1697" s="2">
        <v>80</v>
      </c>
      <c r="S1697" s="20">
        <f>Table1[[#This Row],[Net_revenue]]/Table1[[#This Row],[Gross_revenue]]*100%</f>
        <v>0.75</v>
      </c>
      <c r="T1697" s="18">
        <f>COUNTIFS(Table1[Customer ID], "&gt;1", Table1[Customer ID], 1)</f>
        <v>0</v>
      </c>
    </row>
    <row r="1698" spans="1:20" hidden="1" x14ac:dyDescent="0.3">
      <c r="A1698" s="2" t="s">
        <v>2402</v>
      </c>
      <c r="B1698" s="5">
        <v>45857</v>
      </c>
      <c r="C1698" s="5" t="str">
        <f>TEXT(B1698,"mmm")</f>
        <v>Jul</v>
      </c>
      <c r="D1698" s="2" t="s">
        <v>1808</v>
      </c>
      <c r="E1698" s="2" t="s">
        <v>21</v>
      </c>
      <c r="F1698" s="2" t="str" cm="1">
        <f t="array" ref="F16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698" s="2" t="str" cm="1">
        <f t="array" ref="G16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698" s="2" t="s">
        <v>183</v>
      </c>
      <c r="I1698" s="2" t="s">
        <v>37</v>
      </c>
      <c r="J1698" s="2">
        <v>2</v>
      </c>
      <c r="K1698" s="8">
        <v>499</v>
      </c>
      <c r="L1698" s="3">
        <v>0</v>
      </c>
      <c r="M1698" s="12">
        <f>K1698*L1698</f>
        <v>0</v>
      </c>
      <c r="N1698" s="12">
        <f>K1698*J1698</f>
        <v>998</v>
      </c>
      <c r="O1698" s="12">
        <f>N1698-M1698</f>
        <v>998</v>
      </c>
      <c r="P1698" s="2" t="s">
        <v>45</v>
      </c>
      <c r="Q1698" s="2" t="s">
        <v>18</v>
      </c>
      <c r="R1698" s="2">
        <v>80</v>
      </c>
      <c r="S1698" s="20">
        <f>Table1[[#This Row],[Net_revenue]]/Table1[[#This Row],[Gross_revenue]]*100%</f>
        <v>1</v>
      </c>
      <c r="T1698" s="18">
        <f>COUNTIFS(Table1[Customer ID], "&gt;1", Table1[Customer ID], 1)</f>
        <v>0</v>
      </c>
    </row>
    <row r="1699" spans="1:20" hidden="1" x14ac:dyDescent="0.3">
      <c r="A1699" s="2" t="s">
        <v>2403</v>
      </c>
      <c r="B1699" s="5">
        <v>45975</v>
      </c>
      <c r="C1699" s="5" t="str">
        <f>TEXT(B1699,"mmm")</f>
        <v>Nov</v>
      </c>
      <c r="D1699" s="2" t="s">
        <v>1172</v>
      </c>
      <c r="E1699" s="2" t="s">
        <v>48</v>
      </c>
      <c r="F1699" s="2" t="str" cm="1">
        <f t="array" ref="F16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699" s="2" t="str" cm="1">
        <f t="array" ref="G16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699" s="2" t="s">
        <v>68</v>
      </c>
      <c r="I1699" s="2" t="s">
        <v>16</v>
      </c>
      <c r="J1699" s="2">
        <v>1</v>
      </c>
      <c r="K1699" s="8">
        <v>599</v>
      </c>
      <c r="L1699" s="3">
        <v>0.2</v>
      </c>
      <c r="M1699" s="12">
        <f>K1699*L1699</f>
        <v>119.80000000000001</v>
      </c>
      <c r="N1699" s="12">
        <f>K1699*J1699</f>
        <v>599</v>
      </c>
      <c r="O1699" s="12">
        <f>N1699-M1699</f>
        <v>479.2</v>
      </c>
      <c r="P1699" s="2" t="s">
        <v>45</v>
      </c>
      <c r="Q1699" s="2" t="s">
        <v>18</v>
      </c>
      <c r="R1699" s="2">
        <v>80</v>
      </c>
      <c r="S1699" s="20">
        <f>Table1[[#This Row],[Net_revenue]]/Table1[[#This Row],[Gross_revenue]]*100%</f>
        <v>0.79999999999999993</v>
      </c>
      <c r="T1699" s="18">
        <f>COUNTIFS(Table1[Customer ID], "&gt;1", Table1[Customer ID], 1)</f>
        <v>0</v>
      </c>
    </row>
    <row r="1700" spans="1:20" hidden="1" x14ac:dyDescent="0.3">
      <c r="A1700" s="2" t="s">
        <v>2404</v>
      </c>
      <c r="B1700" s="5">
        <v>45970</v>
      </c>
      <c r="C1700" s="5" t="str">
        <f>TEXT(B1700,"mmm")</f>
        <v>Nov</v>
      </c>
      <c r="D1700" s="2" t="s">
        <v>804</v>
      </c>
      <c r="E1700" s="2" t="s">
        <v>21</v>
      </c>
      <c r="F1700" s="2" t="str" cm="1">
        <f t="array" ref="F17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00" s="2" t="str" cm="1">
        <f t="array" ref="G17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00" s="2" t="s">
        <v>217</v>
      </c>
      <c r="I1700" s="2" t="s">
        <v>29</v>
      </c>
      <c r="J1700" s="2">
        <v>1</v>
      </c>
      <c r="K1700" s="8">
        <v>3299</v>
      </c>
      <c r="L1700" s="3">
        <v>0.1</v>
      </c>
      <c r="M1700" s="12">
        <f>K1700*L1700</f>
        <v>329.90000000000003</v>
      </c>
      <c r="N1700" s="12">
        <f>K1700*J1700</f>
        <v>3299</v>
      </c>
      <c r="O1700" s="12">
        <f>N1700-M1700</f>
        <v>2969.1</v>
      </c>
      <c r="P1700" s="2" t="s">
        <v>30</v>
      </c>
      <c r="Q1700" s="2" t="s">
        <v>18</v>
      </c>
      <c r="R1700" s="2">
        <v>80</v>
      </c>
      <c r="S1700" s="20">
        <f>Table1[[#This Row],[Net_revenue]]/Table1[[#This Row],[Gross_revenue]]*100%</f>
        <v>0.9</v>
      </c>
      <c r="T1700" s="18">
        <f>COUNTIFS(Table1[Customer ID], "&gt;1", Table1[Customer ID], 1)</f>
        <v>0</v>
      </c>
    </row>
    <row r="1701" spans="1:20" hidden="1" x14ac:dyDescent="0.3">
      <c r="A1701" s="2" t="s">
        <v>2405</v>
      </c>
      <c r="B1701" s="5">
        <v>45822</v>
      </c>
      <c r="C1701" s="5" t="str">
        <f>TEXT(B1701,"mmm")</f>
        <v>Jun</v>
      </c>
      <c r="D1701" s="2" t="s">
        <v>1068</v>
      </c>
      <c r="E1701" s="2" t="s">
        <v>48</v>
      </c>
      <c r="F1701" s="2" t="str" cm="1">
        <f t="array" ref="F17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01" s="2" t="str" cm="1">
        <f t="array" ref="G17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01" s="2" t="s">
        <v>94</v>
      </c>
      <c r="I1701" s="2" t="s">
        <v>95</v>
      </c>
      <c r="J1701" s="2">
        <v>3</v>
      </c>
      <c r="K1701" s="8">
        <v>399</v>
      </c>
      <c r="L1701" s="3">
        <v>0.1</v>
      </c>
      <c r="M1701" s="12">
        <f>K1701*L1701</f>
        <v>39.900000000000006</v>
      </c>
      <c r="N1701" s="12">
        <f>K1701*J1701</f>
        <v>1197</v>
      </c>
      <c r="O1701" s="12">
        <f>N1701-M1701</f>
        <v>1157.0999999999999</v>
      </c>
      <c r="P1701" s="2" t="s">
        <v>45</v>
      </c>
      <c r="Q1701" s="2" t="s">
        <v>18</v>
      </c>
      <c r="R1701" s="2">
        <v>60</v>
      </c>
      <c r="S1701" s="20">
        <f>Table1[[#This Row],[Net_revenue]]/Table1[[#This Row],[Gross_revenue]]*100%</f>
        <v>0.96666666666666656</v>
      </c>
      <c r="T1701" s="18">
        <f>COUNTIFS(Table1[Customer ID], "&gt;1", Table1[Customer ID], 1)</f>
        <v>0</v>
      </c>
    </row>
    <row r="1702" spans="1:20" hidden="1" x14ac:dyDescent="0.3">
      <c r="A1702" s="2" t="s">
        <v>2406</v>
      </c>
      <c r="B1702" s="5">
        <v>45937</v>
      </c>
      <c r="C1702" s="5" t="str">
        <f>TEXT(B1702,"mmm")</f>
        <v>Oct</v>
      </c>
      <c r="D1702" s="2" t="s">
        <v>577</v>
      </c>
      <c r="E1702" s="2" t="s">
        <v>195</v>
      </c>
      <c r="F1702" s="2" t="str" cm="1">
        <f t="array" ref="F17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02" s="2" t="str" cm="1">
        <f t="array" ref="G17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02" s="2" t="s">
        <v>121</v>
      </c>
      <c r="I1702" s="2" t="s">
        <v>95</v>
      </c>
      <c r="J1702" s="2">
        <v>2</v>
      </c>
      <c r="K1702" s="8">
        <v>1299</v>
      </c>
      <c r="L1702" s="3">
        <v>0.05</v>
      </c>
      <c r="M1702" s="12">
        <f>K1702*L1702</f>
        <v>64.95</v>
      </c>
      <c r="N1702" s="12">
        <f>K1702*J1702</f>
        <v>2598</v>
      </c>
      <c r="O1702" s="12">
        <f>N1702-M1702</f>
        <v>2533.0500000000002</v>
      </c>
      <c r="P1702" s="2" t="s">
        <v>45</v>
      </c>
      <c r="Q1702" s="2" t="s">
        <v>18</v>
      </c>
      <c r="R1702" s="2">
        <v>40</v>
      </c>
      <c r="S1702" s="20">
        <f>Table1[[#This Row],[Net_revenue]]/Table1[[#This Row],[Gross_revenue]]*100%</f>
        <v>0.97500000000000009</v>
      </c>
      <c r="T1702" s="18">
        <f>COUNTIFS(Table1[Customer ID], "&gt;1", Table1[Customer ID], 1)</f>
        <v>0</v>
      </c>
    </row>
    <row r="1703" spans="1:20" hidden="1" x14ac:dyDescent="0.3">
      <c r="A1703" s="2" t="s">
        <v>2407</v>
      </c>
      <c r="B1703" s="5">
        <v>45674</v>
      </c>
      <c r="C1703" s="5" t="str">
        <f>TEXT(B1703,"mmm")</f>
        <v>Jan</v>
      </c>
      <c r="D1703" s="2" t="s">
        <v>156</v>
      </c>
      <c r="E1703" s="2" t="s">
        <v>40</v>
      </c>
      <c r="F1703" s="2" t="str" cm="1">
        <f t="array" ref="F17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03" s="2" t="str" cm="1">
        <f t="array" ref="G17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03" s="2" t="s">
        <v>183</v>
      </c>
      <c r="I1703" s="2" t="s">
        <v>37</v>
      </c>
      <c r="J1703" s="2">
        <v>1</v>
      </c>
      <c r="K1703" s="8">
        <v>499</v>
      </c>
      <c r="L1703" s="3">
        <v>0.25</v>
      </c>
      <c r="M1703" s="12">
        <f>K1703*L1703</f>
        <v>124.75</v>
      </c>
      <c r="N1703" s="12">
        <f>K1703*J1703</f>
        <v>499</v>
      </c>
      <c r="O1703" s="12">
        <f>N1703-M1703</f>
        <v>374.25</v>
      </c>
      <c r="P1703" s="2" t="s">
        <v>45</v>
      </c>
      <c r="Q1703" s="2" t="s">
        <v>18</v>
      </c>
      <c r="R1703" s="2">
        <v>40</v>
      </c>
      <c r="S1703" s="20">
        <f>Table1[[#This Row],[Net_revenue]]/Table1[[#This Row],[Gross_revenue]]*100%</f>
        <v>0.75</v>
      </c>
      <c r="T1703" s="18">
        <f>COUNTIFS(Table1[Customer ID], "&gt;1", Table1[Customer ID], 1)</f>
        <v>0</v>
      </c>
    </row>
    <row r="1704" spans="1:20" hidden="1" x14ac:dyDescent="0.3">
      <c r="A1704" s="2" t="s">
        <v>2408</v>
      </c>
      <c r="B1704" s="5">
        <v>45901</v>
      </c>
      <c r="C1704" s="5" t="str">
        <f>TEXT(B1704,"mmm")</f>
        <v>Sep</v>
      </c>
      <c r="D1704" s="2" t="s">
        <v>13</v>
      </c>
      <c r="E1704" s="2" t="s">
        <v>21</v>
      </c>
      <c r="F1704" s="2" t="str" cm="1">
        <f t="array" ref="F17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04" s="2" t="str" cm="1">
        <f t="array" ref="G17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04" s="2" t="s">
        <v>28</v>
      </c>
      <c r="I1704" s="2" t="s">
        <v>29</v>
      </c>
      <c r="J1704" s="2">
        <v>3</v>
      </c>
      <c r="K1704" s="8">
        <v>2799</v>
      </c>
      <c r="L1704" s="3">
        <v>0.1</v>
      </c>
      <c r="M1704" s="12">
        <f>K1704*L1704</f>
        <v>279.90000000000003</v>
      </c>
      <c r="N1704" s="12">
        <f>K1704*J1704</f>
        <v>8397</v>
      </c>
      <c r="O1704" s="12">
        <f>N1704-M1704</f>
        <v>8117.1</v>
      </c>
      <c r="P1704" s="2" t="s">
        <v>17</v>
      </c>
      <c r="Q1704" s="2" t="s">
        <v>18</v>
      </c>
      <c r="R1704" s="2">
        <v>80</v>
      </c>
      <c r="S1704" s="20">
        <f>Table1[[#This Row],[Net_revenue]]/Table1[[#This Row],[Gross_revenue]]*100%</f>
        <v>0.96666666666666667</v>
      </c>
      <c r="T1704" s="18">
        <f>COUNTIFS(Table1[Customer ID], "&gt;1", Table1[Customer ID], 1)</f>
        <v>0</v>
      </c>
    </row>
    <row r="1705" spans="1:20" hidden="1" x14ac:dyDescent="0.3">
      <c r="A1705" s="2" t="s">
        <v>2409</v>
      </c>
      <c r="B1705" s="5">
        <v>45766</v>
      </c>
      <c r="C1705" s="5" t="str">
        <f>TEXT(B1705,"mmm")</f>
        <v>Apr</v>
      </c>
      <c r="D1705" s="2" t="s">
        <v>353</v>
      </c>
      <c r="E1705" s="2" t="s">
        <v>48</v>
      </c>
      <c r="F1705" s="2" t="str" cm="1">
        <f t="array" ref="F17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05" s="2" t="str" cm="1">
        <f t="array" ref="G17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05" s="2" t="s">
        <v>33</v>
      </c>
      <c r="I1705" s="2" t="s">
        <v>16</v>
      </c>
      <c r="J1705" s="2">
        <v>1</v>
      </c>
      <c r="K1705" s="8">
        <v>899</v>
      </c>
      <c r="L1705" s="3">
        <v>0.1</v>
      </c>
      <c r="M1705" s="12">
        <f>K1705*L1705</f>
        <v>89.9</v>
      </c>
      <c r="N1705" s="12">
        <f>K1705*J1705</f>
        <v>899</v>
      </c>
      <c r="O1705" s="12">
        <f>N1705-M1705</f>
        <v>809.1</v>
      </c>
      <c r="P1705" s="2" t="s">
        <v>17</v>
      </c>
      <c r="Q1705" s="2" t="s">
        <v>72</v>
      </c>
      <c r="R1705" s="2">
        <v>80</v>
      </c>
      <c r="S1705" s="20">
        <f>Table1[[#This Row],[Net_revenue]]/Table1[[#This Row],[Gross_revenue]]*100%</f>
        <v>0.9</v>
      </c>
      <c r="T1705" s="18">
        <f>COUNTIFS(Table1[Customer ID], "&gt;1", Table1[Customer ID], 1)</f>
        <v>0</v>
      </c>
    </row>
    <row r="1706" spans="1:20" hidden="1" x14ac:dyDescent="0.3">
      <c r="A1706" s="2" t="s">
        <v>2410</v>
      </c>
      <c r="B1706" s="5">
        <v>46007</v>
      </c>
      <c r="C1706" s="5" t="str">
        <f>TEXT(B1706,"mmm")</f>
        <v>Dec</v>
      </c>
      <c r="D1706" s="2" t="s">
        <v>454</v>
      </c>
      <c r="E1706" s="2" t="s">
        <v>48</v>
      </c>
      <c r="F1706" s="2" t="str" cm="1">
        <f t="array" ref="F17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06" s="2" t="str" cm="1">
        <f t="array" ref="G17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06" s="2" t="s">
        <v>22</v>
      </c>
      <c r="I1706" s="2" t="s">
        <v>23</v>
      </c>
      <c r="J1706" s="2">
        <v>1</v>
      </c>
      <c r="K1706" s="8">
        <v>3999</v>
      </c>
      <c r="L1706" s="3">
        <v>0.05</v>
      </c>
      <c r="M1706" s="12">
        <f>K1706*L1706</f>
        <v>199.95000000000002</v>
      </c>
      <c r="N1706" s="12">
        <f>K1706*J1706</f>
        <v>3999</v>
      </c>
      <c r="O1706" s="12">
        <f>N1706-M1706</f>
        <v>3799.05</v>
      </c>
      <c r="P1706" s="2" t="s">
        <v>30</v>
      </c>
      <c r="Q1706" s="2" t="s">
        <v>72</v>
      </c>
      <c r="R1706" s="2">
        <v>0</v>
      </c>
      <c r="S1706" s="20">
        <f>Table1[[#This Row],[Net_revenue]]/Table1[[#This Row],[Gross_revenue]]*100%</f>
        <v>0.95000000000000007</v>
      </c>
      <c r="T1706" s="18">
        <f>COUNTIFS(Table1[Customer ID], "&gt;1", Table1[Customer ID], 1)</f>
        <v>0</v>
      </c>
    </row>
    <row r="1707" spans="1:20" hidden="1" x14ac:dyDescent="0.3">
      <c r="A1707" s="2" t="s">
        <v>2411</v>
      </c>
      <c r="B1707" s="5">
        <v>45855</v>
      </c>
      <c r="C1707" s="5" t="str">
        <f>TEXT(B1707,"mmm")</f>
        <v>Jul</v>
      </c>
      <c r="D1707" s="2" t="s">
        <v>1389</v>
      </c>
      <c r="E1707" s="2" t="s">
        <v>27</v>
      </c>
      <c r="F1707" s="2" t="str" cm="1">
        <f t="array" ref="F17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07" s="2" t="str" cm="1">
        <f t="array" ref="G17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07" s="2" t="s">
        <v>63</v>
      </c>
      <c r="I1707" s="2" t="s">
        <v>23</v>
      </c>
      <c r="J1707" s="2">
        <v>2</v>
      </c>
      <c r="K1707" s="8">
        <v>2499</v>
      </c>
      <c r="L1707" s="3">
        <v>0.15</v>
      </c>
      <c r="M1707" s="12">
        <f>K1707*L1707</f>
        <v>374.84999999999997</v>
      </c>
      <c r="N1707" s="12">
        <f>K1707*J1707</f>
        <v>4998</v>
      </c>
      <c r="O1707" s="12">
        <f>N1707-M1707</f>
        <v>4623.1499999999996</v>
      </c>
      <c r="P1707" s="2" t="s">
        <v>45</v>
      </c>
      <c r="Q1707" s="2" t="s">
        <v>18</v>
      </c>
      <c r="R1707" s="2">
        <v>40</v>
      </c>
      <c r="S1707" s="20">
        <f>Table1[[#This Row],[Net_revenue]]/Table1[[#This Row],[Gross_revenue]]*100%</f>
        <v>0.92499999999999993</v>
      </c>
      <c r="T1707" s="18">
        <f>COUNTIFS(Table1[Customer ID], "&gt;1", Table1[Customer ID], 1)</f>
        <v>0</v>
      </c>
    </row>
    <row r="1708" spans="1:20" hidden="1" x14ac:dyDescent="0.3">
      <c r="A1708" s="2" t="s">
        <v>2412</v>
      </c>
      <c r="B1708" s="5">
        <v>45662</v>
      </c>
      <c r="C1708" s="5" t="str">
        <f>TEXT(B1708,"mmm")</f>
        <v>Jan</v>
      </c>
      <c r="D1708" s="2" t="s">
        <v>1215</v>
      </c>
      <c r="E1708" s="2" t="s">
        <v>21</v>
      </c>
      <c r="F1708" s="2" t="str" cm="1">
        <f t="array" ref="F17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08" s="2" t="str" cm="1">
        <f t="array" ref="G17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08" s="2" t="s">
        <v>217</v>
      </c>
      <c r="I1708" s="2" t="s">
        <v>29</v>
      </c>
      <c r="J1708" s="2">
        <v>2</v>
      </c>
      <c r="K1708" s="8">
        <v>3299</v>
      </c>
      <c r="L1708" s="3">
        <v>0.1</v>
      </c>
      <c r="M1708" s="12">
        <f>K1708*L1708</f>
        <v>329.90000000000003</v>
      </c>
      <c r="N1708" s="12">
        <f>K1708*J1708</f>
        <v>6598</v>
      </c>
      <c r="O1708" s="12">
        <f>N1708-M1708</f>
        <v>6268.1</v>
      </c>
      <c r="P1708" s="2" t="s">
        <v>45</v>
      </c>
      <c r="Q1708" s="2" t="s">
        <v>18</v>
      </c>
      <c r="R1708" s="2">
        <v>0</v>
      </c>
      <c r="S1708" s="20">
        <f>Table1[[#This Row],[Net_revenue]]/Table1[[#This Row],[Gross_revenue]]*100%</f>
        <v>0.95000000000000007</v>
      </c>
      <c r="T1708" s="18">
        <f>COUNTIFS(Table1[Customer ID], "&gt;1", Table1[Customer ID], 1)</f>
        <v>0</v>
      </c>
    </row>
    <row r="1709" spans="1:20" hidden="1" x14ac:dyDescent="0.3">
      <c r="A1709" s="2" t="s">
        <v>2413</v>
      </c>
      <c r="B1709" s="5">
        <v>45701</v>
      </c>
      <c r="C1709" s="5" t="str">
        <f>TEXT(B1709,"mmm")</f>
        <v>Feb</v>
      </c>
      <c r="D1709" s="2" t="s">
        <v>2230</v>
      </c>
      <c r="E1709" s="2" t="s">
        <v>27</v>
      </c>
      <c r="F1709" s="2" t="str" cm="1">
        <f t="array" ref="F17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09" s="2" t="str" cm="1">
        <f t="array" ref="G17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09" s="2" t="s">
        <v>63</v>
      </c>
      <c r="I1709" s="2" t="s">
        <v>23</v>
      </c>
      <c r="J1709" s="2">
        <v>4</v>
      </c>
      <c r="K1709" s="8">
        <v>2499</v>
      </c>
      <c r="L1709" s="3">
        <v>0.1</v>
      </c>
      <c r="M1709" s="12">
        <f>K1709*L1709</f>
        <v>249.9</v>
      </c>
      <c r="N1709" s="12">
        <f>K1709*J1709</f>
        <v>9996</v>
      </c>
      <c r="O1709" s="12">
        <f>N1709-M1709</f>
        <v>9746.1</v>
      </c>
      <c r="P1709" s="2" t="s">
        <v>45</v>
      </c>
      <c r="Q1709" s="2" t="s">
        <v>18</v>
      </c>
      <c r="R1709" s="2">
        <v>0</v>
      </c>
      <c r="S1709" s="20">
        <f>Table1[[#This Row],[Net_revenue]]/Table1[[#This Row],[Gross_revenue]]*100%</f>
        <v>0.97500000000000009</v>
      </c>
      <c r="T1709" s="18">
        <f>COUNTIFS(Table1[Customer ID], "&gt;1", Table1[Customer ID], 1)</f>
        <v>0</v>
      </c>
    </row>
    <row r="1710" spans="1:20" hidden="1" x14ac:dyDescent="0.3">
      <c r="A1710" s="2" t="s">
        <v>2414</v>
      </c>
      <c r="B1710" s="5">
        <v>45687</v>
      </c>
      <c r="C1710" s="5" t="str">
        <f>TEXT(B1710,"mmm")</f>
        <v>Jan</v>
      </c>
      <c r="D1710" s="2" t="s">
        <v>1121</v>
      </c>
      <c r="E1710" s="2" t="s">
        <v>195</v>
      </c>
      <c r="F1710" s="2" t="str" cm="1">
        <f t="array" ref="F17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10" s="2" t="str" cm="1">
        <f t="array" ref="G17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10" s="2" t="s">
        <v>28</v>
      </c>
      <c r="I1710" s="2" t="s">
        <v>29</v>
      </c>
      <c r="J1710" s="2">
        <v>1</v>
      </c>
      <c r="K1710" s="8">
        <v>2799</v>
      </c>
      <c r="L1710" s="3">
        <v>0.05</v>
      </c>
      <c r="M1710" s="12">
        <f>K1710*L1710</f>
        <v>139.95000000000002</v>
      </c>
      <c r="N1710" s="12">
        <f>K1710*J1710</f>
        <v>2799</v>
      </c>
      <c r="O1710" s="12">
        <f>N1710-M1710</f>
        <v>2659.05</v>
      </c>
      <c r="P1710" s="2" t="s">
        <v>30</v>
      </c>
      <c r="Q1710" s="2" t="s">
        <v>18</v>
      </c>
      <c r="R1710" s="2">
        <v>40</v>
      </c>
      <c r="S1710" s="20">
        <f>Table1[[#This Row],[Net_revenue]]/Table1[[#This Row],[Gross_revenue]]*100%</f>
        <v>0.95000000000000007</v>
      </c>
      <c r="T1710" s="18">
        <f>COUNTIFS(Table1[Customer ID], "&gt;1", Table1[Customer ID], 1)</f>
        <v>0</v>
      </c>
    </row>
    <row r="1711" spans="1:20" hidden="1" x14ac:dyDescent="0.3">
      <c r="A1711" s="2" t="s">
        <v>2415</v>
      </c>
      <c r="B1711" s="5">
        <v>45735</v>
      </c>
      <c r="C1711" s="5" t="str">
        <f>TEXT(B1711,"mmm")</f>
        <v>Mar</v>
      </c>
      <c r="D1711" s="2" t="s">
        <v>1681</v>
      </c>
      <c r="E1711" s="2" t="s">
        <v>56</v>
      </c>
      <c r="F1711" s="2" t="str" cm="1">
        <f t="array" ref="F17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11" s="2" t="str" cm="1">
        <f t="array" ref="G17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11" s="2" t="s">
        <v>68</v>
      </c>
      <c r="I1711" s="2" t="s">
        <v>16</v>
      </c>
      <c r="J1711" s="2">
        <v>4</v>
      </c>
      <c r="K1711" s="8">
        <v>599</v>
      </c>
      <c r="L1711" s="3">
        <v>0.25</v>
      </c>
      <c r="M1711" s="12">
        <f>K1711*L1711</f>
        <v>149.75</v>
      </c>
      <c r="N1711" s="12">
        <f>K1711*J1711</f>
        <v>2396</v>
      </c>
      <c r="O1711" s="12">
        <f>N1711-M1711</f>
        <v>2246.25</v>
      </c>
      <c r="P1711" s="2" t="s">
        <v>45</v>
      </c>
      <c r="Q1711" s="2" t="s">
        <v>18</v>
      </c>
      <c r="R1711" s="2">
        <v>60</v>
      </c>
      <c r="S1711" s="20">
        <f>Table1[[#This Row],[Net_revenue]]/Table1[[#This Row],[Gross_revenue]]*100%</f>
        <v>0.9375</v>
      </c>
      <c r="T1711" s="18">
        <f>COUNTIFS(Table1[Customer ID], "&gt;1", Table1[Customer ID], 1)</f>
        <v>0</v>
      </c>
    </row>
    <row r="1712" spans="1:20" hidden="1" x14ac:dyDescent="0.3">
      <c r="A1712" s="2" t="s">
        <v>2416</v>
      </c>
      <c r="B1712" s="5">
        <v>45919</v>
      </c>
      <c r="C1712" s="5" t="str">
        <f>TEXT(B1712,"mmm")</f>
        <v>Sep</v>
      </c>
      <c r="D1712" s="2" t="s">
        <v>615</v>
      </c>
      <c r="E1712" s="2" t="s">
        <v>21</v>
      </c>
      <c r="F1712" s="2" t="str" cm="1">
        <f t="array" ref="F17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12" s="2" t="str" cm="1">
        <f t="array" ref="G17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12" s="2" t="s">
        <v>94</v>
      </c>
      <c r="I1712" s="2" t="s">
        <v>95</v>
      </c>
      <c r="J1712" s="2">
        <v>2</v>
      </c>
      <c r="K1712" s="8">
        <v>399</v>
      </c>
      <c r="L1712" s="3">
        <v>0.15</v>
      </c>
      <c r="M1712" s="12">
        <f>K1712*L1712</f>
        <v>59.849999999999994</v>
      </c>
      <c r="N1712" s="12">
        <f>K1712*J1712</f>
        <v>798</v>
      </c>
      <c r="O1712" s="12">
        <f>N1712-M1712</f>
        <v>738.15</v>
      </c>
      <c r="P1712" s="2" t="s">
        <v>45</v>
      </c>
      <c r="Q1712" s="2" t="s">
        <v>18</v>
      </c>
      <c r="R1712" s="2">
        <v>0</v>
      </c>
      <c r="S1712" s="20">
        <f>Table1[[#This Row],[Net_revenue]]/Table1[[#This Row],[Gross_revenue]]*100%</f>
        <v>0.92499999999999993</v>
      </c>
      <c r="T1712" s="18">
        <f>COUNTIFS(Table1[Customer ID], "&gt;1", Table1[Customer ID], 1)</f>
        <v>0</v>
      </c>
    </row>
    <row r="1713" spans="1:20" hidden="1" x14ac:dyDescent="0.3">
      <c r="A1713" s="2" t="s">
        <v>2417</v>
      </c>
      <c r="B1713" s="5">
        <v>45956</v>
      </c>
      <c r="C1713" s="5" t="str">
        <f>TEXT(B1713,"mmm")</f>
        <v>Oct</v>
      </c>
      <c r="D1713" s="2" t="s">
        <v>2418</v>
      </c>
      <c r="E1713" s="2" t="s">
        <v>56</v>
      </c>
      <c r="F1713" s="2" t="str" cm="1">
        <f t="array" ref="F17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13" s="2" t="str" cm="1">
        <f t="array" ref="G17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13" s="2" t="s">
        <v>33</v>
      </c>
      <c r="I1713" s="2" t="s">
        <v>16</v>
      </c>
      <c r="J1713" s="2">
        <v>5</v>
      </c>
      <c r="K1713" s="8">
        <v>899</v>
      </c>
      <c r="L1713" s="3">
        <v>0</v>
      </c>
      <c r="M1713" s="12">
        <f>K1713*L1713</f>
        <v>0</v>
      </c>
      <c r="N1713" s="12">
        <f>K1713*J1713</f>
        <v>4495</v>
      </c>
      <c r="O1713" s="12">
        <f>N1713-M1713</f>
        <v>4495</v>
      </c>
      <c r="P1713" s="2" t="s">
        <v>45</v>
      </c>
      <c r="Q1713" s="2" t="s">
        <v>18</v>
      </c>
      <c r="R1713" s="2">
        <v>40</v>
      </c>
      <c r="S1713" s="20">
        <f>Table1[[#This Row],[Net_revenue]]/Table1[[#This Row],[Gross_revenue]]*100%</f>
        <v>1</v>
      </c>
      <c r="T1713" s="18">
        <f>COUNTIFS(Table1[Customer ID], "&gt;1", Table1[Customer ID], 1)</f>
        <v>0</v>
      </c>
    </row>
    <row r="1714" spans="1:20" hidden="1" x14ac:dyDescent="0.3">
      <c r="A1714" s="2" t="s">
        <v>2419</v>
      </c>
      <c r="B1714" s="5">
        <v>45735</v>
      </c>
      <c r="C1714" s="5" t="str">
        <f>TEXT(B1714,"mmm")</f>
        <v>Mar</v>
      </c>
      <c r="D1714" s="2" t="s">
        <v>1667</v>
      </c>
      <c r="E1714" s="2" t="s">
        <v>48</v>
      </c>
      <c r="F1714" s="2" t="str" cm="1">
        <f t="array" ref="F17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14" s="2" t="str" cm="1">
        <f t="array" ref="G17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14" s="2" t="s">
        <v>33</v>
      </c>
      <c r="I1714" s="2" t="s">
        <v>16</v>
      </c>
      <c r="J1714" s="2">
        <v>1</v>
      </c>
      <c r="K1714" s="8">
        <v>899</v>
      </c>
      <c r="L1714" s="3">
        <v>0.05</v>
      </c>
      <c r="M1714" s="12">
        <f>K1714*L1714</f>
        <v>44.95</v>
      </c>
      <c r="N1714" s="12">
        <f>K1714*J1714</f>
        <v>899</v>
      </c>
      <c r="O1714" s="12">
        <f>N1714-M1714</f>
        <v>854.05</v>
      </c>
      <c r="P1714" s="2" t="s">
        <v>24</v>
      </c>
      <c r="Q1714" s="2" t="s">
        <v>50</v>
      </c>
      <c r="R1714" s="2">
        <v>0</v>
      </c>
      <c r="S1714" s="20">
        <f>Table1[[#This Row],[Net_revenue]]/Table1[[#This Row],[Gross_revenue]]*100%</f>
        <v>0.95</v>
      </c>
      <c r="T1714" s="18">
        <f>COUNTIFS(Table1[Customer ID], "&gt;1", Table1[Customer ID], 1)</f>
        <v>0</v>
      </c>
    </row>
    <row r="1715" spans="1:20" hidden="1" x14ac:dyDescent="0.3">
      <c r="A1715" s="2" t="s">
        <v>2420</v>
      </c>
      <c r="B1715" s="5">
        <v>45665</v>
      </c>
      <c r="C1715" s="5" t="str">
        <f>TEXT(B1715,"mmm")</f>
        <v>Jan</v>
      </c>
      <c r="D1715" s="2" t="s">
        <v>1024</v>
      </c>
      <c r="E1715" s="2" t="s">
        <v>27</v>
      </c>
      <c r="F1715" s="2" t="str" cm="1">
        <f t="array" ref="F17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15" s="2" t="str" cm="1">
        <f t="array" ref="G17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15" s="2" t="s">
        <v>28</v>
      </c>
      <c r="I1715" s="2" t="s">
        <v>29</v>
      </c>
      <c r="J1715" s="2">
        <v>2</v>
      </c>
      <c r="K1715" s="8">
        <v>2799</v>
      </c>
      <c r="L1715" s="3">
        <v>0.05</v>
      </c>
      <c r="M1715" s="12">
        <f>K1715*L1715</f>
        <v>139.95000000000002</v>
      </c>
      <c r="N1715" s="12">
        <f>K1715*J1715</f>
        <v>5598</v>
      </c>
      <c r="O1715" s="12">
        <f>N1715-M1715</f>
        <v>5458.05</v>
      </c>
      <c r="P1715" s="2" t="s">
        <v>30</v>
      </c>
      <c r="Q1715" s="2" t="s">
        <v>18</v>
      </c>
      <c r="R1715" s="2">
        <v>80</v>
      </c>
      <c r="S1715" s="20">
        <f>Table1[[#This Row],[Net_revenue]]/Table1[[#This Row],[Gross_revenue]]*100%</f>
        <v>0.97499999999999998</v>
      </c>
      <c r="T1715" s="18">
        <f>COUNTIFS(Table1[Customer ID], "&gt;1", Table1[Customer ID], 1)</f>
        <v>0</v>
      </c>
    </row>
    <row r="1716" spans="1:20" hidden="1" x14ac:dyDescent="0.3">
      <c r="A1716" s="2" t="s">
        <v>2421</v>
      </c>
      <c r="B1716" s="5">
        <v>45942</v>
      </c>
      <c r="C1716" s="5" t="str">
        <f>TEXT(B1716,"mmm")</f>
        <v>Oct</v>
      </c>
      <c r="D1716" s="2" t="s">
        <v>1520</v>
      </c>
      <c r="E1716" s="2" t="s">
        <v>56</v>
      </c>
      <c r="F1716" s="2" t="str" cm="1">
        <f t="array" ref="F17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16" s="2" t="str" cm="1">
        <f t="array" ref="G17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16" s="2" t="s">
        <v>49</v>
      </c>
      <c r="I1716" s="2" t="s">
        <v>23</v>
      </c>
      <c r="J1716" s="2">
        <v>1</v>
      </c>
      <c r="K1716" s="8">
        <v>1299</v>
      </c>
      <c r="L1716" s="3">
        <v>0.25</v>
      </c>
      <c r="M1716" s="12">
        <f>K1716*L1716</f>
        <v>324.75</v>
      </c>
      <c r="N1716" s="12">
        <f>K1716*J1716</f>
        <v>1299</v>
      </c>
      <c r="O1716" s="12">
        <f>N1716-M1716</f>
        <v>974.25</v>
      </c>
      <c r="P1716" s="2" t="s">
        <v>30</v>
      </c>
      <c r="Q1716" s="2" t="s">
        <v>72</v>
      </c>
      <c r="R1716" s="2">
        <v>60</v>
      </c>
      <c r="S1716" s="20">
        <f>Table1[[#This Row],[Net_revenue]]/Table1[[#This Row],[Gross_revenue]]*100%</f>
        <v>0.75</v>
      </c>
      <c r="T1716" s="18">
        <f>COUNTIFS(Table1[Customer ID], "&gt;1", Table1[Customer ID], 1)</f>
        <v>0</v>
      </c>
    </row>
    <row r="1717" spans="1:20" hidden="1" x14ac:dyDescent="0.3">
      <c r="A1717" s="2" t="s">
        <v>2422</v>
      </c>
      <c r="B1717" s="5">
        <v>45683</v>
      </c>
      <c r="C1717" s="5" t="str">
        <f>TEXT(B1717,"mmm")</f>
        <v>Jan</v>
      </c>
      <c r="D1717" s="2" t="s">
        <v>1821</v>
      </c>
      <c r="E1717" s="2" t="s">
        <v>14</v>
      </c>
      <c r="F1717" s="2" t="str" cm="1">
        <f t="array" ref="F17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717" s="2" t="str" cm="1">
        <f t="array" ref="G17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717" s="2" t="s">
        <v>22</v>
      </c>
      <c r="I1717" s="2" t="s">
        <v>23</v>
      </c>
      <c r="J1717" s="2">
        <v>1</v>
      </c>
      <c r="K1717" s="8">
        <v>3999</v>
      </c>
      <c r="L1717" s="3">
        <v>0.25</v>
      </c>
      <c r="M1717" s="12">
        <f>K1717*L1717</f>
        <v>999.75</v>
      </c>
      <c r="N1717" s="12">
        <f>K1717*J1717</f>
        <v>3999</v>
      </c>
      <c r="O1717" s="12">
        <f>N1717-M1717</f>
        <v>2999.25</v>
      </c>
      <c r="P1717" s="2" t="s">
        <v>45</v>
      </c>
      <c r="Q1717" s="2" t="s">
        <v>18</v>
      </c>
      <c r="R1717" s="2">
        <v>40</v>
      </c>
      <c r="S1717" s="20">
        <f>Table1[[#This Row],[Net_revenue]]/Table1[[#This Row],[Gross_revenue]]*100%</f>
        <v>0.75</v>
      </c>
      <c r="T1717" s="18">
        <f>COUNTIFS(Table1[Customer ID], "&gt;1", Table1[Customer ID], 1)</f>
        <v>0</v>
      </c>
    </row>
    <row r="1718" spans="1:20" hidden="1" x14ac:dyDescent="0.3">
      <c r="A1718" s="2" t="s">
        <v>2423</v>
      </c>
      <c r="B1718" s="5">
        <v>45916</v>
      </c>
      <c r="C1718" s="5" t="str">
        <f>TEXT(B1718,"mmm")</f>
        <v>Sep</v>
      </c>
      <c r="D1718" s="2" t="s">
        <v>1006</v>
      </c>
      <c r="E1718" s="2" t="s">
        <v>40</v>
      </c>
      <c r="F1718" s="2" t="str" cm="1">
        <f t="array" ref="F17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18" s="2" t="str" cm="1">
        <f t="array" ref="G17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18" s="2" t="s">
        <v>28</v>
      </c>
      <c r="I1718" s="2" t="s">
        <v>29</v>
      </c>
      <c r="J1718" s="2">
        <v>2</v>
      </c>
      <c r="K1718" s="8">
        <v>2799</v>
      </c>
      <c r="L1718" s="3">
        <v>0.1</v>
      </c>
      <c r="M1718" s="12">
        <f>K1718*L1718</f>
        <v>279.90000000000003</v>
      </c>
      <c r="N1718" s="12">
        <f>K1718*J1718</f>
        <v>5598</v>
      </c>
      <c r="O1718" s="12">
        <f>N1718-M1718</f>
        <v>5318.1</v>
      </c>
      <c r="P1718" s="2" t="s">
        <v>30</v>
      </c>
      <c r="Q1718" s="2" t="s">
        <v>18</v>
      </c>
      <c r="R1718" s="2">
        <v>60</v>
      </c>
      <c r="S1718" s="20">
        <f>Table1[[#This Row],[Net_revenue]]/Table1[[#This Row],[Gross_revenue]]*100%</f>
        <v>0.95000000000000007</v>
      </c>
      <c r="T1718" s="18">
        <f>COUNTIFS(Table1[Customer ID], "&gt;1", Table1[Customer ID], 1)</f>
        <v>0</v>
      </c>
    </row>
    <row r="1719" spans="1:20" hidden="1" x14ac:dyDescent="0.3">
      <c r="A1719" s="2" t="s">
        <v>2424</v>
      </c>
      <c r="B1719" s="5">
        <v>45722</v>
      </c>
      <c r="C1719" s="5" t="str">
        <f>TEXT(B1719,"mmm")</f>
        <v>Mar</v>
      </c>
      <c r="D1719" s="2" t="s">
        <v>84</v>
      </c>
      <c r="E1719" s="2" t="s">
        <v>21</v>
      </c>
      <c r="F1719" s="2" t="str" cm="1">
        <f t="array" ref="F17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19" s="2" t="str" cm="1">
        <f t="array" ref="G17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19" s="2" t="s">
        <v>15</v>
      </c>
      <c r="I1719" s="2" t="s">
        <v>16</v>
      </c>
      <c r="J1719" s="2">
        <v>2</v>
      </c>
      <c r="K1719" s="8">
        <v>1799</v>
      </c>
      <c r="L1719" s="3">
        <v>0</v>
      </c>
      <c r="M1719" s="12">
        <f>K1719*L1719</f>
        <v>0</v>
      </c>
      <c r="N1719" s="12">
        <f>K1719*J1719</f>
        <v>3598</v>
      </c>
      <c r="O1719" s="12">
        <f>N1719-M1719</f>
        <v>3598</v>
      </c>
      <c r="P1719" s="2" t="s">
        <v>17</v>
      </c>
      <c r="Q1719" s="2" t="s">
        <v>18</v>
      </c>
      <c r="R1719" s="2">
        <v>40</v>
      </c>
      <c r="S1719" s="20">
        <f>Table1[[#This Row],[Net_revenue]]/Table1[[#This Row],[Gross_revenue]]*100%</f>
        <v>1</v>
      </c>
      <c r="T1719" s="18">
        <f>COUNTIFS(Table1[Customer ID], "&gt;1", Table1[Customer ID], 1)</f>
        <v>0</v>
      </c>
    </row>
    <row r="1720" spans="1:20" hidden="1" x14ac:dyDescent="0.3">
      <c r="A1720" s="2" t="s">
        <v>2425</v>
      </c>
      <c r="B1720" s="5">
        <v>45861</v>
      </c>
      <c r="C1720" s="5" t="str">
        <f>TEXT(B1720,"mmm")</f>
        <v>Jul</v>
      </c>
      <c r="D1720" s="2" t="s">
        <v>1510</v>
      </c>
      <c r="E1720" s="2" t="s">
        <v>40</v>
      </c>
      <c r="F1720" s="2" t="str" cm="1">
        <f t="array" ref="F17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20" s="2" t="str" cm="1">
        <f t="array" ref="G17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20" s="2" t="s">
        <v>71</v>
      </c>
      <c r="I1720" s="2" t="s">
        <v>29</v>
      </c>
      <c r="J1720" s="2">
        <v>2</v>
      </c>
      <c r="K1720" s="8">
        <v>5499</v>
      </c>
      <c r="L1720" s="3">
        <v>0.25</v>
      </c>
      <c r="M1720" s="12">
        <f>K1720*L1720</f>
        <v>1374.75</v>
      </c>
      <c r="N1720" s="12">
        <f>K1720*J1720</f>
        <v>10998</v>
      </c>
      <c r="O1720" s="12">
        <f>N1720-M1720</f>
        <v>9623.25</v>
      </c>
      <c r="P1720" s="2" t="s">
        <v>45</v>
      </c>
      <c r="Q1720" s="2" t="s">
        <v>18</v>
      </c>
      <c r="R1720" s="2">
        <v>60</v>
      </c>
      <c r="S1720" s="20">
        <f>Table1[[#This Row],[Net_revenue]]/Table1[[#This Row],[Gross_revenue]]*100%</f>
        <v>0.875</v>
      </c>
      <c r="T1720" s="18">
        <f>COUNTIFS(Table1[Customer ID], "&gt;1", Table1[Customer ID], 1)</f>
        <v>0</v>
      </c>
    </row>
    <row r="1721" spans="1:20" hidden="1" x14ac:dyDescent="0.3">
      <c r="A1721" s="2" t="s">
        <v>2426</v>
      </c>
      <c r="B1721" s="5">
        <v>45796</v>
      </c>
      <c r="C1721" s="5" t="str">
        <f>TEXT(B1721,"mmm")</f>
        <v>May</v>
      </c>
      <c r="D1721" s="2" t="s">
        <v>1490</v>
      </c>
      <c r="E1721" s="2" t="s">
        <v>27</v>
      </c>
      <c r="F1721" s="2" t="str" cm="1">
        <f t="array" ref="F17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21" s="2" t="str" cm="1">
        <f t="array" ref="G17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21" s="2" t="s">
        <v>33</v>
      </c>
      <c r="I1721" s="2" t="s">
        <v>16</v>
      </c>
      <c r="J1721" s="2">
        <v>1</v>
      </c>
      <c r="K1721" s="8">
        <v>899</v>
      </c>
      <c r="L1721" s="3">
        <v>0.25</v>
      </c>
      <c r="M1721" s="12">
        <f>K1721*L1721</f>
        <v>224.75</v>
      </c>
      <c r="N1721" s="12">
        <f>K1721*J1721</f>
        <v>899</v>
      </c>
      <c r="O1721" s="12">
        <f>N1721-M1721</f>
        <v>674.25</v>
      </c>
      <c r="P1721" s="2" t="s">
        <v>30</v>
      </c>
      <c r="Q1721" s="2" t="s">
        <v>72</v>
      </c>
      <c r="R1721" s="2">
        <v>80</v>
      </c>
      <c r="S1721" s="20">
        <f>Table1[[#This Row],[Net_revenue]]/Table1[[#This Row],[Gross_revenue]]*100%</f>
        <v>0.75</v>
      </c>
      <c r="T1721" s="18">
        <f>COUNTIFS(Table1[Customer ID], "&gt;1", Table1[Customer ID], 1)</f>
        <v>0</v>
      </c>
    </row>
    <row r="1722" spans="1:20" hidden="1" x14ac:dyDescent="0.3">
      <c r="A1722" s="2" t="s">
        <v>2427</v>
      </c>
      <c r="B1722" s="5">
        <v>45840</v>
      </c>
      <c r="C1722" s="5" t="str">
        <f>TEXT(B1722,"mmm")</f>
        <v>Jul</v>
      </c>
      <c r="D1722" s="2" t="s">
        <v>2321</v>
      </c>
      <c r="E1722" s="2" t="s">
        <v>48</v>
      </c>
      <c r="F1722" s="2" t="str" cm="1">
        <f t="array" ref="F17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22" s="2" t="str" cm="1">
        <f t="array" ref="G17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22" s="2" t="s">
        <v>36</v>
      </c>
      <c r="I1722" s="2" t="s">
        <v>37</v>
      </c>
      <c r="J1722" s="2">
        <v>1</v>
      </c>
      <c r="K1722" s="8">
        <v>349</v>
      </c>
      <c r="L1722" s="3">
        <v>0.15</v>
      </c>
      <c r="M1722" s="12">
        <f>K1722*L1722</f>
        <v>52.35</v>
      </c>
      <c r="N1722" s="12">
        <f>K1722*J1722</f>
        <v>349</v>
      </c>
      <c r="O1722" s="12">
        <f>N1722-M1722</f>
        <v>296.64999999999998</v>
      </c>
      <c r="P1722" s="2" t="s">
        <v>45</v>
      </c>
      <c r="Q1722" s="2" t="s">
        <v>18</v>
      </c>
      <c r="R1722" s="2">
        <v>0</v>
      </c>
      <c r="S1722" s="20">
        <f>Table1[[#This Row],[Net_revenue]]/Table1[[#This Row],[Gross_revenue]]*100%</f>
        <v>0.85</v>
      </c>
      <c r="T1722" s="18">
        <f>COUNTIFS(Table1[Customer ID], "&gt;1", Table1[Customer ID], 1)</f>
        <v>0</v>
      </c>
    </row>
    <row r="1723" spans="1:20" hidden="1" x14ac:dyDescent="0.3">
      <c r="A1723" s="2" t="s">
        <v>2428</v>
      </c>
      <c r="B1723" s="5">
        <v>45751</v>
      </c>
      <c r="C1723" s="5" t="str">
        <f>TEXT(B1723,"mmm")</f>
        <v>Apr</v>
      </c>
      <c r="D1723" s="2" t="s">
        <v>243</v>
      </c>
      <c r="E1723" s="2" t="s">
        <v>14</v>
      </c>
      <c r="F1723" s="2" t="str" cm="1">
        <f t="array" ref="F17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723" s="2" t="str" cm="1">
        <f t="array" ref="G17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723" s="2" t="s">
        <v>63</v>
      </c>
      <c r="I1723" s="2" t="s">
        <v>23</v>
      </c>
      <c r="J1723" s="2">
        <v>2</v>
      </c>
      <c r="K1723" s="8">
        <v>2499</v>
      </c>
      <c r="L1723" s="3">
        <v>0</v>
      </c>
      <c r="M1723" s="12">
        <f>K1723*L1723</f>
        <v>0</v>
      </c>
      <c r="N1723" s="12">
        <f>K1723*J1723</f>
        <v>4998</v>
      </c>
      <c r="O1723" s="12">
        <f>N1723-M1723</f>
        <v>4998</v>
      </c>
      <c r="P1723" s="2" t="s">
        <v>17</v>
      </c>
      <c r="Q1723" s="2" t="s">
        <v>18</v>
      </c>
      <c r="R1723" s="2">
        <v>40</v>
      </c>
      <c r="S1723" s="20">
        <f>Table1[[#This Row],[Net_revenue]]/Table1[[#This Row],[Gross_revenue]]*100%</f>
        <v>1</v>
      </c>
      <c r="T1723" s="18">
        <f>COUNTIFS(Table1[Customer ID], "&gt;1", Table1[Customer ID], 1)</f>
        <v>0</v>
      </c>
    </row>
    <row r="1724" spans="1:20" hidden="1" x14ac:dyDescent="0.3">
      <c r="A1724" s="2" t="s">
        <v>2429</v>
      </c>
      <c r="B1724" s="5">
        <v>45716</v>
      </c>
      <c r="C1724" s="5" t="str">
        <f>TEXT(B1724,"mmm")</f>
        <v>Feb</v>
      </c>
      <c r="D1724" s="2" t="s">
        <v>319</v>
      </c>
      <c r="E1724" s="2" t="s">
        <v>40</v>
      </c>
      <c r="F1724" s="2" t="str" cm="1">
        <f t="array" ref="F17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24" s="2" t="str" cm="1">
        <f t="array" ref="G17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24" s="2" t="s">
        <v>15</v>
      </c>
      <c r="I1724" s="2" t="s">
        <v>16</v>
      </c>
      <c r="J1724" s="2">
        <v>1</v>
      </c>
      <c r="K1724" s="8">
        <v>1799</v>
      </c>
      <c r="L1724" s="3">
        <v>0</v>
      </c>
      <c r="M1724" s="12">
        <f>K1724*L1724</f>
        <v>0</v>
      </c>
      <c r="N1724" s="12">
        <f>K1724*J1724</f>
        <v>1799</v>
      </c>
      <c r="O1724" s="12">
        <f>N1724-M1724</f>
        <v>1799</v>
      </c>
      <c r="P1724" s="2" t="s">
        <v>17</v>
      </c>
      <c r="Q1724" s="2" t="s">
        <v>50</v>
      </c>
      <c r="R1724" s="2">
        <v>60</v>
      </c>
      <c r="S1724" s="20">
        <f>Table1[[#This Row],[Net_revenue]]/Table1[[#This Row],[Gross_revenue]]*100%</f>
        <v>1</v>
      </c>
      <c r="T1724" s="18">
        <f>COUNTIFS(Table1[Customer ID], "&gt;1", Table1[Customer ID], 1)</f>
        <v>0</v>
      </c>
    </row>
    <row r="1725" spans="1:20" hidden="1" x14ac:dyDescent="0.3">
      <c r="A1725" s="2" t="s">
        <v>2430</v>
      </c>
      <c r="B1725" s="5">
        <v>45690</v>
      </c>
      <c r="C1725" s="5" t="str">
        <f>TEXT(B1725,"mmm")</f>
        <v>Feb</v>
      </c>
      <c r="D1725" s="2" t="s">
        <v>994</v>
      </c>
      <c r="E1725" s="2" t="s">
        <v>40</v>
      </c>
      <c r="F1725" s="2" t="str" cm="1">
        <f t="array" ref="F17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25" s="2" t="str" cm="1">
        <f t="array" ref="G17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25" s="2" t="s">
        <v>89</v>
      </c>
      <c r="I1725" s="2" t="s">
        <v>29</v>
      </c>
      <c r="J1725" s="2">
        <v>1</v>
      </c>
      <c r="K1725" s="8">
        <v>449</v>
      </c>
      <c r="L1725" s="3">
        <v>0.1</v>
      </c>
      <c r="M1725" s="12">
        <f>K1725*L1725</f>
        <v>44.900000000000006</v>
      </c>
      <c r="N1725" s="12">
        <f>K1725*J1725</f>
        <v>449</v>
      </c>
      <c r="O1725" s="12">
        <f>N1725-M1725</f>
        <v>404.1</v>
      </c>
      <c r="P1725" s="2" t="s">
        <v>17</v>
      </c>
      <c r="Q1725" s="2" t="s">
        <v>18</v>
      </c>
      <c r="R1725" s="2">
        <v>80</v>
      </c>
      <c r="S1725" s="20">
        <f>Table1[[#This Row],[Net_revenue]]/Table1[[#This Row],[Gross_revenue]]*100%</f>
        <v>0.9</v>
      </c>
      <c r="T1725" s="18">
        <f>COUNTIFS(Table1[Customer ID], "&gt;1", Table1[Customer ID], 1)</f>
        <v>0</v>
      </c>
    </row>
    <row r="1726" spans="1:20" hidden="1" x14ac:dyDescent="0.3">
      <c r="A1726" s="2" t="s">
        <v>2431</v>
      </c>
      <c r="B1726" s="5">
        <v>45979</v>
      </c>
      <c r="C1726" s="5" t="str">
        <f>TEXT(B1726,"mmm")</f>
        <v>Nov</v>
      </c>
      <c r="D1726" s="2" t="s">
        <v>1341</v>
      </c>
      <c r="E1726" s="2" t="s">
        <v>40</v>
      </c>
      <c r="F1726" s="2" t="str" cm="1">
        <f t="array" ref="F17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26" s="2" t="str" cm="1">
        <f t="array" ref="G17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26" s="2" t="s">
        <v>41</v>
      </c>
      <c r="I1726" s="2" t="s">
        <v>16</v>
      </c>
      <c r="J1726" s="2">
        <v>2</v>
      </c>
      <c r="K1726" s="8">
        <v>2299</v>
      </c>
      <c r="L1726" s="3">
        <v>0.15</v>
      </c>
      <c r="M1726" s="12">
        <f>K1726*L1726</f>
        <v>344.84999999999997</v>
      </c>
      <c r="N1726" s="12">
        <f>K1726*J1726</f>
        <v>4598</v>
      </c>
      <c r="O1726" s="12">
        <f>N1726-M1726</f>
        <v>4253.1499999999996</v>
      </c>
      <c r="P1726" s="2" t="s">
        <v>30</v>
      </c>
      <c r="Q1726" s="2" t="s">
        <v>18</v>
      </c>
      <c r="R1726" s="2">
        <v>60</v>
      </c>
      <c r="S1726" s="20">
        <f>Table1[[#This Row],[Net_revenue]]/Table1[[#This Row],[Gross_revenue]]*100%</f>
        <v>0.92499999999999993</v>
      </c>
      <c r="T1726" s="18">
        <f>COUNTIFS(Table1[Customer ID], "&gt;1", Table1[Customer ID], 1)</f>
        <v>0</v>
      </c>
    </row>
    <row r="1727" spans="1:20" hidden="1" x14ac:dyDescent="0.3">
      <c r="A1727" s="2" t="s">
        <v>2432</v>
      </c>
      <c r="B1727" s="5">
        <v>45741</v>
      </c>
      <c r="C1727" s="5" t="str">
        <f>TEXT(B1727,"mmm")</f>
        <v>Mar</v>
      </c>
      <c r="D1727" s="2" t="s">
        <v>1190</v>
      </c>
      <c r="E1727" s="2" t="s">
        <v>40</v>
      </c>
      <c r="F1727" s="2" t="str" cm="1">
        <f t="array" ref="F17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27" s="2" t="str" cm="1">
        <f t="array" ref="G17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27" s="2" t="s">
        <v>65</v>
      </c>
      <c r="I1727" s="2" t="s">
        <v>23</v>
      </c>
      <c r="J1727" s="2">
        <v>1</v>
      </c>
      <c r="K1727" s="8">
        <v>1899</v>
      </c>
      <c r="L1727" s="3">
        <v>0.25</v>
      </c>
      <c r="M1727" s="12">
        <f>K1727*L1727</f>
        <v>474.75</v>
      </c>
      <c r="N1727" s="12">
        <f>K1727*J1727</f>
        <v>1899</v>
      </c>
      <c r="O1727" s="12">
        <f>N1727-M1727</f>
        <v>1424.25</v>
      </c>
      <c r="P1727" s="2" t="s">
        <v>45</v>
      </c>
      <c r="Q1727" s="2" t="s">
        <v>18</v>
      </c>
      <c r="R1727" s="2">
        <v>0</v>
      </c>
      <c r="S1727" s="20">
        <f>Table1[[#This Row],[Net_revenue]]/Table1[[#This Row],[Gross_revenue]]*100%</f>
        <v>0.75</v>
      </c>
      <c r="T1727" s="18">
        <f>COUNTIFS(Table1[Customer ID], "&gt;1", Table1[Customer ID], 1)</f>
        <v>0</v>
      </c>
    </row>
    <row r="1728" spans="1:20" hidden="1" x14ac:dyDescent="0.3">
      <c r="A1728" s="2" t="s">
        <v>2433</v>
      </c>
      <c r="B1728" s="5">
        <v>46021</v>
      </c>
      <c r="C1728" s="5" t="str">
        <f>TEXT(B1728,"mmm")</f>
        <v>Dec</v>
      </c>
      <c r="D1728" s="2" t="s">
        <v>296</v>
      </c>
      <c r="E1728" s="2" t="s">
        <v>21</v>
      </c>
      <c r="F1728" s="2" t="str" cm="1">
        <f t="array" ref="F17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28" s="2" t="str" cm="1">
        <f t="array" ref="G17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28" s="2" t="s">
        <v>41</v>
      </c>
      <c r="I1728" s="2" t="s">
        <v>16</v>
      </c>
      <c r="J1728" s="2">
        <v>1</v>
      </c>
      <c r="K1728" s="8">
        <v>2299</v>
      </c>
      <c r="L1728" s="3">
        <v>0.15</v>
      </c>
      <c r="M1728" s="12">
        <f>K1728*L1728</f>
        <v>344.84999999999997</v>
      </c>
      <c r="N1728" s="12">
        <f>K1728*J1728</f>
        <v>2299</v>
      </c>
      <c r="O1728" s="12">
        <f>N1728-M1728</f>
        <v>1954.15</v>
      </c>
      <c r="P1728" s="2" t="s">
        <v>17</v>
      </c>
      <c r="Q1728" s="2" t="s">
        <v>18</v>
      </c>
      <c r="R1728" s="2">
        <v>80</v>
      </c>
      <c r="S1728" s="20">
        <f>Table1[[#This Row],[Net_revenue]]/Table1[[#This Row],[Gross_revenue]]*100%</f>
        <v>0.85000000000000009</v>
      </c>
      <c r="T1728" s="18">
        <f>COUNTIFS(Table1[Customer ID], "&gt;1", Table1[Customer ID], 1)</f>
        <v>0</v>
      </c>
    </row>
    <row r="1729" spans="1:20" hidden="1" x14ac:dyDescent="0.3">
      <c r="A1729" s="2" t="s">
        <v>2434</v>
      </c>
      <c r="B1729" s="5">
        <v>45700</v>
      </c>
      <c r="C1729" s="5" t="str">
        <f>TEXT(B1729,"mmm")</f>
        <v>Feb</v>
      </c>
      <c r="D1729" s="2" t="s">
        <v>828</v>
      </c>
      <c r="E1729" s="2" t="s">
        <v>56</v>
      </c>
      <c r="F1729" s="2" t="str" cm="1">
        <f t="array" ref="F17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29" s="2" t="str" cm="1">
        <f t="array" ref="G17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29" s="2" t="s">
        <v>107</v>
      </c>
      <c r="I1729" s="2" t="s">
        <v>95</v>
      </c>
      <c r="J1729" s="2">
        <v>2</v>
      </c>
      <c r="K1729" s="8">
        <v>1599</v>
      </c>
      <c r="L1729" s="3">
        <v>0.1</v>
      </c>
      <c r="M1729" s="12">
        <f>K1729*L1729</f>
        <v>159.9</v>
      </c>
      <c r="N1729" s="12">
        <f>K1729*J1729</f>
        <v>3198</v>
      </c>
      <c r="O1729" s="12">
        <f>N1729-M1729</f>
        <v>3038.1</v>
      </c>
      <c r="P1729" s="2" t="s">
        <v>17</v>
      </c>
      <c r="Q1729" s="2" t="s">
        <v>18</v>
      </c>
      <c r="R1729" s="2">
        <v>40</v>
      </c>
      <c r="S1729" s="20">
        <f>Table1[[#This Row],[Net_revenue]]/Table1[[#This Row],[Gross_revenue]]*100%</f>
        <v>0.95</v>
      </c>
      <c r="T1729" s="18">
        <f>COUNTIFS(Table1[Customer ID], "&gt;1", Table1[Customer ID], 1)</f>
        <v>0</v>
      </c>
    </row>
    <row r="1730" spans="1:20" hidden="1" x14ac:dyDescent="0.3">
      <c r="A1730" s="2" t="s">
        <v>2435</v>
      </c>
      <c r="B1730" s="5">
        <v>45808</v>
      </c>
      <c r="C1730" s="5" t="str">
        <f>TEXT(B1730,"mmm")</f>
        <v>May</v>
      </c>
      <c r="D1730" s="2" t="s">
        <v>701</v>
      </c>
      <c r="E1730" s="2" t="s">
        <v>21</v>
      </c>
      <c r="F1730" s="2" t="str" cm="1">
        <f t="array" ref="F17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30" s="2" t="str" cm="1">
        <f t="array" ref="G17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30" s="2" t="s">
        <v>65</v>
      </c>
      <c r="I1730" s="2" t="s">
        <v>23</v>
      </c>
      <c r="J1730" s="2">
        <v>3</v>
      </c>
      <c r="K1730" s="8">
        <v>1899</v>
      </c>
      <c r="L1730" s="3">
        <v>0.25</v>
      </c>
      <c r="M1730" s="12">
        <f>K1730*L1730</f>
        <v>474.75</v>
      </c>
      <c r="N1730" s="12">
        <f>K1730*J1730</f>
        <v>5697</v>
      </c>
      <c r="O1730" s="12">
        <f>N1730-M1730</f>
        <v>5222.25</v>
      </c>
      <c r="P1730" s="2" t="s">
        <v>45</v>
      </c>
      <c r="Q1730" s="2" t="s">
        <v>72</v>
      </c>
      <c r="R1730" s="2">
        <v>0</v>
      </c>
      <c r="S1730" s="20">
        <f>Table1[[#This Row],[Net_revenue]]/Table1[[#This Row],[Gross_revenue]]*100%</f>
        <v>0.91666666666666663</v>
      </c>
      <c r="T1730" s="18">
        <f>COUNTIFS(Table1[Customer ID], "&gt;1", Table1[Customer ID], 1)</f>
        <v>0</v>
      </c>
    </row>
    <row r="1731" spans="1:20" hidden="1" x14ac:dyDescent="0.3">
      <c r="A1731" s="2" t="s">
        <v>2436</v>
      </c>
      <c r="B1731" s="5">
        <v>45743</v>
      </c>
      <c r="C1731" s="5" t="str">
        <f>TEXT(B1731,"mmm")</f>
        <v>Mar</v>
      </c>
      <c r="D1731" s="2" t="s">
        <v>1291</v>
      </c>
      <c r="E1731" s="2" t="s">
        <v>21</v>
      </c>
      <c r="F1731" s="2" t="str" cm="1">
        <f t="array" ref="F17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31" s="2" t="str" cm="1">
        <f t="array" ref="G17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31" s="2" t="s">
        <v>107</v>
      </c>
      <c r="I1731" s="2" t="s">
        <v>95</v>
      </c>
      <c r="J1731" s="2">
        <v>1</v>
      </c>
      <c r="K1731" s="8">
        <v>1599</v>
      </c>
      <c r="L1731" s="3">
        <v>0.1</v>
      </c>
      <c r="M1731" s="12">
        <f>K1731*L1731</f>
        <v>159.9</v>
      </c>
      <c r="N1731" s="12">
        <f>K1731*J1731</f>
        <v>1599</v>
      </c>
      <c r="O1731" s="12">
        <f>N1731-M1731</f>
        <v>1439.1</v>
      </c>
      <c r="P1731" s="2" t="s">
        <v>45</v>
      </c>
      <c r="Q1731" s="2" t="s">
        <v>18</v>
      </c>
      <c r="R1731" s="2">
        <v>40</v>
      </c>
      <c r="S1731" s="20">
        <f>Table1[[#This Row],[Net_revenue]]/Table1[[#This Row],[Gross_revenue]]*100%</f>
        <v>0.89999999999999991</v>
      </c>
      <c r="T1731" s="18">
        <f>COUNTIFS(Table1[Customer ID], "&gt;1", Table1[Customer ID], 1)</f>
        <v>0</v>
      </c>
    </row>
    <row r="1732" spans="1:20" hidden="1" x14ac:dyDescent="0.3">
      <c r="A1732" s="2" t="s">
        <v>2437</v>
      </c>
      <c r="B1732" s="5">
        <v>45994</v>
      </c>
      <c r="C1732" s="5" t="str">
        <f>TEXT(B1732,"mmm")</f>
        <v>Dec</v>
      </c>
      <c r="D1732" s="2" t="s">
        <v>723</v>
      </c>
      <c r="E1732" s="2" t="s">
        <v>48</v>
      </c>
      <c r="F1732" s="2" t="str" cm="1">
        <f t="array" ref="F17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32" s="2" t="str" cm="1">
        <f t="array" ref="G17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32" s="2" t="s">
        <v>49</v>
      </c>
      <c r="I1732" s="2" t="s">
        <v>23</v>
      </c>
      <c r="J1732" s="2">
        <v>1</v>
      </c>
      <c r="K1732" s="8">
        <v>1299</v>
      </c>
      <c r="L1732" s="3">
        <v>0.05</v>
      </c>
      <c r="M1732" s="12">
        <f>K1732*L1732</f>
        <v>64.95</v>
      </c>
      <c r="N1732" s="12">
        <f>K1732*J1732</f>
        <v>1299</v>
      </c>
      <c r="O1732" s="12">
        <f>N1732-M1732</f>
        <v>1234.05</v>
      </c>
      <c r="P1732" s="2" t="s">
        <v>17</v>
      </c>
      <c r="Q1732" s="2" t="s">
        <v>18</v>
      </c>
      <c r="R1732" s="2">
        <v>0</v>
      </c>
      <c r="S1732" s="20">
        <f>Table1[[#This Row],[Net_revenue]]/Table1[[#This Row],[Gross_revenue]]*100%</f>
        <v>0.95</v>
      </c>
      <c r="T1732" s="18">
        <f>COUNTIFS(Table1[Customer ID], "&gt;1", Table1[Customer ID], 1)</f>
        <v>0</v>
      </c>
    </row>
    <row r="1733" spans="1:20" hidden="1" x14ac:dyDescent="0.3">
      <c r="A1733" s="2" t="s">
        <v>2438</v>
      </c>
      <c r="B1733" s="5">
        <v>45981</v>
      </c>
      <c r="C1733" s="5" t="str">
        <f>TEXT(B1733,"mmm")</f>
        <v>Nov</v>
      </c>
      <c r="D1733" s="2" t="s">
        <v>1452</v>
      </c>
      <c r="E1733" s="2" t="s">
        <v>14</v>
      </c>
      <c r="F1733" s="2" t="str" cm="1">
        <f t="array" ref="F17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733" s="2" t="str" cm="1">
        <f t="array" ref="G17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733" s="2" t="s">
        <v>71</v>
      </c>
      <c r="I1733" s="2" t="s">
        <v>29</v>
      </c>
      <c r="J1733" s="2">
        <v>4</v>
      </c>
      <c r="K1733" s="8">
        <v>5499</v>
      </c>
      <c r="L1733" s="3">
        <v>0.05</v>
      </c>
      <c r="M1733" s="12">
        <f>K1733*L1733</f>
        <v>274.95</v>
      </c>
      <c r="N1733" s="12">
        <f>K1733*J1733</f>
        <v>21996</v>
      </c>
      <c r="O1733" s="12">
        <f>N1733-M1733</f>
        <v>21721.05</v>
      </c>
      <c r="P1733" s="2" t="s">
        <v>45</v>
      </c>
      <c r="Q1733" s="2" t="s">
        <v>18</v>
      </c>
      <c r="R1733" s="2">
        <v>40</v>
      </c>
      <c r="S1733" s="20">
        <f>Table1[[#This Row],[Net_revenue]]/Table1[[#This Row],[Gross_revenue]]*100%</f>
        <v>0.98749999999999993</v>
      </c>
      <c r="T1733" s="18">
        <f>COUNTIFS(Table1[Customer ID], "&gt;1", Table1[Customer ID], 1)</f>
        <v>0</v>
      </c>
    </row>
    <row r="1734" spans="1:20" hidden="1" x14ac:dyDescent="0.3">
      <c r="A1734" s="2" t="s">
        <v>2439</v>
      </c>
      <c r="B1734" s="5">
        <v>45838</v>
      </c>
      <c r="C1734" s="5" t="str">
        <f>TEXT(B1734,"mmm")</f>
        <v>Jun</v>
      </c>
      <c r="D1734" s="2" t="s">
        <v>1121</v>
      </c>
      <c r="E1734" s="2" t="s">
        <v>48</v>
      </c>
      <c r="F1734" s="2" t="str" cm="1">
        <f t="array" ref="F17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34" s="2" t="str" cm="1">
        <f t="array" ref="G17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34" s="2" t="s">
        <v>36</v>
      </c>
      <c r="I1734" s="2" t="s">
        <v>37</v>
      </c>
      <c r="J1734" s="2">
        <v>3</v>
      </c>
      <c r="K1734" s="8">
        <v>349</v>
      </c>
      <c r="L1734" s="3">
        <v>0.1</v>
      </c>
      <c r="M1734" s="12">
        <f>K1734*L1734</f>
        <v>34.9</v>
      </c>
      <c r="N1734" s="12">
        <f>K1734*J1734</f>
        <v>1047</v>
      </c>
      <c r="O1734" s="12">
        <f>N1734-M1734</f>
        <v>1012.1</v>
      </c>
      <c r="P1734" s="2" t="s">
        <v>17</v>
      </c>
      <c r="Q1734" s="2" t="s">
        <v>18</v>
      </c>
      <c r="R1734" s="2">
        <v>0</v>
      </c>
      <c r="S1734" s="20">
        <f>Table1[[#This Row],[Net_revenue]]/Table1[[#This Row],[Gross_revenue]]*100%</f>
        <v>0.96666666666666667</v>
      </c>
      <c r="T1734" s="18">
        <f>COUNTIFS(Table1[Customer ID], "&gt;1", Table1[Customer ID], 1)</f>
        <v>0</v>
      </c>
    </row>
    <row r="1735" spans="1:20" hidden="1" x14ac:dyDescent="0.3">
      <c r="A1735" s="2" t="s">
        <v>2440</v>
      </c>
      <c r="B1735" s="5">
        <v>45963</v>
      </c>
      <c r="C1735" s="5" t="str">
        <f>TEXT(B1735,"mmm")</f>
        <v>Nov</v>
      </c>
      <c r="D1735" s="2" t="s">
        <v>2066</v>
      </c>
      <c r="E1735" s="2" t="s">
        <v>48</v>
      </c>
      <c r="F1735" s="2" t="str" cm="1">
        <f t="array" ref="F17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35" s="2" t="str" cm="1">
        <f t="array" ref="G17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35" s="2" t="s">
        <v>44</v>
      </c>
      <c r="I1735" s="2" t="s">
        <v>16</v>
      </c>
      <c r="J1735" s="2">
        <v>3</v>
      </c>
      <c r="K1735" s="8">
        <v>1599</v>
      </c>
      <c r="L1735" s="3">
        <v>0</v>
      </c>
      <c r="M1735" s="12">
        <f>K1735*L1735</f>
        <v>0</v>
      </c>
      <c r="N1735" s="12">
        <f>K1735*J1735</f>
        <v>4797</v>
      </c>
      <c r="O1735" s="12">
        <f>N1735-M1735</f>
        <v>4797</v>
      </c>
      <c r="P1735" s="2" t="s">
        <v>45</v>
      </c>
      <c r="Q1735" s="2" t="s">
        <v>50</v>
      </c>
      <c r="R1735" s="2">
        <v>60</v>
      </c>
      <c r="S1735" s="20">
        <f>Table1[[#This Row],[Net_revenue]]/Table1[[#This Row],[Gross_revenue]]*100%</f>
        <v>1</v>
      </c>
      <c r="T1735" s="18">
        <f>COUNTIFS(Table1[Customer ID], "&gt;1", Table1[Customer ID], 1)</f>
        <v>0</v>
      </c>
    </row>
    <row r="1736" spans="1:20" hidden="1" x14ac:dyDescent="0.3">
      <c r="A1736" s="2" t="s">
        <v>2441</v>
      </c>
      <c r="B1736" s="5">
        <v>45964</v>
      </c>
      <c r="C1736" s="5" t="str">
        <f>TEXT(B1736,"mmm")</f>
        <v>Nov</v>
      </c>
      <c r="D1736" s="2" t="s">
        <v>492</v>
      </c>
      <c r="E1736" s="2" t="s">
        <v>75</v>
      </c>
      <c r="F1736" s="2" t="str" cm="1">
        <f t="array" ref="F17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736" s="2" t="str" cm="1">
        <f t="array" ref="G17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36" s="2" t="s">
        <v>44</v>
      </c>
      <c r="I1736" s="2" t="s">
        <v>16</v>
      </c>
      <c r="J1736" s="2">
        <v>1</v>
      </c>
      <c r="K1736" s="8">
        <v>1599</v>
      </c>
      <c r="L1736" s="3">
        <v>0</v>
      </c>
      <c r="M1736" s="12">
        <f>K1736*L1736</f>
        <v>0</v>
      </c>
      <c r="N1736" s="12">
        <f>K1736*J1736</f>
        <v>1599</v>
      </c>
      <c r="O1736" s="12">
        <f>N1736-M1736</f>
        <v>1599</v>
      </c>
      <c r="P1736" s="2" t="s">
        <v>17</v>
      </c>
      <c r="Q1736" s="2" t="s">
        <v>18</v>
      </c>
      <c r="R1736" s="2">
        <v>40</v>
      </c>
      <c r="S1736" s="20">
        <f>Table1[[#This Row],[Net_revenue]]/Table1[[#This Row],[Gross_revenue]]*100%</f>
        <v>1</v>
      </c>
      <c r="T1736" s="18">
        <f>COUNTIFS(Table1[Customer ID], "&gt;1", Table1[Customer ID], 1)</f>
        <v>0</v>
      </c>
    </row>
    <row r="1737" spans="1:20" hidden="1" x14ac:dyDescent="0.3">
      <c r="A1737" s="2" t="s">
        <v>2442</v>
      </c>
      <c r="B1737" s="5">
        <v>45681</v>
      </c>
      <c r="C1737" s="5" t="str">
        <f>TEXT(B1737,"mmm")</f>
        <v>Jan</v>
      </c>
      <c r="D1737" s="2" t="s">
        <v>1825</v>
      </c>
      <c r="E1737" s="2" t="s">
        <v>195</v>
      </c>
      <c r="F1737" s="2" t="str" cm="1">
        <f t="array" ref="F17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37" s="2" t="str" cm="1">
        <f t="array" ref="G17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37" s="2" t="s">
        <v>65</v>
      </c>
      <c r="I1737" s="2" t="s">
        <v>23</v>
      </c>
      <c r="J1737" s="2">
        <v>1</v>
      </c>
      <c r="K1737" s="8">
        <v>1899</v>
      </c>
      <c r="L1737" s="3">
        <v>0</v>
      </c>
      <c r="M1737" s="12">
        <f>K1737*L1737</f>
        <v>0</v>
      </c>
      <c r="N1737" s="12">
        <f>K1737*J1737</f>
        <v>1899</v>
      </c>
      <c r="O1737" s="12">
        <f>N1737-M1737</f>
        <v>1899</v>
      </c>
      <c r="P1737" s="2" t="s">
        <v>24</v>
      </c>
      <c r="Q1737" s="2" t="s">
        <v>18</v>
      </c>
      <c r="R1737" s="2">
        <v>40</v>
      </c>
      <c r="S1737" s="20">
        <f>Table1[[#This Row],[Net_revenue]]/Table1[[#This Row],[Gross_revenue]]*100%</f>
        <v>1</v>
      </c>
      <c r="T1737" s="18">
        <f>COUNTIFS(Table1[Customer ID], "&gt;1", Table1[Customer ID], 1)</f>
        <v>0</v>
      </c>
    </row>
    <row r="1738" spans="1:20" hidden="1" x14ac:dyDescent="0.3">
      <c r="A1738" s="2" t="s">
        <v>2443</v>
      </c>
      <c r="B1738" s="5">
        <v>45928</v>
      </c>
      <c r="C1738" s="5" t="str">
        <f>TEXT(B1738,"mmm")</f>
        <v>Sep</v>
      </c>
      <c r="D1738" s="2" t="s">
        <v>1661</v>
      </c>
      <c r="E1738" s="2" t="s">
        <v>56</v>
      </c>
      <c r="F1738" s="2" t="str" cm="1">
        <f t="array" ref="F17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38" s="2" t="str" cm="1">
        <f t="array" ref="G17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38" s="2" t="s">
        <v>68</v>
      </c>
      <c r="I1738" s="2" t="s">
        <v>16</v>
      </c>
      <c r="J1738" s="2">
        <v>1</v>
      </c>
      <c r="K1738" s="8">
        <v>599</v>
      </c>
      <c r="L1738" s="3">
        <v>0.1</v>
      </c>
      <c r="M1738" s="12">
        <f>K1738*L1738</f>
        <v>59.900000000000006</v>
      </c>
      <c r="N1738" s="12">
        <f>K1738*J1738</f>
        <v>599</v>
      </c>
      <c r="O1738" s="12">
        <f>N1738-M1738</f>
        <v>539.1</v>
      </c>
      <c r="P1738" s="2" t="s">
        <v>45</v>
      </c>
      <c r="Q1738" s="2" t="s">
        <v>18</v>
      </c>
      <c r="R1738" s="2">
        <v>60</v>
      </c>
      <c r="S1738" s="20">
        <f>Table1[[#This Row],[Net_revenue]]/Table1[[#This Row],[Gross_revenue]]*100%</f>
        <v>0.9</v>
      </c>
      <c r="T1738" s="18">
        <f>COUNTIFS(Table1[Customer ID], "&gt;1", Table1[Customer ID], 1)</f>
        <v>0</v>
      </c>
    </row>
    <row r="1739" spans="1:20" hidden="1" x14ac:dyDescent="0.3">
      <c r="A1739" s="2" t="s">
        <v>2444</v>
      </c>
      <c r="B1739" s="5">
        <v>45672</v>
      </c>
      <c r="C1739" s="5" t="str">
        <f>TEXT(B1739,"mmm")</f>
        <v>Jan</v>
      </c>
      <c r="D1739" s="2" t="s">
        <v>255</v>
      </c>
      <c r="E1739" s="2" t="s">
        <v>40</v>
      </c>
      <c r="F1739" s="2" t="str" cm="1">
        <f t="array" ref="F17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39" s="2" t="str" cm="1">
        <f t="array" ref="G17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39" s="2" t="s">
        <v>22</v>
      </c>
      <c r="I1739" s="2" t="s">
        <v>23</v>
      </c>
      <c r="J1739" s="2">
        <v>5</v>
      </c>
      <c r="K1739" s="8">
        <v>3999</v>
      </c>
      <c r="L1739" s="3">
        <v>0.1</v>
      </c>
      <c r="M1739" s="12">
        <f>K1739*L1739</f>
        <v>399.90000000000003</v>
      </c>
      <c r="N1739" s="12">
        <f>K1739*J1739</f>
        <v>19995</v>
      </c>
      <c r="O1739" s="12">
        <f>N1739-M1739</f>
        <v>19595.099999999999</v>
      </c>
      <c r="P1739" s="2" t="s">
        <v>17</v>
      </c>
      <c r="Q1739" s="2" t="s">
        <v>18</v>
      </c>
      <c r="R1739" s="2">
        <v>80</v>
      </c>
      <c r="S1739" s="20">
        <f>Table1[[#This Row],[Net_revenue]]/Table1[[#This Row],[Gross_revenue]]*100%</f>
        <v>0.98</v>
      </c>
      <c r="T1739" s="18">
        <f>COUNTIFS(Table1[Customer ID], "&gt;1", Table1[Customer ID], 1)</f>
        <v>0</v>
      </c>
    </row>
    <row r="1740" spans="1:20" hidden="1" x14ac:dyDescent="0.3">
      <c r="A1740" s="2" t="s">
        <v>2445</v>
      </c>
      <c r="B1740" s="5">
        <v>45670</v>
      </c>
      <c r="C1740" s="5" t="str">
        <f>TEXT(B1740,"mmm")</f>
        <v>Jan</v>
      </c>
      <c r="D1740" s="2" t="s">
        <v>1197</v>
      </c>
      <c r="E1740" s="2" t="s">
        <v>27</v>
      </c>
      <c r="F1740" s="2" t="str" cm="1">
        <f t="array" ref="F17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40" s="2" t="str" cm="1">
        <f t="array" ref="G17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0" s="2" t="s">
        <v>121</v>
      </c>
      <c r="I1740" s="2" t="s">
        <v>95</v>
      </c>
      <c r="J1740" s="2">
        <v>4</v>
      </c>
      <c r="K1740" s="8">
        <v>1299</v>
      </c>
      <c r="L1740" s="3">
        <v>0</v>
      </c>
      <c r="M1740" s="12">
        <f>K1740*L1740</f>
        <v>0</v>
      </c>
      <c r="N1740" s="12">
        <f>K1740*J1740</f>
        <v>5196</v>
      </c>
      <c r="O1740" s="12">
        <f>N1740-M1740</f>
        <v>5196</v>
      </c>
      <c r="P1740" s="2" t="s">
        <v>17</v>
      </c>
      <c r="Q1740" s="2" t="s">
        <v>18</v>
      </c>
      <c r="R1740" s="2">
        <v>40</v>
      </c>
      <c r="S1740" s="20">
        <f>Table1[[#This Row],[Net_revenue]]/Table1[[#This Row],[Gross_revenue]]*100%</f>
        <v>1</v>
      </c>
      <c r="T1740" s="18">
        <f>COUNTIFS(Table1[Customer ID], "&gt;1", Table1[Customer ID], 1)</f>
        <v>0</v>
      </c>
    </row>
    <row r="1741" spans="1:20" hidden="1" x14ac:dyDescent="0.3">
      <c r="A1741" s="2" t="s">
        <v>2446</v>
      </c>
      <c r="B1741" s="5">
        <v>46016</v>
      </c>
      <c r="C1741" s="5" t="str">
        <f>TEXT(B1741,"mmm")</f>
        <v>Dec</v>
      </c>
      <c r="D1741" s="2" t="s">
        <v>1060</v>
      </c>
      <c r="E1741" s="2" t="s">
        <v>48</v>
      </c>
      <c r="F1741" s="2" t="str" cm="1">
        <f t="array" ref="F17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41" s="2" t="str" cm="1">
        <f t="array" ref="G17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1" s="2" t="s">
        <v>94</v>
      </c>
      <c r="I1741" s="2" t="s">
        <v>95</v>
      </c>
      <c r="J1741" s="2">
        <v>1</v>
      </c>
      <c r="K1741" s="8">
        <v>399</v>
      </c>
      <c r="L1741" s="3">
        <v>0.15</v>
      </c>
      <c r="M1741" s="12">
        <f>K1741*L1741</f>
        <v>59.849999999999994</v>
      </c>
      <c r="N1741" s="12">
        <f>K1741*J1741</f>
        <v>399</v>
      </c>
      <c r="O1741" s="12">
        <f>N1741-M1741</f>
        <v>339.15</v>
      </c>
      <c r="P1741" s="2" t="s">
        <v>45</v>
      </c>
      <c r="Q1741" s="2" t="s">
        <v>18</v>
      </c>
      <c r="R1741" s="2">
        <v>60</v>
      </c>
      <c r="S1741" s="20">
        <f>Table1[[#This Row],[Net_revenue]]/Table1[[#This Row],[Gross_revenue]]*100%</f>
        <v>0.85</v>
      </c>
      <c r="T1741" s="18">
        <f>COUNTIFS(Table1[Customer ID], "&gt;1", Table1[Customer ID], 1)</f>
        <v>0</v>
      </c>
    </row>
    <row r="1742" spans="1:20" hidden="1" x14ac:dyDescent="0.3">
      <c r="A1742" s="2" t="s">
        <v>2447</v>
      </c>
      <c r="B1742" s="5">
        <v>45929</v>
      </c>
      <c r="C1742" s="5" t="str">
        <f>TEXT(B1742,"mmm")</f>
        <v>Sep</v>
      </c>
      <c r="D1742" s="2" t="s">
        <v>918</v>
      </c>
      <c r="E1742" s="2" t="s">
        <v>56</v>
      </c>
      <c r="F1742" s="2" t="str" cm="1">
        <f t="array" ref="F17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42" s="2" t="str" cm="1">
        <f t="array" ref="G17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2" s="2" t="s">
        <v>15</v>
      </c>
      <c r="I1742" s="2" t="s">
        <v>16</v>
      </c>
      <c r="J1742" s="2">
        <v>2</v>
      </c>
      <c r="K1742" s="8">
        <v>1799</v>
      </c>
      <c r="L1742" s="3">
        <v>0.1</v>
      </c>
      <c r="M1742" s="12">
        <f>K1742*L1742</f>
        <v>179.9</v>
      </c>
      <c r="N1742" s="12">
        <f>K1742*J1742</f>
        <v>3598</v>
      </c>
      <c r="O1742" s="12">
        <f>N1742-M1742</f>
        <v>3418.1</v>
      </c>
      <c r="P1742" s="2" t="s">
        <v>45</v>
      </c>
      <c r="Q1742" s="2" t="s">
        <v>18</v>
      </c>
      <c r="R1742" s="2">
        <v>40</v>
      </c>
      <c r="S1742" s="20">
        <f>Table1[[#This Row],[Net_revenue]]/Table1[[#This Row],[Gross_revenue]]*100%</f>
        <v>0.95</v>
      </c>
      <c r="T1742" s="18">
        <f>COUNTIFS(Table1[Customer ID], "&gt;1", Table1[Customer ID], 1)</f>
        <v>0</v>
      </c>
    </row>
    <row r="1743" spans="1:20" hidden="1" x14ac:dyDescent="0.3">
      <c r="A1743" s="2" t="s">
        <v>2448</v>
      </c>
      <c r="B1743" s="5">
        <v>45931</v>
      </c>
      <c r="C1743" s="5" t="str">
        <f>TEXT(B1743,"mmm")</f>
        <v>Oct</v>
      </c>
      <c r="D1743" s="2" t="s">
        <v>84</v>
      </c>
      <c r="E1743" s="2" t="s">
        <v>27</v>
      </c>
      <c r="F1743" s="2" t="str" cm="1">
        <f t="array" ref="F17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43" s="2" t="str" cm="1">
        <f t="array" ref="G17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3" s="2" t="s">
        <v>33</v>
      </c>
      <c r="I1743" s="2" t="s">
        <v>16</v>
      </c>
      <c r="J1743" s="2">
        <v>1</v>
      </c>
      <c r="K1743" s="8">
        <v>899</v>
      </c>
      <c r="L1743" s="3">
        <v>0.15</v>
      </c>
      <c r="M1743" s="12">
        <f>K1743*L1743</f>
        <v>134.85</v>
      </c>
      <c r="N1743" s="12">
        <f>K1743*J1743</f>
        <v>899</v>
      </c>
      <c r="O1743" s="12">
        <f>N1743-M1743</f>
        <v>764.15</v>
      </c>
      <c r="P1743" s="2" t="s">
        <v>24</v>
      </c>
      <c r="Q1743" s="2" t="s">
        <v>50</v>
      </c>
      <c r="R1743" s="2">
        <v>60</v>
      </c>
      <c r="S1743" s="20">
        <f>Table1[[#This Row],[Net_revenue]]/Table1[[#This Row],[Gross_revenue]]*100%</f>
        <v>0.85</v>
      </c>
      <c r="T1743" s="18">
        <f>COUNTIFS(Table1[Customer ID], "&gt;1", Table1[Customer ID], 1)</f>
        <v>0</v>
      </c>
    </row>
    <row r="1744" spans="1:20" hidden="1" x14ac:dyDescent="0.3">
      <c r="A1744" s="2" t="s">
        <v>2449</v>
      </c>
      <c r="B1744" s="5">
        <v>45921</v>
      </c>
      <c r="C1744" s="5" t="str">
        <f>TEXT(B1744,"mmm")</f>
        <v>Sep</v>
      </c>
      <c r="D1744" s="2" t="s">
        <v>1391</v>
      </c>
      <c r="E1744" s="2" t="s">
        <v>48</v>
      </c>
      <c r="F1744" s="2" t="str" cm="1">
        <f t="array" ref="F17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44" s="2" t="str" cm="1">
        <f t="array" ref="G17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4" s="2" t="s">
        <v>183</v>
      </c>
      <c r="I1744" s="2" t="s">
        <v>37</v>
      </c>
      <c r="J1744" s="2">
        <v>4</v>
      </c>
      <c r="K1744" s="8">
        <v>499</v>
      </c>
      <c r="L1744" s="3">
        <v>0.1</v>
      </c>
      <c r="M1744" s="12">
        <f>K1744*L1744</f>
        <v>49.900000000000006</v>
      </c>
      <c r="N1744" s="12">
        <f>K1744*J1744</f>
        <v>1996</v>
      </c>
      <c r="O1744" s="12">
        <f>N1744-M1744</f>
        <v>1946.1</v>
      </c>
      <c r="P1744" s="2" t="s">
        <v>45</v>
      </c>
      <c r="Q1744" s="2" t="s">
        <v>18</v>
      </c>
      <c r="R1744" s="2">
        <v>40</v>
      </c>
      <c r="S1744" s="20">
        <f>Table1[[#This Row],[Net_revenue]]/Table1[[#This Row],[Gross_revenue]]*100%</f>
        <v>0.97499999999999998</v>
      </c>
      <c r="T1744" s="18">
        <f>COUNTIFS(Table1[Customer ID], "&gt;1", Table1[Customer ID], 1)</f>
        <v>0</v>
      </c>
    </row>
    <row r="1745" spans="1:20" hidden="1" x14ac:dyDescent="0.3">
      <c r="A1745" s="2" t="s">
        <v>2450</v>
      </c>
      <c r="B1745" s="5">
        <v>45917</v>
      </c>
      <c r="C1745" s="5" t="str">
        <f>TEXT(B1745,"mmm")</f>
        <v>Sep</v>
      </c>
      <c r="D1745" s="2" t="s">
        <v>1445</v>
      </c>
      <c r="E1745" s="2" t="s">
        <v>56</v>
      </c>
      <c r="F1745" s="2" t="str" cm="1">
        <f t="array" ref="F17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45" s="2" t="str" cm="1">
        <f t="array" ref="G17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5" s="2" t="s">
        <v>41</v>
      </c>
      <c r="I1745" s="2" t="s">
        <v>16</v>
      </c>
      <c r="J1745" s="2">
        <v>1</v>
      </c>
      <c r="K1745" s="8">
        <v>2299</v>
      </c>
      <c r="L1745" s="3">
        <v>0.05</v>
      </c>
      <c r="M1745" s="12">
        <f>K1745*L1745</f>
        <v>114.95</v>
      </c>
      <c r="N1745" s="12">
        <f>K1745*J1745</f>
        <v>2299</v>
      </c>
      <c r="O1745" s="12">
        <f>N1745-M1745</f>
        <v>2184.0500000000002</v>
      </c>
      <c r="P1745" s="2" t="s">
        <v>45</v>
      </c>
      <c r="Q1745" s="2" t="s">
        <v>18</v>
      </c>
      <c r="R1745" s="2">
        <v>80</v>
      </c>
      <c r="S1745" s="20">
        <f>Table1[[#This Row],[Net_revenue]]/Table1[[#This Row],[Gross_revenue]]*100%</f>
        <v>0.95000000000000007</v>
      </c>
      <c r="T1745" s="18">
        <f>COUNTIFS(Table1[Customer ID], "&gt;1", Table1[Customer ID], 1)</f>
        <v>0</v>
      </c>
    </row>
    <row r="1746" spans="1:20" hidden="1" x14ac:dyDescent="0.3">
      <c r="A1746" s="2" t="s">
        <v>2451</v>
      </c>
      <c r="B1746" s="5">
        <v>45758</v>
      </c>
      <c r="C1746" s="5" t="str">
        <f>TEXT(B1746,"mmm")</f>
        <v>Apr</v>
      </c>
      <c r="D1746" s="2" t="s">
        <v>440</v>
      </c>
      <c r="E1746" s="2" t="s">
        <v>27</v>
      </c>
      <c r="F1746" s="2" t="str" cm="1">
        <f t="array" ref="F17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46" s="2" t="str" cm="1">
        <f t="array" ref="G17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6" s="2" t="s">
        <v>121</v>
      </c>
      <c r="I1746" s="2" t="s">
        <v>95</v>
      </c>
      <c r="J1746" s="2">
        <v>1</v>
      </c>
      <c r="K1746" s="8">
        <v>1299</v>
      </c>
      <c r="L1746" s="3">
        <v>0</v>
      </c>
      <c r="M1746" s="12">
        <f>K1746*L1746</f>
        <v>0</v>
      </c>
      <c r="N1746" s="12">
        <f>K1746*J1746</f>
        <v>1299</v>
      </c>
      <c r="O1746" s="12">
        <f>N1746-M1746</f>
        <v>1299</v>
      </c>
      <c r="P1746" s="2" t="s">
        <v>30</v>
      </c>
      <c r="Q1746" s="2" t="s">
        <v>18</v>
      </c>
      <c r="R1746" s="2">
        <v>40</v>
      </c>
      <c r="S1746" s="20">
        <f>Table1[[#This Row],[Net_revenue]]/Table1[[#This Row],[Gross_revenue]]*100%</f>
        <v>1</v>
      </c>
      <c r="T1746" s="18">
        <f>COUNTIFS(Table1[Customer ID], "&gt;1", Table1[Customer ID], 1)</f>
        <v>0</v>
      </c>
    </row>
    <row r="1747" spans="1:20" hidden="1" x14ac:dyDescent="0.3">
      <c r="A1747" s="2" t="s">
        <v>2452</v>
      </c>
      <c r="B1747" s="5">
        <v>45699</v>
      </c>
      <c r="C1747" s="5" t="str">
        <f>TEXT(B1747,"mmm")</f>
        <v>Feb</v>
      </c>
      <c r="D1747" s="2" t="s">
        <v>1158</v>
      </c>
      <c r="E1747" s="2" t="s">
        <v>48</v>
      </c>
      <c r="F1747" s="2" t="str" cm="1">
        <f t="array" ref="F17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47" s="2" t="str" cm="1">
        <f t="array" ref="G17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47" s="2" t="s">
        <v>22</v>
      </c>
      <c r="I1747" s="2" t="s">
        <v>23</v>
      </c>
      <c r="J1747" s="2">
        <v>1</v>
      </c>
      <c r="K1747" s="8">
        <v>3999</v>
      </c>
      <c r="L1747" s="3">
        <v>0.05</v>
      </c>
      <c r="M1747" s="12">
        <f>K1747*L1747</f>
        <v>199.95000000000002</v>
      </c>
      <c r="N1747" s="12">
        <f>K1747*J1747</f>
        <v>3999</v>
      </c>
      <c r="O1747" s="12">
        <f>N1747-M1747</f>
        <v>3799.05</v>
      </c>
      <c r="P1747" s="2" t="s">
        <v>45</v>
      </c>
      <c r="Q1747" s="2" t="s">
        <v>72</v>
      </c>
      <c r="R1747" s="2">
        <v>60</v>
      </c>
      <c r="S1747" s="20">
        <f>Table1[[#This Row],[Net_revenue]]/Table1[[#This Row],[Gross_revenue]]*100%</f>
        <v>0.95000000000000007</v>
      </c>
      <c r="T1747" s="18">
        <f>COUNTIFS(Table1[Customer ID], "&gt;1", Table1[Customer ID], 1)</f>
        <v>0</v>
      </c>
    </row>
    <row r="1748" spans="1:20" hidden="1" x14ac:dyDescent="0.3">
      <c r="A1748" s="2" t="s">
        <v>2453</v>
      </c>
      <c r="B1748" s="5">
        <v>45707</v>
      </c>
      <c r="C1748" s="5" t="str">
        <f>TEXT(B1748,"mmm")</f>
        <v>Feb</v>
      </c>
      <c r="D1748" s="2" t="s">
        <v>773</v>
      </c>
      <c r="E1748" s="2" t="s">
        <v>120</v>
      </c>
      <c r="F1748" s="2" t="str" cm="1">
        <f t="array" ref="F17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48" s="2" t="str" cm="1">
        <f t="array" ref="G17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48" s="2" t="s">
        <v>121</v>
      </c>
      <c r="I1748" s="2" t="s">
        <v>95</v>
      </c>
      <c r="J1748" s="2">
        <v>2</v>
      </c>
      <c r="K1748" s="8">
        <v>1299</v>
      </c>
      <c r="L1748" s="3">
        <v>0</v>
      </c>
      <c r="M1748" s="12">
        <f>K1748*L1748</f>
        <v>0</v>
      </c>
      <c r="N1748" s="12">
        <f>K1748*J1748</f>
        <v>2598</v>
      </c>
      <c r="O1748" s="12">
        <f>N1748-M1748</f>
        <v>2598</v>
      </c>
      <c r="P1748" s="2" t="s">
        <v>30</v>
      </c>
      <c r="Q1748" s="2" t="s">
        <v>18</v>
      </c>
      <c r="R1748" s="2">
        <v>80</v>
      </c>
      <c r="S1748" s="20">
        <f>Table1[[#This Row],[Net_revenue]]/Table1[[#This Row],[Gross_revenue]]*100%</f>
        <v>1</v>
      </c>
      <c r="T1748" s="18">
        <f>COUNTIFS(Table1[Customer ID], "&gt;1", Table1[Customer ID], 1)</f>
        <v>0</v>
      </c>
    </row>
    <row r="1749" spans="1:20" hidden="1" x14ac:dyDescent="0.3">
      <c r="A1749" s="2" t="s">
        <v>2454</v>
      </c>
      <c r="B1749" s="5">
        <v>45743</v>
      </c>
      <c r="C1749" s="5" t="str">
        <f>TEXT(B1749,"mmm")</f>
        <v>Mar</v>
      </c>
      <c r="D1749" s="2" t="s">
        <v>2455</v>
      </c>
      <c r="E1749" s="2" t="s">
        <v>14</v>
      </c>
      <c r="F1749" s="2" t="str" cm="1">
        <f t="array" ref="F17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749" s="2" t="str" cm="1">
        <f t="array" ref="G17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749" s="2" t="s">
        <v>134</v>
      </c>
      <c r="I1749" s="2" t="s">
        <v>29</v>
      </c>
      <c r="J1749" s="2">
        <v>2</v>
      </c>
      <c r="K1749" s="8">
        <v>1499</v>
      </c>
      <c r="L1749" s="3">
        <v>0</v>
      </c>
      <c r="M1749" s="12">
        <f>K1749*L1749</f>
        <v>0</v>
      </c>
      <c r="N1749" s="12">
        <f>K1749*J1749</f>
        <v>2998</v>
      </c>
      <c r="O1749" s="12">
        <f>N1749-M1749</f>
        <v>2998</v>
      </c>
      <c r="P1749" s="2" t="s">
        <v>30</v>
      </c>
      <c r="Q1749" s="2" t="s">
        <v>18</v>
      </c>
      <c r="R1749" s="2">
        <v>40</v>
      </c>
      <c r="S1749" s="20">
        <f>Table1[[#This Row],[Net_revenue]]/Table1[[#This Row],[Gross_revenue]]*100%</f>
        <v>1</v>
      </c>
      <c r="T1749" s="18">
        <f>COUNTIFS(Table1[Customer ID], "&gt;1", Table1[Customer ID], 1)</f>
        <v>0</v>
      </c>
    </row>
    <row r="1750" spans="1:20" hidden="1" x14ac:dyDescent="0.3">
      <c r="A1750" s="2" t="s">
        <v>2456</v>
      </c>
      <c r="B1750" s="5">
        <v>45867</v>
      </c>
      <c r="C1750" s="5" t="str">
        <f>TEXT(B1750,"mmm")</f>
        <v>Jul</v>
      </c>
      <c r="D1750" s="2" t="s">
        <v>974</v>
      </c>
      <c r="E1750" s="2" t="s">
        <v>21</v>
      </c>
      <c r="F1750" s="2" t="str" cm="1">
        <f t="array" ref="F17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50" s="2" t="str" cm="1">
        <f t="array" ref="G17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50" s="2" t="s">
        <v>22</v>
      </c>
      <c r="I1750" s="2" t="s">
        <v>23</v>
      </c>
      <c r="J1750" s="2">
        <v>3</v>
      </c>
      <c r="K1750" s="8">
        <v>3999</v>
      </c>
      <c r="L1750" s="3">
        <v>0.05</v>
      </c>
      <c r="M1750" s="12">
        <f>K1750*L1750</f>
        <v>199.95000000000002</v>
      </c>
      <c r="N1750" s="12">
        <f>K1750*J1750</f>
        <v>11997</v>
      </c>
      <c r="O1750" s="12">
        <f>N1750-M1750</f>
        <v>11797.05</v>
      </c>
      <c r="P1750" s="2" t="s">
        <v>17</v>
      </c>
      <c r="Q1750" s="2" t="s">
        <v>18</v>
      </c>
      <c r="R1750" s="2">
        <v>60</v>
      </c>
      <c r="S1750" s="20">
        <f>Table1[[#This Row],[Net_revenue]]/Table1[[#This Row],[Gross_revenue]]*100%</f>
        <v>0.98333333333333328</v>
      </c>
      <c r="T1750" s="18">
        <f>COUNTIFS(Table1[Customer ID], "&gt;1", Table1[Customer ID], 1)</f>
        <v>0</v>
      </c>
    </row>
    <row r="1751" spans="1:20" hidden="1" x14ac:dyDescent="0.3">
      <c r="A1751" s="2" t="s">
        <v>2457</v>
      </c>
      <c r="B1751" s="5">
        <v>45683</v>
      </c>
      <c r="C1751" s="5" t="str">
        <f>TEXT(B1751,"mmm")</f>
        <v>Jan</v>
      </c>
      <c r="D1751" s="2" t="s">
        <v>1105</v>
      </c>
      <c r="E1751" s="2" t="s">
        <v>56</v>
      </c>
      <c r="F1751" s="2" t="str" cm="1">
        <f t="array" ref="F17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51" s="2" t="str" cm="1">
        <f t="array" ref="G17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51" s="2" t="s">
        <v>117</v>
      </c>
      <c r="I1751" s="2" t="s">
        <v>23</v>
      </c>
      <c r="J1751" s="2">
        <v>1</v>
      </c>
      <c r="K1751" s="8">
        <v>2199</v>
      </c>
      <c r="L1751" s="3">
        <v>0.05</v>
      </c>
      <c r="M1751" s="12">
        <f>K1751*L1751</f>
        <v>109.95</v>
      </c>
      <c r="N1751" s="12">
        <f>K1751*J1751</f>
        <v>2199</v>
      </c>
      <c r="O1751" s="12">
        <f>N1751-M1751</f>
        <v>2089.0500000000002</v>
      </c>
      <c r="P1751" s="2" t="s">
        <v>24</v>
      </c>
      <c r="Q1751" s="2" t="s">
        <v>18</v>
      </c>
      <c r="R1751" s="2">
        <v>40</v>
      </c>
      <c r="S1751" s="20">
        <f>Table1[[#This Row],[Net_revenue]]/Table1[[#This Row],[Gross_revenue]]*100%</f>
        <v>0.95000000000000007</v>
      </c>
      <c r="T1751" s="18">
        <f>COUNTIFS(Table1[Customer ID], "&gt;1", Table1[Customer ID], 1)</f>
        <v>0</v>
      </c>
    </row>
    <row r="1752" spans="1:20" hidden="1" x14ac:dyDescent="0.3">
      <c r="A1752" s="2" t="s">
        <v>2458</v>
      </c>
      <c r="B1752" s="5">
        <v>45890</v>
      </c>
      <c r="C1752" s="5" t="str">
        <f>TEXT(B1752,"mmm")</f>
        <v>Aug</v>
      </c>
      <c r="D1752" s="2" t="s">
        <v>955</v>
      </c>
      <c r="E1752" s="2" t="s">
        <v>21</v>
      </c>
      <c r="F1752" s="2" t="str" cm="1">
        <f t="array" ref="F17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52" s="2" t="str" cm="1">
        <f t="array" ref="G17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52" s="2" t="s">
        <v>63</v>
      </c>
      <c r="I1752" s="2" t="s">
        <v>23</v>
      </c>
      <c r="J1752" s="2">
        <v>2</v>
      </c>
      <c r="K1752" s="8">
        <v>2499</v>
      </c>
      <c r="L1752" s="3">
        <v>0.05</v>
      </c>
      <c r="M1752" s="12">
        <f>K1752*L1752</f>
        <v>124.95</v>
      </c>
      <c r="N1752" s="12">
        <f>K1752*J1752</f>
        <v>4998</v>
      </c>
      <c r="O1752" s="12">
        <f>N1752-M1752</f>
        <v>4873.05</v>
      </c>
      <c r="P1752" s="2" t="s">
        <v>24</v>
      </c>
      <c r="Q1752" s="2" t="s">
        <v>18</v>
      </c>
      <c r="R1752" s="2">
        <v>40</v>
      </c>
      <c r="S1752" s="20">
        <f>Table1[[#This Row],[Net_revenue]]/Table1[[#This Row],[Gross_revenue]]*100%</f>
        <v>0.97500000000000009</v>
      </c>
      <c r="T1752" s="18">
        <f>COUNTIFS(Table1[Customer ID], "&gt;1", Table1[Customer ID], 1)</f>
        <v>0</v>
      </c>
    </row>
    <row r="1753" spans="1:20" hidden="1" x14ac:dyDescent="0.3">
      <c r="A1753" s="2" t="s">
        <v>2459</v>
      </c>
      <c r="B1753" s="5">
        <v>45976</v>
      </c>
      <c r="C1753" s="5" t="str">
        <f>TEXT(B1753,"mmm")</f>
        <v>Nov</v>
      </c>
      <c r="D1753" s="2" t="s">
        <v>315</v>
      </c>
      <c r="E1753" s="2" t="s">
        <v>27</v>
      </c>
      <c r="F1753" s="2" t="str" cm="1">
        <f t="array" ref="F17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53" s="2" t="str" cm="1">
        <f t="array" ref="G17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53" s="2" t="s">
        <v>183</v>
      </c>
      <c r="I1753" s="2" t="s">
        <v>37</v>
      </c>
      <c r="J1753" s="2">
        <v>2</v>
      </c>
      <c r="K1753" s="8">
        <v>499</v>
      </c>
      <c r="L1753" s="3">
        <v>0.1</v>
      </c>
      <c r="M1753" s="12">
        <f>K1753*L1753</f>
        <v>49.900000000000006</v>
      </c>
      <c r="N1753" s="12">
        <f>K1753*J1753</f>
        <v>998</v>
      </c>
      <c r="O1753" s="12">
        <f>N1753-M1753</f>
        <v>948.1</v>
      </c>
      <c r="P1753" s="2" t="s">
        <v>17</v>
      </c>
      <c r="Q1753" s="2" t="s">
        <v>18</v>
      </c>
      <c r="R1753" s="2">
        <v>60</v>
      </c>
      <c r="S1753" s="20">
        <f>Table1[[#This Row],[Net_revenue]]/Table1[[#This Row],[Gross_revenue]]*100%</f>
        <v>0.95000000000000007</v>
      </c>
      <c r="T1753" s="18">
        <f>COUNTIFS(Table1[Customer ID], "&gt;1", Table1[Customer ID], 1)</f>
        <v>0</v>
      </c>
    </row>
    <row r="1754" spans="1:20" hidden="1" x14ac:dyDescent="0.3">
      <c r="A1754" s="2" t="s">
        <v>2460</v>
      </c>
      <c r="B1754" s="5">
        <v>45774</v>
      </c>
      <c r="C1754" s="5" t="str">
        <f>TEXT(B1754,"mmm")</f>
        <v>Apr</v>
      </c>
      <c r="D1754" s="2" t="s">
        <v>13</v>
      </c>
      <c r="E1754" s="2" t="s">
        <v>195</v>
      </c>
      <c r="F1754" s="2" t="str" cm="1">
        <f t="array" ref="F17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54" s="2" t="str" cm="1">
        <f t="array" ref="G17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54" s="2" t="s">
        <v>94</v>
      </c>
      <c r="I1754" s="2" t="s">
        <v>95</v>
      </c>
      <c r="J1754" s="2">
        <v>2</v>
      </c>
      <c r="K1754" s="8">
        <v>399</v>
      </c>
      <c r="L1754" s="3">
        <v>0</v>
      </c>
      <c r="M1754" s="12">
        <f>K1754*L1754</f>
        <v>0</v>
      </c>
      <c r="N1754" s="12">
        <f>K1754*J1754</f>
        <v>798</v>
      </c>
      <c r="O1754" s="12">
        <f>N1754-M1754</f>
        <v>798</v>
      </c>
      <c r="P1754" s="2" t="s">
        <v>24</v>
      </c>
      <c r="Q1754" s="2" t="s">
        <v>18</v>
      </c>
      <c r="R1754" s="2">
        <v>40</v>
      </c>
      <c r="S1754" s="20">
        <f>Table1[[#This Row],[Net_revenue]]/Table1[[#This Row],[Gross_revenue]]*100%</f>
        <v>1</v>
      </c>
      <c r="T1754" s="18">
        <f>COUNTIFS(Table1[Customer ID], "&gt;1", Table1[Customer ID], 1)</f>
        <v>0</v>
      </c>
    </row>
    <row r="1755" spans="1:20" hidden="1" x14ac:dyDescent="0.3">
      <c r="A1755" s="2" t="s">
        <v>2461</v>
      </c>
      <c r="B1755" s="5">
        <v>45787</v>
      </c>
      <c r="C1755" s="5" t="str">
        <f>TEXT(B1755,"mmm")</f>
        <v>May</v>
      </c>
      <c r="D1755" s="2" t="s">
        <v>1125</v>
      </c>
      <c r="E1755" s="2" t="s">
        <v>120</v>
      </c>
      <c r="F1755" s="2" t="str" cm="1">
        <f t="array" ref="F17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55" s="2" t="str" cm="1">
        <f t="array" ref="G17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55" s="2" t="s">
        <v>134</v>
      </c>
      <c r="I1755" s="2" t="s">
        <v>29</v>
      </c>
      <c r="J1755" s="2">
        <v>1</v>
      </c>
      <c r="K1755" s="8">
        <v>1499</v>
      </c>
      <c r="L1755" s="3">
        <v>0</v>
      </c>
      <c r="M1755" s="12">
        <f>K1755*L1755</f>
        <v>0</v>
      </c>
      <c r="N1755" s="12">
        <f>K1755*J1755</f>
        <v>1499</v>
      </c>
      <c r="O1755" s="12">
        <f>N1755-M1755</f>
        <v>1499</v>
      </c>
      <c r="P1755" s="2" t="s">
        <v>45</v>
      </c>
      <c r="Q1755" s="2" t="s">
        <v>72</v>
      </c>
      <c r="R1755" s="2">
        <v>60</v>
      </c>
      <c r="S1755" s="20">
        <f>Table1[[#This Row],[Net_revenue]]/Table1[[#This Row],[Gross_revenue]]*100%</f>
        <v>1</v>
      </c>
      <c r="T1755" s="18">
        <f>COUNTIFS(Table1[Customer ID], "&gt;1", Table1[Customer ID], 1)</f>
        <v>0</v>
      </c>
    </row>
    <row r="1756" spans="1:20" hidden="1" x14ac:dyDescent="0.3">
      <c r="A1756" s="2" t="s">
        <v>2462</v>
      </c>
      <c r="B1756" s="5">
        <v>45796</v>
      </c>
      <c r="C1756" s="5" t="str">
        <f>TEXT(B1756,"mmm")</f>
        <v>May</v>
      </c>
      <c r="D1756" s="2" t="s">
        <v>2201</v>
      </c>
      <c r="E1756" s="2" t="s">
        <v>48</v>
      </c>
      <c r="F1756" s="2" t="str" cm="1">
        <f t="array" ref="F17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56" s="2" t="str" cm="1">
        <f t="array" ref="G17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56" s="2" t="s">
        <v>121</v>
      </c>
      <c r="I1756" s="2" t="s">
        <v>95</v>
      </c>
      <c r="J1756" s="2">
        <v>1</v>
      </c>
      <c r="K1756" s="8">
        <v>1299</v>
      </c>
      <c r="L1756" s="3">
        <v>0.05</v>
      </c>
      <c r="M1756" s="12">
        <f>K1756*L1756</f>
        <v>64.95</v>
      </c>
      <c r="N1756" s="12">
        <f>K1756*J1756</f>
        <v>1299</v>
      </c>
      <c r="O1756" s="12">
        <f>N1756-M1756</f>
        <v>1234.05</v>
      </c>
      <c r="P1756" s="2" t="s">
        <v>45</v>
      </c>
      <c r="Q1756" s="2" t="s">
        <v>18</v>
      </c>
      <c r="R1756" s="2">
        <v>40</v>
      </c>
      <c r="S1756" s="20">
        <f>Table1[[#This Row],[Net_revenue]]/Table1[[#This Row],[Gross_revenue]]*100%</f>
        <v>0.95</v>
      </c>
      <c r="T1756" s="18">
        <f>COUNTIFS(Table1[Customer ID], "&gt;1", Table1[Customer ID], 1)</f>
        <v>0</v>
      </c>
    </row>
    <row r="1757" spans="1:20" hidden="1" x14ac:dyDescent="0.3">
      <c r="A1757" s="2" t="s">
        <v>2463</v>
      </c>
      <c r="B1757" s="5">
        <v>45718</v>
      </c>
      <c r="C1757" s="5" t="str">
        <f>TEXT(B1757,"mmm")</f>
        <v>Mar</v>
      </c>
      <c r="D1757" s="2" t="s">
        <v>940</v>
      </c>
      <c r="E1757" s="2" t="s">
        <v>56</v>
      </c>
      <c r="F1757" s="2" t="str" cm="1">
        <f t="array" ref="F17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57" s="2" t="str" cm="1">
        <f t="array" ref="G17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57" s="2" t="s">
        <v>41</v>
      </c>
      <c r="I1757" s="2" t="s">
        <v>16</v>
      </c>
      <c r="J1757" s="2">
        <v>3</v>
      </c>
      <c r="K1757" s="8">
        <v>2299</v>
      </c>
      <c r="L1757" s="3">
        <v>0.1</v>
      </c>
      <c r="M1757" s="12">
        <f>K1757*L1757</f>
        <v>229.9</v>
      </c>
      <c r="N1757" s="12">
        <f>K1757*J1757</f>
        <v>6897</v>
      </c>
      <c r="O1757" s="12">
        <f>N1757-M1757</f>
        <v>6667.1</v>
      </c>
      <c r="P1757" s="2" t="s">
        <v>45</v>
      </c>
      <c r="Q1757" s="2" t="s">
        <v>50</v>
      </c>
      <c r="R1757" s="2">
        <v>80</v>
      </c>
      <c r="S1757" s="20">
        <f>Table1[[#This Row],[Net_revenue]]/Table1[[#This Row],[Gross_revenue]]*100%</f>
        <v>0.96666666666666667</v>
      </c>
      <c r="T1757" s="18">
        <f>COUNTIFS(Table1[Customer ID], "&gt;1", Table1[Customer ID], 1)</f>
        <v>0</v>
      </c>
    </row>
    <row r="1758" spans="1:20" hidden="1" x14ac:dyDescent="0.3">
      <c r="A1758" s="2" t="s">
        <v>2464</v>
      </c>
      <c r="B1758" s="5">
        <v>45658</v>
      </c>
      <c r="C1758" s="5" t="str">
        <f>TEXT(B1758,"mmm")</f>
        <v>Jan</v>
      </c>
      <c r="D1758" s="2" t="s">
        <v>1771</v>
      </c>
      <c r="E1758" s="2" t="s">
        <v>48</v>
      </c>
      <c r="F1758" s="2" t="str" cm="1">
        <f t="array" ref="F17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58" s="2" t="str" cm="1">
        <f t="array" ref="G17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58" s="2" t="s">
        <v>22</v>
      </c>
      <c r="I1758" s="2" t="s">
        <v>23</v>
      </c>
      <c r="J1758" s="2">
        <v>1</v>
      </c>
      <c r="K1758" s="8">
        <v>3999</v>
      </c>
      <c r="L1758" s="3">
        <v>0</v>
      </c>
      <c r="M1758" s="12">
        <f>K1758*L1758</f>
        <v>0</v>
      </c>
      <c r="N1758" s="12">
        <f>K1758*J1758</f>
        <v>3999</v>
      </c>
      <c r="O1758" s="12">
        <f>N1758-M1758</f>
        <v>3999</v>
      </c>
      <c r="P1758" s="2" t="s">
        <v>17</v>
      </c>
      <c r="Q1758" s="2" t="s">
        <v>18</v>
      </c>
      <c r="R1758" s="2">
        <v>60</v>
      </c>
      <c r="S1758" s="20">
        <f>Table1[[#This Row],[Net_revenue]]/Table1[[#This Row],[Gross_revenue]]*100%</f>
        <v>1</v>
      </c>
      <c r="T1758" s="18">
        <f>COUNTIFS(Table1[Customer ID], "&gt;1", Table1[Customer ID], 1)</f>
        <v>0</v>
      </c>
    </row>
    <row r="1759" spans="1:20" hidden="1" x14ac:dyDescent="0.3">
      <c r="A1759" s="2" t="s">
        <v>2465</v>
      </c>
      <c r="B1759" s="5">
        <v>45970</v>
      </c>
      <c r="C1759" s="5" t="str">
        <f>TEXT(B1759,"mmm")</f>
        <v>Nov</v>
      </c>
      <c r="D1759" s="2" t="s">
        <v>562</v>
      </c>
      <c r="E1759" s="2" t="s">
        <v>14</v>
      </c>
      <c r="F1759" s="2" t="str" cm="1">
        <f t="array" ref="F17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759" s="2" t="str" cm="1">
        <f t="array" ref="G17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759" s="2" t="s">
        <v>49</v>
      </c>
      <c r="I1759" s="2" t="s">
        <v>23</v>
      </c>
      <c r="J1759" s="2">
        <v>4</v>
      </c>
      <c r="K1759" s="8">
        <v>1299</v>
      </c>
      <c r="L1759" s="3">
        <v>0.2</v>
      </c>
      <c r="M1759" s="12">
        <f>K1759*L1759</f>
        <v>259.8</v>
      </c>
      <c r="N1759" s="12">
        <f>K1759*J1759</f>
        <v>5196</v>
      </c>
      <c r="O1759" s="12">
        <f>N1759-M1759</f>
        <v>4936.2</v>
      </c>
      <c r="P1759" s="2" t="s">
        <v>45</v>
      </c>
      <c r="Q1759" s="2" t="s">
        <v>18</v>
      </c>
      <c r="R1759" s="2">
        <v>0</v>
      </c>
      <c r="S1759" s="20">
        <f>Table1[[#This Row],[Net_revenue]]/Table1[[#This Row],[Gross_revenue]]*100%</f>
        <v>0.95</v>
      </c>
      <c r="T1759" s="18">
        <f>COUNTIFS(Table1[Customer ID], "&gt;1", Table1[Customer ID], 1)</f>
        <v>0</v>
      </c>
    </row>
    <row r="1760" spans="1:20" hidden="1" x14ac:dyDescent="0.3">
      <c r="A1760" s="2" t="s">
        <v>2466</v>
      </c>
      <c r="B1760" s="5">
        <v>45764</v>
      </c>
      <c r="C1760" s="5" t="str">
        <f>TEXT(B1760,"mmm")</f>
        <v>Apr</v>
      </c>
      <c r="D1760" s="2" t="s">
        <v>1097</v>
      </c>
      <c r="E1760" s="2" t="s">
        <v>48</v>
      </c>
      <c r="F1760" s="2" t="str" cm="1">
        <f t="array" ref="F17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60" s="2" t="str" cm="1">
        <f t="array" ref="G17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60" s="2" t="s">
        <v>41</v>
      </c>
      <c r="I1760" s="2" t="s">
        <v>16</v>
      </c>
      <c r="J1760" s="2">
        <v>1</v>
      </c>
      <c r="K1760" s="8">
        <v>2299</v>
      </c>
      <c r="L1760" s="3">
        <v>0.1</v>
      </c>
      <c r="M1760" s="12">
        <f>K1760*L1760</f>
        <v>229.9</v>
      </c>
      <c r="N1760" s="12">
        <f>K1760*J1760</f>
        <v>2299</v>
      </c>
      <c r="O1760" s="12">
        <f>N1760-M1760</f>
        <v>2069.1</v>
      </c>
      <c r="P1760" s="2" t="s">
        <v>24</v>
      </c>
      <c r="Q1760" s="2" t="s">
        <v>18</v>
      </c>
      <c r="R1760" s="2">
        <v>40</v>
      </c>
      <c r="S1760" s="20">
        <f>Table1[[#This Row],[Net_revenue]]/Table1[[#This Row],[Gross_revenue]]*100%</f>
        <v>0.89999999999999991</v>
      </c>
      <c r="T1760" s="18">
        <f>COUNTIFS(Table1[Customer ID], "&gt;1", Table1[Customer ID], 1)</f>
        <v>0</v>
      </c>
    </row>
    <row r="1761" spans="1:20" hidden="1" x14ac:dyDescent="0.3">
      <c r="A1761" s="2" t="s">
        <v>2467</v>
      </c>
      <c r="B1761" s="5">
        <v>45748</v>
      </c>
      <c r="C1761" s="5" t="str">
        <f>TEXT(B1761,"mmm")</f>
        <v>Apr</v>
      </c>
      <c r="D1761" s="2" t="s">
        <v>1767</v>
      </c>
      <c r="E1761" s="2" t="s">
        <v>120</v>
      </c>
      <c r="F1761" s="2" t="str" cm="1">
        <f t="array" ref="F17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61" s="2" t="str" cm="1">
        <f t="array" ref="G17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61" s="2" t="s">
        <v>217</v>
      </c>
      <c r="I1761" s="2" t="s">
        <v>29</v>
      </c>
      <c r="J1761" s="2">
        <v>2</v>
      </c>
      <c r="K1761" s="8">
        <v>3299</v>
      </c>
      <c r="L1761" s="3">
        <v>0.25</v>
      </c>
      <c r="M1761" s="12">
        <f>K1761*L1761</f>
        <v>824.75</v>
      </c>
      <c r="N1761" s="12">
        <f>K1761*J1761</f>
        <v>6598</v>
      </c>
      <c r="O1761" s="12">
        <f>N1761-M1761</f>
        <v>5773.25</v>
      </c>
      <c r="P1761" s="2" t="s">
        <v>17</v>
      </c>
      <c r="Q1761" s="2" t="s">
        <v>18</v>
      </c>
      <c r="R1761" s="2">
        <v>40</v>
      </c>
      <c r="S1761" s="20">
        <f>Table1[[#This Row],[Net_revenue]]/Table1[[#This Row],[Gross_revenue]]*100%</f>
        <v>0.875</v>
      </c>
      <c r="T1761" s="18">
        <f>COUNTIFS(Table1[Customer ID], "&gt;1", Table1[Customer ID], 1)</f>
        <v>0</v>
      </c>
    </row>
    <row r="1762" spans="1:20" hidden="1" x14ac:dyDescent="0.3">
      <c r="A1762" s="2" t="s">
        <v>2468</v>
      </c>
      <c r="B1762" s="5">
        <v>45793</v>
      </c>
      <c r="C1762" s="5" t="str">
        <f>TEXT(B1762,"mmm")</f>
        <v>May</v>
      </c>
      <c r="D1762" s="2" t="s">
        <v>513</v>
      </c>
      <c r="E1762" s="2" t="s">
        <v>120</v>
      </c>
      <c r="F1762" s="2" t="str" cm="1">
        <f t="array" ref="F17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62" s="2" t="str" cm="1">
        <f t="array" ref="G17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62" s="2" t="s">
        <v>94</v>
      </c>
      <c r="I1762" s="2" t="s">
        <v>95</v>
      </c>
      <c r="J1762" s="2">
        <v>1</v>
      </c>
      <c r="K1762" s="8">
        <v>399</v>
      </c>
      <c r="L1762" s="3">
        <v>0</v>
      </c>
      <c r="M1762" s="12">
        <f>K1762*L1762</f>
        <v>0</v>
      </c>
      <c r="N1762" s="12">
        <f>K1762*J1762</f>
        <v>399</v>
      </c>
      <c r="O1762" s="12">
        <f>N1762-M1762</f>
        <v>399</v>
      </c>
      <c r="P1762" s="2" t="s">
        <v>45</v>
      </c>
      <c r="Q1762" s="2" t="s">
        <v>18</v>
      </c>
      <c r="R1762" s="2">
        <v>80</v>
      </c>
      <c r="S1762" s="20">
        <f>Table1[[#This Row],[Net_revenue]]/Table1[[#This Row],[Gross_revenue]]*100%</f>
        <v>1</v>
      </c>
      <c r="T1762" s="18">
        <f>COUNTIFS(Table1[Customer ID], "&gt;1", Table1[Customer ID], 1)</f>
        <v>0</v>
      </c>
    </row>
    <row r="1763" spans="1:20" hidden="1" x14ac:dyDescent="0.3">
      <c r="A1763" s="2" t="s">
        <v>2469</v>
      </c>
      <c r="B1763" s="5">
        <v>45733</v>
      </c>
      <c r="C1763" s="5" t="str">
        <f>TEXT(B1763,"mmm")</f>
        <v>Mar</v>
      </c>
      <c r="D1763" s="2" t="s">
        <v>752</v>
      </c>
      <c r="E1763" s="2" t="s">
        <v>195</v>
      </c>
      <c r="F1763" s="2" t="str" cm="1">
        <f t="array" ref="F17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63" s="2" t="str" cm="1">
        <f t="array" ref="G17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63" s="2" t="s">
        <v>89</v>
      </c>
      <c r="I1763" s="2" t="s">
        <v>29</v>
      </c>
      <c r="J1763" s="2">
        <v>2</v>
      </c>
      <c r="K1763" s="8">
        <v>449</v>
      </c>
      <c r="L1763" s="3">
        <v>0.05</v>
      </c>
      <c r="M1763" s="12">
        <f>K1763*L1763</f>
        <v>22.450000000000003</v>
      </c>
      <c r="N1763" s="12">
        <f>K1763*J1763</f>
        <v>898</v>
      </c>
      <c r="O1763" s="12">
        <f>N1763-M1763</f>
        <v>875.55</v>
      </c>
      <c r="P1763" s="2" t="s">
        <v>45</v>
      </c>
      <c r="Q1763" s="2" t="s">
        <v>18</v>
      </c>
      <c r="R1763" s="2">
        <v>0</v>
      </c>
      <c r="S1763" s="20">
        <f>Table1[[#This Row],[Net_revenue]]/Table1[[#This Row],[Gross_revenue]]*100%</f>
        <v>0.97499999999999998</v>
      </c>
      <c r="T1763" s="18">
        <f>COUNTIFS(Table1[Customer ID], "&gt;1", Table1[Customer ID], 1)</f>
        <v>0</v>
      </c>
    </row>
    <row r="1764" spans="1:20" hidden="1" x14ac:dyDescent="0.3">
      <c r="A1764" s="2" t="s">
        <v>2470</v>
      </c>
      <c r="B1764" s="5">
        <v>45912</v>
      </c>
      <c r="C1764" s="5" t="str">
        <f>TEXT(B1764,"mmm")</f>
        <v>Sep</v>
      </c>
      <c r="D1764" s="2" t="s">
        <v>86</v>
      </c>
      <c r="E1764" s="2" t="s">
        <v>120</v>
      </c>
      <c r="F1764" s="2" t="str" cm="1">
        <f t="array" ref="F17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64" s="2" t="str" cm="1">
        <f t="array" ref="G17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64" s="2" t="s">
        <v>22</v>
      </c>
      <c r="I1764" s="2" t="s">
        <v>23</v>
      </c>
      <c r="J1764" s="2">
        <v>1</v>
      </c>
      <c r="K1764" s="8">
        <v>3999</v>
      </c>
      <c r="L1764" s="3">
        <v>0.25</v>
      </c>
      <c r="M1764" s="12">
        <f>K1764*L1764</f>
        <v>999.75</v>
      </c>
      <c r="N1764" s="12">
        <f>K1764*J1764</f>
        <v>3999</v>
      </c>
      <c r="O1764" s="12">
        <f>N1764-M1764</f>
        <v>2999.25</v>
      </c>
      <c r="P1764" s="2" t="s">
        <v>45</v>
      </c>
      <c r="Q1764" s="2" t="s">
        <v>18</v>
      </c>
      <c r="R1764" s="2">
        <v>60</v>
      </c>
      <c r="S1764" s="20">
        <f>Table1[[#This Row],[Net_revenue]]/Table1[[#This Row],[Gross_revenue]]*100%</f>
        <v>0.75</v>
      </c>
      <c r="T1764" s="18">
        <f>COUNTIFS(Table1[Customer ID], "&gt;1", Table1[Customer ID], 1)</f>
        <v>0</v>
      </c>
    </row>
    <row r="1765" spans="1:20" hidden="1" x14ac:dyDescent="0.3">
      <c r="A1765" s="2" t="s">
        <v>2471</v>
      </c>
      <c r="B1765" s="5">
        <v>45886</v>
      </c>
      <c r="C1765" s="5" t="str">
        <f>TEXT(B1765,"mmm")</f>
        <v>Aug</v>
      </c>
      <c r="D1765" s="2" t="s">
        <v>492</v>
      </c>
      <c r="E1765" s="2" t="s">
        <v>48</v>
      </c>
      <c r="F1765" s="2" t="str" cm="1">
        <f t="array" ref="F17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65" s="2" t="str" cm="1">
        <f t="array" ref="G17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65" s="2" t="s">
        <v>217</v>
      </c>
      <c r="I1765" s="2" t="s">
        <v>29</v>
      </c>
      <c r="J1765" s="2">
        <v>2</v>
      </c>
      <c r="K1765" s="8">
        <v>3299</v>
      </c>
      <c r="L1765" s="3">
        <v>0</v>
      </c>
      <c r="M1765" s="12">
        <f>K1765*L1765</f>
        <v>0</v>
      </c>
      <c r="N1765" s="12">
        <f>K1765*J1765</f>
        <v>6598</v>
      </c>
      <c r="O1765" s="12">
        <f>N1765-M1765</f>
        <v>6598</v>
      </c>
      <c r="P1765" s="2" t="s">
        <v>45</v>
      </c>
      <c r="Q1765" s="2" t="s">
        <v>72</v>
      </c>
      <c r="R1765" s="2">
        <v>80</v>
      </c>
      <c r="S1765" s="20">
        <f>Table1[[#This Row],[Net_revenue]]/Table1[[#This Row],[Gross_revenue]]*100%</f>
        <v>1</v>
      </c>
      <c r="T1765" s="18">
        <f>COUNTIFS(Table1[Customer ID], "&gt;1", Table1[Customer ID], 1)</f>
        <v>0</v>
      </c>
    </row>
    <row r="1766" spans="1:20" hidden="1" x14ac:dyDescent="0.3">
      <c r="A1766" s="2" t="s">
        <v>2472</v>
      </c>
      <c r="B1766" s="5">
        <v>45897</v>
      </c>
      <c r="C1766" s="5" t="str">
        <f>TEXT(B1766,"mmm")</f>
        <v>Aug</v>
      </c>
      <c r="D1766" s="2" t="s">
        <v>91</v>
      </c>
      <c r="E1766" s="2" t="s">
        <v>56</v>
      </c>
      <c r="F1766" s="2" t="str" cm="1">
        <f t="array" ref="F17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66" s="2" t="str" cm="1">
        <f t="array" ref="G17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66" s="2" t="s">
        <v>188</v>
      </c>
      <c r="I1766" s="2" t="s">
        <v>95</v>
      </c>
      <c r="J1766" s="2">
        <v>2</v>
      </c>
      <c r="K1766" s="8">
        <v>699</v>
      </c>
      <c r="L1766" s="3">
        <v>0.2</v>
      </c>
      <c r="M1766" s="12">
        <f>K1766*L1766</f>
        <v>139.80000000000001</v>
      </c>
      <c r="N1766" s="12">
        <f>K1766*J1766</f>
        <v>1398</v>
      </c>
      <c r="O1766" s="12">
        <f>N1766-M1766</f>
        <v>1258.2</v>
      </c>
      <c r="P1766" s="2" t="s">
        <v>17</v>
      </c>
      <c r="Q1766" s="2" t="s">
        <v>18</v>
      </c>
      <c r="R1766" s="2">
        <v>40</v>
      </c>
      <c r="S1766" s="20">
        <f>Table1[[#This Row],[Net_revenue]]/Table1[[#This Row],[Gross_revenue]]*100%</f>
        <v>0.9</v>
      </c>
      <c r="T1766" s="18">
        <f>COUNTIFS(Table1[Customer ID], "&gt;1", Table1[Customer ID], 1)</f>
        <v>0</v>
      </c>
    </row>
    <row r="1767" spans="1:20" hidden="1" x14ac:dyDescent="0.3">
      <c r="A1767" s="2" t="s">
        <v>2473</v>
      </c>
      <c r="B1767" s="5">
        <v>45905</v>
      </c>
      <c r="C1767" s="5" t="str">
        <f>TEXT(B1767,"mmm")</f>
        <v>Sep</v>
      </c>
      <c r="D1767" s="2" t="s">
        <v>129</v>
      </c>
      <c r="E1767" s="2" t="s">
        <v>27</v>
      </c>
      <c r="F1767" s="2" t="str" cm="1">
        <f t="array" ref="F17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67" s="2" t="str" cm="1">
        <f t="array" ref="G17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67" s="2" t="s">
        <v>107</v>
      </c>
      <c r="I1767" s="2" t="s">
        <v>95</v>
      </c>
      <c r="J1767" s="2">
        <v>1</v>
      </c>
      <c r="K1767" s="8">
        <v>1599</v>
      </c>
      <c r="L1767" s="3">
        <v>0.1</v>
      </c>
      <c r="M1767" s="12">
        <f>K1767*L1767</f>
        <v>159.9</v>
      </c>
      <c r="N1767" s="12">
        <f>K1767*J1767</f>
        <v>1599</v>
      </c>
      <c r="O1767" s="12">
        <f>N1767-M1767</f>
        <v>1439.1</v>
      </c>
      <c r="P1767" s="2" t="s">
        <v>17</v>
      </c>
      <c r="Q1767" s="2" t="s">
        <v>72</v>
      </c>
      <c r="R1767" s="2">
        <v>40</v>
      </c>
      <c r="S1767" s="20">
        <f>Table1[[#This Row],[Net_revenue]]/Table1[[#This Row],[Gross_revenue]]*100%</f>
        <v>0.89999999999999991</v>
      </c>
      <c r="T1767" s="18">
        <f>COUNTIFS(Table1[Customer ID], "&gt;1", Table1[Customer ID], 1)</f>
        <v>0</v>
      </c>
    </row>
    <row r="1768" spans="1:20" hidden="1" x14ac:dyDescent="0.3">
      <c r="A1768" s="2" t="s">
        <v>2474</v>
      </c>
      <c r="B1768" s="5">
        <v>45868</v>
      </c>
      <c r="C1768" s="5" t="str">
        <f>TEXT(B1768,"mmm")</f>
        <v>Jul</v>
      </c>
      <c r="D1768" s="2" t="s">
        <v>577</v>
      </c>
      <c r="E1768" s="2" t="s">
        <v>21</v>
      </c>
      <c r="F1768" s="2" t="str" cm="1">
        <f t="array" ref="F17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68" s="2" t="str" cm="1">
        <f t="array" ref="G17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68" s="2" t="s">
        <v>121</v>
      </c>
      <c r="I1768" s="2" t="s">
        <v>95</v>
      </c>
      <c r="J1768" s="2">
        <v>1</v>
      </c>
      <c r="K1768" s="8">
        <v>1299</v>
      </c>
      <c r="L1768" s="3">
        <v>0.05</v>
      </c>
      <c r="M1768" s="12">
        <f>K1768*L1768</f>
        <v>64.95</v>
      </c>
      <c r="N1768" s="12">
        <f>K1768*J1768</f>
        <v>1299</v>
      </c>
      <c r="O1768" s="12">
        <f>N1768-M1768</f>
        <v>1234.05</v>
      </c>
      <c r="P1768" s="2" t="s">
        <v>45</v>
      </c>
      <c r="Q1768" s="2" t="s">
        <v>18</v>
      </c>
      <c r="R1768" s="2">
        <v>80</v>
      </c>
      <c r="S1768" s="20">
        <f>Table1[[#This Row],[Net_revenue]]/Table1[[#This Row],[Gross_revenue]]*100%</f>
        <v>0.95</v>
      </c>
      <c r="T1768" s="18">
        <f>COUNTIFS(Table1[Customer ID], "&gt;1", Table1[Customer ID], 1)</f>
        <v>0</v>
      </c>
    </row>
    <row r="1769" spans="1:20" hidden="1" x14ac:dyDescent="0.3">
      <c r="A1769" s="2" t="s">
        <v>2475</v>
      </c>
      <c r="B1769" s="5">
        <v>45937</v>
      </c>
      <c r="C1769" s="5" t="str">
        <f>TEXT(B1769,"mmm")</f>
        <v>Oct</v>
      </c>
      <c r="D1769" s="2" t="s">
        <v>136</v>
      </c>
      <c r="E1769" s="2" t="s">
        <v>27</v>
      </c>
      <c r="F1769" s="2" t="str" cm="1">
        <f t="array" ref="F17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69" s="2" t="str" cm="1">
        <f t="array" ref="G17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69" s="2" t="s">
        <v>28</v>
      </c>
      <c r="I1769" s="2" t="s">
        <v>29</v>
      </c>
      <c r="J1769" s="2">
        <v>1</v>
      </c>
      <c r="K1769" s="8">
        <v>2799</v>
      </c>
      <c r="L1769" s="3">
        <v>0.25</v>
      </c>
      <c r="M1769" s="12">
        <f>K1769*L1769</f>
        <v>699.75</v>
      </c>
      <c r="N1769" s="12">
        <f>K1769*J1769</f>
        <v>2799</v>
      </c>
      <c r="O1769" s="12">
        <f>N1769-M1769</f>
        <v>2099.25</v>
      </c>
      <c r="P1769" s="2" t="s">
        <v>30</v>
      </c>
      <c r="Q1769" s="2" t="s">
        <v>18</v>
      </c>
      <c r="R1769" s="2">
        <v>60</v>
      </c>
      <c r="S1769" s="20">
        <f>Table1[[#This Row],[Net_revenue]]/Table1[[#This Row],[Gross_revenue]]*100%</f>
        <v>0.75</v>
      </c>
      <c r="T1769" s="18">
        <f>COUNTIFS(Table1[Customer ID], "&gt;1", Table1[Customer ID], 1)</f>
        <v>0</v>
      </c>
    </row>
    <row r="1770" spans="1:20" hidden="1" x14ac:dyDescent="0.3">
      <c r="A1770" s="2" t="s">
        <v>2476</v>
      </c>
      <c r="B1770" s="5">
        <v>45941</v>
      </c>
      <c r="C1770" s="5" t="str">
        <f>TEXT(B1770,"mmm")</f>
        <v>Oct</v>
      </c>
      <c r="D1770" s="2" t="s">
        <v>592</v>
      </c>
      <c r="E1770" s="2" t="s">
        <v>40</v>
      </c>
      <c r="F1770" s="2" t="str" cm="1">
        <f t="array" ref="F17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70" s="2" t="str" cm="1">
        <f t="array" ref="G17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70" s="2" t="s">
        <v>188</v>
      </c>
      <c r="I1770" s="2" t="s">
        <v>95</v>
      </c>
      <c r="J1770" s="2">
        <v>2</v>
      </c>
      <c r="K1770" s="8">
        <v>699</v>
      </c>
      <c r="L1770" s="3">
        <v>0.1</v>
      </c>
      <c r="M1770" s="12">
        <f>K1770*L1770</f>
        <v>69.900000000000006</v>
      </c>
      <c r="N1770" s="12">
        <f>K1770*J1770</f>
        <v>1398</v>
      </c>
      <c r="O1770" s="12">
        <f>N1770-M1770</f>
        <v>1328.1</v>
      </c>
      <c r="P1770" s="2" t="s">
        <v>17</v>
      </c>
      <c r="Q1770" s="2" t="s">
        <v>18</v>
      </c>
      <c r="R1770" s="2">
        <v>60</v>
      </c>
      <c r="S1770" s="20">
        <f>Table1[[#This Row],[Net_revenue]]/Table1[[#This Row],[Gross_revenue]]*100%</f>
        <v>0.95</v>
      </c>
      <c r="T1770" s="18">
        <f>COUNTIFS(Table1[Customer ID], "&gt;1", Table1[Customer ID], 1)</f>
        <v>0</v>
      </c>
    </row>
    <row r="1771" spans="1:20" hidden="1" x14ac:dyDescent="0.3">
      <c r="A1771" s="2" t="s">
        <v>2477</v>
      </c>
      <c r="B1771" s="5">
        <v>45801</v>
      </c>
      <c r="C1771" s="5" t="str">
        <f>TEXT(B1771,"mmm")</f>
        <v>May</v>
      </c>
      <c r="D1771" s="2" t="s">
        <v>1813</v>
      </c>
      <c r="E1771" s="2" t="s">
        <v>48</v>
      </c>
      <c r="F1771" s="2" t="str" cm="1">
        <f t="array" ref="F17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71" s="2" t="str" cm="1">
        <f t="array" ref="G17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71" s="2" t="s">
        <v>36</v>
      </c>
      <c r="I1771" s="2" t="s">
        <v>37</v>
      </c>
      <c r="J1771" s="2">
        <v>1</v>
      </c>
      <c r="K1771" s="8">
        <v>349</v>
      </c>
      <c r="L1771" s="3">
        <v>0.05</v>
      </c>
      <c r="M1771" s="12">
        <f>K1771*L1771</f>
        <v>17.45</v>
      </c>
      <c r="N1771" s="12">
        <f>K1771*J1771</f>
        <v>349</v>
      </c>
      <c r="O1771" s="12">
        <f>N1771-M1771</f>
        <v>331.55</v>
      </c>
      <c r="P1771" s="2" t="s">
        <v>17</v>
      </c>
      <c r="Q1771" s="2" t="s">
        <v>18</v>
      </c>
      <c r="R1771" s="2">
        <v>60</v>
      </c>
      <c r="S1771" s="20">
        <f>Table1[[#This Row],[Net_revenue]]/Table1[[#This Row],[Gross_revenue]]*100%</f>
        <v>0.95000000000000007</v>
      </c>
      <c r="T1771" s="18">
        <f>COUNTIFS(Table1[Customer ID], "&gt;1", Table1[Customer ID], 1)</f>
        <v>0</v>
      </c>
    </row>
    <row r="1772" spans="1:20" hidden="1" x14ac:dyDescent="0.3">
      <c r="A1772" s="2" t="s">
        <v>2478</v>
      </c>
      <c r="B1772" s="5">
        <v>45877</v>
      </c>
      <c r="C1772" s="5" t="str">
        <f>TEXT(B1772,"mmm")</f>
        <v>Aug</v>
      </c>
      <c r="D1772" s="2" t="s">
        <v>599</v>
      </c>
      <c r="E1772" s="2" t="s">
        <v>75</v>
      </c>
      <c r="F1772" s="2" t="str" cm="1">
        <f t="array" ref="F17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772" s="2" t="str" cm="1">
        <f t="array" ref="G17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2" s="2" t="s">
        <v>71</v>
      </c>
      <c r="I1772" s="2" t="s">
        <v>29</v>
      </c>
      <c r="J1772" s="2">
        <v>1</v>
      </c>
      <c r="K1772" s="8">
        <v>5499</v>
      </c>
      <c r="L1772" s="3">
        <v>0.1</v>
      </c>
      <c r="M1772" s="12">
        <f>K1772*L1772</f>
        <v>549.9</v>
      </c>
      <c r="N1772" s="12">
        <f>K1772*J1772</f>
        <v>5499</v>
      </c>
      <c r="O1772" s="12">
        <f>N1772-M1772</f>
        <v>4949.1000000000004</v>
      </c>
      <c r="P1772" s="2" t="s">
        <v>30</v>
      </c>
      <c r="Q1772" s="2" t="s">
        <v>18</v>
      </c>
      <c r="R1772" s="2">
        <v>0</v>
      </c>
      <c r="S1772" s="20">
        <f>Table1[[#This Row],[Net_revenue]]/Table1[[#This Row],[Gross_revenue]]*100%</f>
        <v>0.9</v>
      </c>
      <c r="T1772" s="18">
        <f>COUNTIFS(Table1[Customer ID], "&gt;1", Table1[Customer ID], 1)</f>
        <v>0</v>
      </c>
    </row>
    <row r="1773" spans="1:20" hidden="1" x14ac:dyDescent="0.3">
      <c r="A1773" s="2" t="s">
        <v>2479</v>
      </c>
      <c r="B1773" s="5">
        <v>46009</v>
      </c>
      <c r="C1773" s="5" t="str">
        <f>TEXT(B1773,"mmm")</f>
        <v>Dec</v>
      </c>
      <c r="D1773" s="2" t="s">
        <v>2480</v>
      </c>
      <c r="E1773" s="2" t="s">
        <v>195</v>
      </c>
      <c r="F1773" s="2" t="str" cm="1">
        <f t="array" ref="F17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73" s="2" t="str" cm="1">
        <f t="array" ref="G17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3" s="2" t="s">
        <v>49</v>
      </c>
      <c r="I1773" s="2" t="s">
        <v>23</v>
      </c>
      <c r="J1773" s="2">
        <v>4</v>
      </c>
      <c r="K1773" s="8">
        <v>1299</v>
      </c>
      <c r="L1773" s="3">
        <v>0.1</v>
      </c>
      <c r="M1773" s="12">
        <f>K1773*L1773</f>
        <v>129.9</v>
      </c>
      <c r="N1773" s="12">
        <f>K1773*J1773</f>
        <v>5196</v>
      </c>
      <c r="O1773" s="12">
        <f>N1773-M1773</f>
        <v>5066.1000000000004</v>
      </c>
      <c r="P1773" s="2" t="s">
        <v>45</v>
      </c>
      <c r="Q1773" s="2" t="s">
        <v>18</v>
      </c>
      <c r="R1773" s="2">
        <v>60</v>
      </c>
      <c r="S1773" s="20">
        <f>Table1[[#This Row],[Net_revenue]]/Table1[[#This Row],[Gross_revenue]]*100%</f>
        <v>0.97500000000000009</v>
      </c>
      <c r="T1773" s="18">
        <f>COUNTIFS(Table1[Customer ID], "&gt;1", Table1[Customer ID], 1)</f>
        <v>0</v>
      </c>
    </row>
    <row r="1774" spans="1:20" hidden="1" x14ac:dyDescent="0.3">
      <c r="A1774" s="2" t="s">
        <v>2481</v>
      </c>
      <c r="B1774" s="5">
        <v>45967</v>
      </c>
      <c r="C1774" s="5" t="str">
        <f>TEXT(B1774,"mmm")</f>
        <v>Nov</v>
      </c>
      <c r="D1774" s="2" t="s">
        <v>1019</v>
      </c>
      <c r="E1774" s="2" t="s">
        <v>195</v>
      </c>
      <c r="F1774" s="2" t="str" cm="1">
        <f t="array" ref="F17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74" s="2" t="str" cm="1">
        <f t="array" ref="G17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4" s="2" t="s">
        <v>134</v>
      </c>
      <c r="I1774" s="2" t="s">
        <v>29</v>
      </c>
      <c r="J1774" s="2">
        <v>2</v>
      </c>
      <c r="K1774" s="8">
        <v>1499</v>
      </c>
      <c r="L1774" s="3">
        <v>0.15</v>
      </c>
      <c r="M1774" s="12">
        <f>K1774*L1774</f>
        <v>224.85</v>
      </c>
      <c r="N1774" s="12">
        <f>K1774*J1774</f>
        <v>2998</v>
      </c>
      <c r="O1774" s="12">
        <f>N1774-M1774</f>
        <v>2773.15</v>
      </c>
      <c r="P1774" s="2" t="s">
        <v>45</v>
      </c>
      <c r="Q1774" s="2" t="s">
        <v>50</v>
      </c>
      <c r="R1774" s="2">
        <v>60</v>
      </c>
      <c r="S1774" s="20">
        <f>Table1[[#This Row],[Net_revenue]]/Table1[[#This Row],[Gross_revenue]]*100%</f>
        <v>0.92500000000000004</v>
      </c>
      <c r="T1774" s="18">
        <f>COUNTIFS(Table1[Customer ID], "&gt;1", Table1[Customer ID], 1)</f>
        <v>0</v>
      </c>
    </row>
    <row r="1775" spans="1:20" hidden="1" x14ac:dyDescent="0.3">
      <c r="A1775" s="2" t="s">
        <v>2482</v>
      </c>
      <c r="B1775" s="5">
        <v>45912</v>
      </c>
      <c r="C1775" s="5" t="str">
        <f>TEXT(B1775,"mmm")</f>
        <v>Sep</v>
      </c>
      <c r="D1775" s="2" t="s">
        <v>1821</v>
      </c>
      <c r="E1775" s="2" t="s">
        <v>53</v>
      </c>
      <c r="F1775" s="2" t="str" cm="1">
        <f t="array" ref="F17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775" s="2" t="str" cm="1">
        <f t="array" ref="G17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75" s="2" t="s">
        <v>217</v>
      </c>
      <c r="I1775" s="2" t="s">
        <v>29</v>
      </c>
      <c r="J1775" s="2">
        <v>1</v>
      </c>
      <c r="K1775" s="8">
        <v>3299</v>
      </c>
      <c r="L1775" s="3">
        <v>0.1</v>
      </c>
      <c r="M1775" s="12">
        <f>K1775*L1775</f>
        <v>329.90000000000003</v>
      </c>
      <c r="N1775" s="12">
        <f>K1775*J1775</f>
        <v>3299</v>
      </c>
      <c r="O1775" s="12">
        <f>N1775-M1775</f>
        <v>2969.1</v>
      </c>
      <c r="P1775" s="2" t="s">
        <v>30</v>
      </c>
      <c r="Q1775" s="2" t="s">
        <v>18</v>
      </c>
      <c r="R1775" s="2">
        <v>0</v>
      </c>
      <c r="S1775" s="20">
        <f>Table1[[#This Row],[Net_revenue]]/Table1[[#This Row],[Gross_revenue]]*100%</f>
        <v>0.9</v>
      </c>
      <c r="T1775" s="18">
        <f>COUNTIFS(Table1[Customer ID], "&gt;1", Table1[Customer ID], 1)</f>
        <v>0</v>
      </c>
    </row>
    <row r="1776" spans="1:20" hidden="1" x14ac:dyDescent="0.3">
      <c r="A1776" s="2" t="s">
        <v>2483</v>
      </c>
      <c r="B1776" s="5">
        <v>45671</v>
      </c>
      <c r="C1776" s="5" t="str">
        <f>TEXT(B1776,"mmm")</f>
        <v>Jan</v>
      </c>
      <c r="D1776" s="2" t="s">
        <v>156</v>
      </c>
      <c r="E1776" s="2" t="s">
        <v>21</v>
      </c>
      <c r="F1776" s="2" t="str" cm="1">
        <f t="array" ref="F17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76" s="2" t="str" cm="1">
        <f t="array" ref="G17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6" s="2" t="s">
        <v>117</v>
      </c>
      <c r="I1776" s="2" t="s">
        <v>23</v>
      </c>
      <c r="J1776" s="2">
        <v>1</v>
      </c>
      <c r="K1776" s="8">
        <v>2199</v>
      </c>
      <c r="L1776" s="3">
        <v>0.25</v>
      </c>
      <c r="M1776" s="12">
        <f>K1776*L1776</f>
        <v>549.75</v>
      </c>
      <c r="N1776" s="12">
        <f>K1776*J1776</f>
        <v>2199</v>
      </c>
      <c r="O1776" s="12">
        <f>N1776-M1776</f>
        <v>1649.25</v>
      </c>
      <c r="P1776" s="2" t="s">
        <v>45</v>
      </c>
      <c r="Q1776" s="2" t="s">
        <v>18</v>
      </c>
      <c r="R1776" s="2">
        <v>60</v>
      </c>
      <c r="S1776" s="20">
        <f>Table1[[#This Row],[Net_revenue]]/Table1[[#This Row],[Gross_revenue]]*100%</f>
        <v>0.75</v>
      </c>
      <c r="T1776" s="18">
        <f>COUNTIFS(Table1[Customer ID], "&gt;1", Table1[Customer ID], 1)</f>
        <v>0</v>
      </c>
    </row>
    <row r="1777" spans="1:20" hidden="1" x14ac:dyDescent="0.3">
      <c r="A1777" s="2" t="s">
        <v>2484</v>
      </c>
      <c r="B1777" s="5">
        <v>45959</v>
      </c>
      <c r="C1777" s="5" t="str">
        <f>TEXT(B1777,"mmm")</f>
        <v>Oct</v>
      </c>
      <c r="D1777" s="2" t="s">
        <v>2485</v>
      </c>
      <c r="E1777" s="2" t="s">
        <v>21</v>
      </c>
      <c r="F1777" s="2" t="str" cm="1">
        <f t="array" ref="F17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77" s="2" t="str" cm="1">
        <f t="array" ref="G17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7" s="2" t="s">
        <v>98</v>
      </c>
      <c r="I1777" s="2" t="s">
        <v>37</v>
      </c>
      <c r="J1777" s="2">
        <v>2</v>
      </c>
      <c r="K1777" s="8">
        <v>299</v>
      </c>
      <c r="L1777" s="3">
        <v>0.05</v>
      </c>
      <c r="M1777" s="12">
        <f>K1777*L1777</f>
        <v>14.950000000000001</v>
      </c>
      <c r="N1777" s="12">
        <f>K1777*J1777</f>
        <v>598</v>
      </c>
      <c r="O1777" s="12">
        <f>N1777-M1777</f>
        <v>583.04999999999995</v>
      </c>
      <c r="P1777" s="2" t="s">
        <v>45</v>
      </c>
      <c r="Q1777" s="2" t="s">
        <v>18</v>
      </c>
      <c r="R1777" s="2">
        <v>0</v>
      </c>
      <c r="S1777" s="20">
        <f>Table1[[#This Row],[Net_revenue]]/Table1[[#This Row],[Gross_revenue]]*100%</f>
        <v>0.97499999999999998</v>
      </c>
      <c r="T1777" s="18">
        <f>COUNTIFS(Table1[Customer ID], "&gt;1", Table1[Customer ID], 1)</f>
        <v>0</v>
      </c>
    </row>
    <row r="1778" spans="1:20" hidden="1" x14ac:dyDescent="0.3">
      <c r="A1778" s="2" t="s">
        <v>2486</v>
      </c>
      <c r="B1778" s="5">
        <v>45758</v>
      </c>
      <c r="C1778" s="5" t="str">
        <f>TEXT(B1778,"mmm")</f>
        <v>Apr</v>
      </c>
      <c r="D1778" s="2" t="s">
        <v>445</v>
      </c>
      <c r="E1778" s="2" t="s">
        <v>14</v>
      </c>
      <c r="F1778" s="2" t="str" cm="1">
        <f t="array" ref="F17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778" s="2" t="str" cm="1">
        <f t="array" ref="G17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778" s="2" t="s">
        <v>117</v>
      </c>
      <c r="I1778" s="2" t="s">
        <v>23</v>
      </c>
      <c r="J1778" s="2">
        <v>1</v>
      </c>
      <c r="K1778" s="8">
        <v>2199</v>
      </c>
      <c r="L1778" s="3">
        <v>0</v>
      </c>
      <c r="M1778" s="12">
        <f>K1778*L1778</f>
        <v>0</v>
      </c>
      <c r="N1778" s="12">
        <f>K1778*J1778</f>
        <v>2199</v>
      </c>
      <c r="O1778" s="12">
        <f>N1778-M1778</f>
        <v>2199</v>
      </c>
      <c r="P1778" s="2" t="s">
        <v>17</v>
      </c>
      <c r="Q1778" s="2" t="s">
        <v>18</v>
      </c>
      <c r="R1778" s="2">
        <v>40</v>
      </c>
      <c r="S1778" s="20">
        <f>Table1[[#This Row],[Net_revenue]]/Table1[[#This Row],[Gross_revenue]]*100%</f>
        <v>1</v>
      </c>
      <c r="T1778" s="18">
        <f>COUNTIFS(Table1[Customer ID], "&gt;1", Table1[Customer ID], 1)</f>
        <v>0</v>
      </c>
    </row>
    <row r="1779" spans="1:20" hidden="1" x14ac:dyDescent="0.3">
      <c r="A1779" s="2" t="s">
        <v>2487</v>
      </c>
      <c r="B1779" s="5">
        <v>45760</v>
      </c>
      <c r="C1779" s="5" t="str">
        <f>TEXT(B1779,"mmm")</f>
        <v>Apr</v>
      </c>
      <c r="D1779" s="2" t="s">
        <v>13</v>
      </c>
      <c r="E1779" s="2" t="s">
        <v>195</v>
      </c>
      <c r="F1779" s="2" t="str" cm="1">
        <f t="array" ref="F17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79" s="2" t="str" cm="1">
        <f t="array" ref="G17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79" s="2" t="s">
        <v>89</v>
      </c>
      <c r="I1779" s="2" t="s">
        <v>29</v>
      </c>
      <c r="J1779" s="2">
        <v>3</v>
      </c>
      <c r="K1779" s="8">
        <v>449</v>
      </c>
      <c r="L1779" s="3">
        <v>0.05</v>
      </c>
      <c r="M1779" s="12">
        <f>K1779*L1779</f>
        <v>22.450000000000003</v>
      </c>
      <c r="N1779" s="12">
        <f>K1779*J1779</f>
        <v>1347</v>
      </c>
      <c r="O1779" s="12">
        <f>N1779-M1779</f>
        <v>1324.55</v>
      </c>
      <c r="P1779" s="2" t="s">
        <v>30</v>
      </c>
      <c r="Q1779" s="2" t="s">
        <v>18</v>
      </c>
      <c r="R1779" s="2">
        <v>40</v>
      </c>
      <c r="S1779" s="20">
        <f>Table1[[#This Row],[Net_revenue]]/Table1[[#This Row],[Gross_revenue]]*100%</f>
        <v>0.98333333333333328</v>
      </c>
      <c r="T1779" s="18">
        <f>COUNTIFS(Table1[Customer ID], "&gt;1", Table1[Customer ID], 1)</f>
        <v>0</v>
      </c>
    </row>
    <row r="1780" spans="1:20" hidden="1" x14ac:dyDescent="0.3">
      <c r="A1780" s="2" t="s">
        <v>2488</v>
      </c>
      <c r="B1780" s="5">
        <v>45694</v>
      </c>
      <c r="C1780" s="5" t="str">
        <f>TEXT(B1780,"mmm")</f>
        <v>Feb</v>
      </c>
      <c r="D1780" s="2" t="s">
        <v>1265</v>
      </c>
      <c r="E1780" s="2" t="s">
        <v>56</v>
      </c>
      <c r="F1780" s="2" t="str" cm="1">
        <f t="array" ref="F17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80" s="2" t="str" cm="1">
        <f t="array" ref="G17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80" s="2" t="s">
        <v>65</v>
      </c>
      <c r="I1780" s="2" t="s">
        <v>23</v>
      </c>
      <c r="J1780" s="2">
        <v>1</v>
      </c>
      <c r="K1780" s="8">
        <v>1899</v>
      </c>
      <c r="L1780" s="3">
        <v>0.25</v>
      </c>
      <c r="M1780" s="12">
        <f>K1780*L1780</f>
        <v>474.75</v>
      </c>
      <c r="N1780" s="12">
        <f>K1780*J1780</f>
        <v>1899</v>
      </c>
      <c r="O1780" s="12">
        <f>N1780-M1780</f>
        <v>1424.25</v>
      </c>
      <c r="P1780" s="2" t="s">
        <v>45</v>
      </c>
      <c r="Q1780" s="2" t="s">
        <v>18</v>
      </c>
      <c r="R1780" s="2">
        <v>0</v>
      </c>
      <c r="S1780" s="20">
        <f>Table1[[#This Row],[Net_revenue]]/Table1[[#This Row],[Gross_revenue]]*100%</f>
        <v>0.75</v>
      </c>
      <c r="T1780" s="18">
        <f>COUNTIFS(Table1[Customer ID], "&gt;1", Table1[Customer ID], 1)</f>
        <v>0</v>
      </c>
    </row>
    <row r="1781" spans="1:20" hidden="1" x14ac:dyDescent="0.3">
      <c r="A1781" s="2" t="s">
        <v>2489</v>
      </c>
      <c r="B1781" s="5">
        <v>45937</v>
      </c>
      <c r="C1781" s="5" t="str">
        <f>TEXT(B1781,"mmm")</f>
        <v>Oct</v>
      </c>
      <c r="D1781" s="2" t="s">
        <v>1537</v>
      </c>
      <c r="E1781" s="2" t="s">
        <v>21</v>
      </c>
      <c r="F1781" s="2" t="str" cm="1">
        <f t="array" ref="F17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81" s="2" t="str" cm="1">
        <f t="array" ref="G17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81" s="2" t="s">
        <v>63</v>
      </c>
      <c r="I1781" s="2" t="s">
        <v>23</v>
      </c>
      <c r="J1781" s="2">
        <v>3</v>
      </c>
      <c r="K1781" s="8">
        <v>2499</v>
      </c>
      <c r="L1781" s="3">
        <v>0.25</v>
      </c>
      <c r="M1781" s="12">
        <f>K1781*L1781</f>
        <v>624.75</v>
      </c>
      <c r="N1781" s="12">
        <f>K1781*J1781</f>
        <v>7497</v>
      </c>
      <c r="O1781" s="12">
        <f>N1781-M1781</f>
        <v>6872.25</v>
      </c>
      <c r="P1781" s="2" t="s">
        <v>45</v>
      </c>
      <c r="Q1781" s="2" t="s">
        <v>18</v>
      </c>
      <c r="R1781" s="2">
        <v>40</v>
      </c>
      <c r="S1781" s="20">
        <f>Table1[[#This Row],[Net_revenue]]/Table1[[#This Row],[Gross_revenue]]*100%</f>
        <v>0.91666666666666663</v>
      </c>
      <c r="T1781" s="18">
        <f>COUNTIFS(Table1[Customer ID], "&gt;1", Table1[Customer ID], 1)</f>
        <v>0</v>
      </c>
    </row>
    <row r="1782" spans="1:20" hidden="1" x14ac:dyDescent="0.3">
      <c r="A1782" s="2" t="s">
        <v>2490</v>
      </c>
      <c r="B1782" s="5">
        <v>45888</v>
      </c>
      <c r="C1782" s="5" t="str">
        <f>TEXT(B1782,"mmm")</f>
        <v>Aug</v>
      </c>
      <c r="D1782" s="2" t="s">
        <v>35</v>
      </c>
      <c r="E1782" s="2" t="s">
        <v>53</v>
      </c>
      <c r="F1782" s="2" t="str" cm="1">
        <f t="array" ref="F17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782" s="2" t="str" cm="1">
        <f t="array" ref="G17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82" s="2" t="s">
        <v>98</v>
      </c>
      <c r="I1782" s="2" t="s">
        <v>37</v>
      </c>
      <c r="J1782" s="2">
        <v>3</v>
      </c>
      <c r="K1782" s="8">
        <v>299</v>
      </c>
      <c r="L1782" s="3">
        <v>0.05</v>
      </c>
      <c r="M1782" s="12">
        <f>K1782*L1782</f>
        <v>14.950000000000001</v>
      </c>
      <c r="N1782" s="12">
        <f>K1782*J1782</f>
        <v>897</v>
      </c>
      <c r="O1782" s="12">
        <f>N1782-M1782</f>
        <v>882.05</v>
      </c>
      <c r="P1782" s="2" t="s">
        <v>17</v>
      </c>
      <c r="Q1782" s="2" t="s">
        <v>18</v>
      </c>
      <c r="R1782" s="2">
        <v>80</v>
      </c>
      <c r="S1782" s="20">
        <f>Table1[[#This Row],[Net_revenue]]/Table1[[#This Row],[Gross_revenue]]*100%</f>
        <v>0.98333333333333328</v>
      </c>
      <c r="T1782" s="18">
        <f>COUNTIFS(Table1[Customer ID], "&gt;1", Table1[Customer ID], 1)</f>
        <v>0</v>
      </c>
    </row>
    <row r="1783" spans="1:20" hidden="1" x14ac:dyDescent="0.3">
      <c r="A1783" s="2" t="s">
        <v>2491</v>
      </c>
      <c r="B1783" s="5">
        <v>45698</v>
      </c>
      <c r="C1783" s="5" t="str">
        <f>TEXT(B1783,"mmm")</f>
        <v>Feb</v>
      </c>
      <c r="D1783" s="2" t="s">
        <v>597</v>
      </c>
      <c r="E1783" s="2" t="s">
        <v>56</v>
      </c>
      <c r="F1783" s="2" t="str" cm="1">
        <f t="array" ref="F17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83" s="2" t="str" cm="1">
        <f t="array" ref="G17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83" s="2" t="s">
        <v>49</v>
      </c>
      <c r="I1783" s="2" t="s">
        <v>23</v>
      </c>
      <c r="J1783" s="2">
        <v>2</v>
      </c>
      <c r="K1783" s="8">
        <v>1299</v>
      </c>
      <c r="L1783" s="3">
        <v>0.05</v>
      </c>
      <c r="M1783" s="12">
        <f>K1783*L1783</f>
        <v>64.95</v>
      </c>
      <c r="N1783" s="12">
        <f>K1783*J1783</f>
        <v>2598</v>
      </c>
      <c r="O1783" s="12">
        <f>N1783-M1783</f>
        <v>2533.0500000000002</v>
      </c>
      <c r="P1783" s="2" t="s">
        <v>30</v>
      </c>
      <c r="Q1783" s="2" t="s">
        <v>18</v>
      </c>
      <c r="R1783" s="2">
        <v>0</v>
      </c>
      <c r="S1783" s="20">
        <f>Table1[[#This Row],[Net_revenue]]/Table1[[#This Row],[Gross_revenue]]*100%</f>
        <v>0.97500000000000009</v>
      </c>
      <c r="T1783" s="18">
        <f>COUNTIFS(Table1[Customer ID], "&gt;1", Table1[Customer ID], 1)</f>
        <v>0</v>
      </c>
    </row>
    <row r="1784" spans="1:20" hidden="1" x14ac:dyDescent="0.3">
      <c r="A1784" s="2" t="s">
        <v>2492</v>
      </c>
      <c r="B1784" s="5">
        <v>45771</v>
      </c>
      <c r="C1784" s="5" t="str">
        <f>TEXT(B1784,"mmm")</f>
        <v>Apr</v>
      </c>
      <c r="D1784" s="2" t="s">
        <v>2493</v>
      </c>
      <c r="E1784" s="2" t="s">
        <v>21</v>
      </c>
      <c r="F1784" s="2" t="str" cm="1">
        <f t="array" ref="F17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84" s="2" t="str" cm="1">
        <f t="array" ref="G17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84" s="2" t="s">
        <v>107</v>
      </c>
      <c r="I1784" s="2" t="s">
        <v>95</v>
      </c>
      <c r="J1784" s="2">
        <v>1</v>
      </c>
      <c r="K1784" s="8">
        <v>1599</v>
      </c>
      <c r="L1784" s="3">
        <v>0.1</v>
      </c>
      <c r="M1784" s="12">
        <f>K1784*L1784</f>
        <v>159.9</v>
      </c>
      <c r="N1784" s="12">
        <f>K1784*J1784</f>
        <v>1599</v>
      </c>
      <c r="O1784" s="12">
        <f>N1784-M1784</f>
        <v>1439.1</v>
      </c>
      <c r="P1784" s="2" t="s">
        <v>30</v>
      </c>
      <c r="Q1784" s="2" t="s">
        <v>18</v>
      </c>
      <c r="R1784" s="2">
        <v>60</v>
      </c>
      <c r="S1784" s="20">
        <f>Table1[[#This Row],[Net_revenue]]/Table1[[#This Row],[Gross_revenue]]*100%</f>
        <v>0.89999999999999991</v>
      </c>
      <c r="T1784" s="18">
        <f>COUNTIFS(Table1[Customer ID], "&gt;1", Table1[Customer ID], 1)</f>
        <v>0</v>
      </c>
    </row>
    <row r="1785" spans="1:20" hidden="1" x14ac:dyDescent="0.3">
      <c r="A1785" s="2" t="s">
        <v>2494</v>
      </c>
      <c r="B1785" s="5">
        <v>45858</v>
      </c>
      <c r="C1785" s="5" t="str">
        <f>TEXT(B1785,"mmm")</f>
        <v>Jul</v>
      </c>
      <c r="D1785" s="2" t="s">
        <v>2060</v>
      </c>
      <c r="E1785" s="2" t="s">
        <v>27</v>
      </c>
      <c r="F1785" s="2" t="str" cm="1">
        <f t="array" ref="F17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785" s="2" t="str" cm="1">
        <f t="array" ref="G17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85" s="2" t="s">
        <v>22</v>
      </c>
      <c r="I1785" s="2" t="s">
        <v>23</v>
      </c>
      <c r="J1785" s="2">
        <v>1</v>
      </c>
      <c r="K1785" s="8">
        <v>3999</v>
      </c>
      <c r="L1785" s="3">
        <v>0.2</v>
      </c>
      <c r="M1785" s="12">
        <f>K1785*L1785</f>
        <v>799.80000000000007</v>
      </c>
      <c r="N1785" s="12">
        <f>K1785*J1785</f>
        <v>3999</v>
      </c>
      <c r="O1785" s="12">
        <f>N1785-M1785</f>
        <v>3199.2</v>
      </c>
      <c r="P1785" s="2" t="s">
        <v>30</v>
      </c>
      <c r="Q1785" s="2" t="s">
        <v>18</v>
      </c>
      <c r="R1785" s="2">
        <v>0</v>
      </c>
      <c r="S1785" s="20">
        <f>Table1[[#This Row],[Net_revenue]]/Table1[[#This Row],[Gross_revenue]]*100%</f>
        <v>0.79999999999999993</v>
      </c>
      <c r="T1785" s="18">
        <f>COUNTIFS(Table1[Customer ID], "&gt;1", Table1[Customer ID], 1)</f>
        <v>0</v>
      </c>
    </row>
    <row r="1786" spans="1:20" hidden="1" x14ac:dyDescent="0.3">
      <c r="A1786" s="2" t="s">
        <v>2495</v>
      </c>
      <c r="B1786" s="5">
        <v>45753</v>
      </c>
      <c r="C1786" s="5" t="str">
        <f>TEXT(B1786,"mmm")</f>
        <v>Apr</v>
      </c>
      <c r="D1786" s="2" t="s">
        <v>581</v>
      </c>
      <c r="E1786" s="2" t="s">
        <v>195</v>
      </c>
      <c r="F1786" s="2" t="str" cm="1">
        <f t="array" ref="F17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86" s="2" t="str" cm="1">
        <f t="array" ref="G17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86" s="2" t="s">
        <v>94</v>
      </c>
      <c r="I1786" s="2" t="s">
        <v>95</v>
      </c>
      <c r="J1786" s="2">
        <v>1</v>
      </c>
      <c r="K1786" s="8">
        <v>399</v>
      </c>
      <c r="L1786" s="3">
        <v>0.25</v>
      </c>
      <c r="M1786" s="12">
        <f>K1786*L1786</f>
        <v>99.75</v>
      </c>
      <c r="N1786" s="12">
        <f>K1786*J1786</f>
        <v>399</v>
      </c>
      <c r="O1786" s="12">
        <f>N1786-M1786</f>
        <v>299.25</v>
      </c>
      <c r="P1786" s="2" t="s">
        <v>45</v>
      </c>
      <c r="Q1786" s="2" t="s">
        <v>18</v>
      </c>
      <c r="R1786" s="2">
        <v>0</v>
      </c>
      <c r="S1786" s="20">
        <f>Table1[[#This Row],[Net_revenue]]/Table1[[#This Row],[Gross_revenue]]*100%</f>
        <v>0.75</v>
      </c>
      <c r="T1786" s="18">
        <f>COUNTIFS(Table1[Customer ID], "&gt;1", Table1[Customer ID], 1)</f>
        <v>0</v>
      </c>
    </row>
    <row r="1787" spans="1:20" hidden="1" x14ac:dyDescent="0.3">
      <c r="A1787" s="2" t="s">
        <v>2496</v>
      </c>
      <c r="B1787" s="5">
        <v>45957</v>
      </c>
      <c r="C1787" s="5" t="str">
        <f>TEXT(B1787,"mmm")</f>
        <v>Oct</v>
      </c>
      <c r="D1787" s="2" t="s">
        <v>292</v>
      </c>
      <c r="E1787" s="2" t="s">
        <v>195</v>
      </c>
      <c r="F1787" s="2" t="str" cm="1">
        <f t="array" ref="F17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87" s="2" t="str" cm="1">
        <f t="array" ref="G17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87" s="2" t="s">
        <v>63</v>
      </c>
      <c r="I1787" s="2" t="s">
        <v>23</v>
      </c>
      <c r="J1787" s="2">
        <v>3</v>
      </c>
      <c r="K1787" s="8">
        <v>2499</v>
      </c>
      <c r="L1787" s="3">
        <v>0.2</v>
      </c>
      <c r="M1787" s="12">
        <f>K1787*L1787</f>
        <v>499.8</v>
      </c>
      <c r="N1787" s="12">
        <f>K1787*J1787</f>
        <v>7497</v>
      </c>
      <c r="O1787" s="12">
        <f>N1787-M1787</f>
        <v>6997.2</v>
      </c>
      <c r="P1787" s="2" t="s">
        <v>17</v>
      </c>
      <c r="Q1787" s="2" t="s">
        <v>18</v>
      </c>
      <c r="R1787" s="2">
        <v>0</v>
      </c>
      <c r="S1787" s="20">
        <f>Table1[[#This Row],[Net_revenue]]/Table1[[#This Row],[Gross_revenue]]*100%</f>
        <v>0.93333333333333335</v>
      </c>
      <c r="T1787" s="18">
        <f>COUNTIFS(Table1[Customer ID], "&gt;1", Table1[Customer ID], 1)</f>
        <v>0</v>
      </c>
    </row>
    <row r="1788" spans="1:20" hidden="1" x14ac:dyDescent="0.3">
      <c r="A1788" s="2" t="s">
        <v>2497</v>
      </c>
      <c r="B1788" s="5">
        <v>45693</v>
      </c>
      <c r="C1788" s="5" t="str">
        <f>TEXT(B1788,"mmm")</f>
        <v>Feb</v>
      </c>
      <c r="D1788" s="2" t="s">
        <v>456</v>
      </c>
      <c r="E1788" s="2" t="s">
        <v>48</v>
      </c>
      <c r="F1788" s="2" t="str" cm="1">
        <f t="array" ref="F17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88" s="2" t="str" cm="1">
        <f t="array" ref="G17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88" s="2" t="s">
        <v>15</v>
      </c>
      <c r="I1788" s="2" t="s">
        <v>16</v>
      </c>
      <c r="J1788" s="2">
        <v>1</v>
      </c>
      <c r="K1788" s="8">
        <v>1799</v>
      </c>
      <c r="L1788" s="3">
        <v>0.05</v>
      </c>
      <c r="M1788" s="12">
        <f>K1788*L1788</f>
        <v>89.95</v>
      </c>
      <c r="N1788" s="12">
        <f>K1788*J1788</f>
        <v>1799</v>
      </c>
      <c r="O1788" s="12">
        <f>N1788-M1788</f>
        <v>1709.05</v>
      </c>
      <c r="P1788" s="2" t="s">
        <v>45</v>
      </c>
      <c r="Q1788" s="2" t="s">
        <v>18</v>
      </c>
      <c r="R1788" s="2">
        <v>0</v>
      </c>
      <c r="S1788" s="20">
        <f>Table1[[#This Row],[Net_revenue]]/Table1[[#This Row],[Gross_revenue]]*100%</f>
        <v>0.95</v>
      </c>
      <c r="T1788" s="18">
        <f>COUNTIFS(Table1[Customer ID], "&gt;1", Table1[Customer ID], 1)</f>
        <v>0</v>
      </c>
    </row>
    <row r="1789" spans="1:20" hidden="1" x14ac:dyDescent="0.3">
      <c r="A1789" s="2" t="s">
        <v>2498</v>
      </c>
      <c r="B1789" s="5">
        <v>45971</v>
      </c>
      <c r="C1789" s="5" t="str">
        <f>TEXT(B1789,"mmm")</f>
        <v>Nov</v>
      </c>
      <c r="D1789" s="2" t="s">
        <v>834</v>
      </c>
      <c r="E1789" s="2" t="s">
        <v>195</v>
      </c>
      <c r="F1789" s="2" t="str" cm="1">
        <f t="array" ref="F17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89" s="2" t="str" cm="1">
        <f t="array" ref="G17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89" s="2" t="s">
        <v>22</v>
      </c>
      <c r="I1789" s="2" t="s">
        <v>23</v>
      </c>
      <c r="J1789" s="2">
        <v>1</v>
      </c>
      <c r="K1789" s="8">
        <v>3999</v>
      </c>
      <c r="L1789" s="3">
        <v>0.2</v>
      </c>
      <c r="M1789" s="12">
        <f>K1789*L1789</f>
        <v>799.80000000000007</v>
      </c>
      <c r="N1789" s="12">
        <f>K1789*J1789</f>
        <v>3999</v>
      </c>
      <c r="O1789" s="12">
        <f>N1789-M1789</f>
        <v>3199.2</v>
      </c>
      <c r="P1789" s="2" t="s">
        <v>17</v>
      </c>
      <c r="Q1789" s="2" t="s">
        <v>50</v>
      </c>
      <c r="R1789" s="2">
        <v>40</v>
      </c>
      <c r="S1789" s="20">
        <f>Table1[[#This Row],[Net_revenue]]/Table1[[#This Row],[Gross_revenue]]*100%</f>
        <v>0.79999999999999993</v>
      </c>
      <c r="T1789" s="18">
        <f>COUNTIFS(Table1[Customer ID], "&gt;1", Table1[Customer ID], 1)</f>
        <v>0</v>
      </c>
    </row>
    <row r="1790" spans="1:20" hidden="1" x14ac:dyDescent="0.3">
      <c r="A1790" s="2" t="s">
        <v>2499</v>
      </c>
      <c r="B1790" s="5">
        <v>45832</v>
      </c>
      <c r="C1790" s="5" t="str">
        <f>TEXT(B1790,"mmm")</f>
        <v>Jun</v>
      </c>
      <c r="D1790" s="2" t="s">
        <v>1537</v>
      </c>
      <c r="E1790" s="2" t="s">
        <v>56</v>
      </c>
      <c r="F1790" s="2" t="str" cm="1">
        <f t="array" ref="F17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790" s="2" t="str" cm="1">
        <f t="array" ref="G17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90" s="2" t="s">
        <v>63</v>
      </c>
      <c r="I1790" s="2" t="s">
        <v>23</v>
      </c>
      <c r="J1790" s="2">
        <v>1</v>
      </c>
      <c r="K1790" s="8">
        <v>2499</v>
      </c>
      <c r="L1790" s="3">
        <v>0.15</v>
      </c>
      <c r="M1790" s="12">
        <f>K1790*L1790</f>
        <v>374.84999999999997</v>
      </c>
      <c r="N1790" s="12">
        <f>K1790*J1790</f>
        <v>2499</v>
      </c>
      <c r="O1790" s="12">
        <f>N1790-M1790</f>
        <v>2124.15</v>
      </c>
      <c r="P1790" s="2" t="s">
        <v>30</v>
      </c>
      <c r="Q1790" s="2" t="s">
        <v>18</v>
      </c>
      <c r="R1790" s="2">
        <v>80</v>
      </c>
      <c r="S1790" s="20">
        <f>Table1[[#This Row],[Net_revenue]]/Table1[[#This Row],[Gross_revenue]]*100%</f>
        <v>0.85000000000000009</v>
      </c>
      <c r="T1790" s="18">
        <f>COUNTIFS(Table1[Customer ID], "&gt;1", Table1[Customer ID], 1)</f>
        <v>0</v>
      </c>
    </row>
    <row r="1791" spans="1:20" hidden="1" x14ac:dyDescent="0.3">
      <c r="A1791" s="2" t="s">
        <v>2500</v>
      </c>
      <c r="B1791" s="5">
        <v>45795</v>
      </c>
      <c r="C1791" s="5" t="str">
        <f>TEXT(B1791,"mmm")</f>
        <v>May</v>
      </c>
      <c r="D1791" s="2" t="s">
        <v>417</v>
      </c>
      <c r="E1791" s="2" t="s">
        <v>21</v>
      </c>
      <c r="F1791" s="2" t="str" cm="1">
        <f t="array" ref="F17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91" s="2" t="str" cm="1">
        <f t="array" ref="G17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1" s="2" t="s">
        <v>71</v>
      </c>
      <c r="I1791" s="2" t="s">
        <v>29</v>
      </c>
      <c r="J1791" s="2">
        <v>4</v>
      </c>
      <c r="K1791" s="8">
        <v>5499</v>
      </c>
      <c r="L1791" s="3">
        <v>0.25</v>
      </c>
      <c r="M1791" s="12">
        <f>K1791*L1791</f>
        <v>1374.75</v>
      </c>
      <c r="N1791" s="12">
        <f>K1791*J1791</f>
        <v>21996</v>
      </c>
      <c r="O1791" s="12">
        <f>N1791-M1791</f>
        <v>20621.25</v>
      </c>
      <c r="P1791" s="2" t="s">
        <v>24</v>
      </c>
      <c r="Q1791" s="2" t="s">
        <v>18</v>
      </c>
      <c r="R1791" s="2">
        <v>60</v>
      </c>
      <c r="S1791" s="20">
        <f>Table1[[#This Row],[Net_revenue]]/Table1[[#This Row],[Gross_revenue]]*100%</f>
        <v>0.9375</v>
      </c>
      <c r="T1791" s="18">
        <f>COUNTIFS(Table1[Customer ID], "&gt;1", Table1[Customer ID], 1)</f>
        <v>0</v>
      </c>
    </row>
    <row r="1792" spans="1:20" hidden="1" x14ac:dyDescent="0.3">
      <c r="A1792" s="2" t="s">
        <v>2501</v>
      </c>
      <c r="B1792" s="5">
        <v>45945</v>
      </c>
      <c r="C1792" s="5" t="str">
        <f>TEXT(B1792,"mmm")</f>
        <v>Oct</v>
      </c>
      <c r="D1792" s="2" t="s">
        <v>337</v>
      </c>
      <c r="E1792" s="2" t="s">
        <v>21</v>
      </c>
      <c r="F1792" s="2" t="str" cm="1">
        <f t="array" ref="F17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92" s="2" t="str" cm="1">
        <f t="array" ref="G17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2" s="2" t="s">
        <v>41</v>
      </c>
      <c r="I1792" s="2" t="s">
        <v>16</v>
      </c>
      <c r="J1792" s="2">
        <v>1</v>
      </c>
      <c r="K1792" s="8">
        <v>2299</v>
      </c>
      <c r="L1792" s="3">
        <v>0.2</v>
      </c>
      <c r="M1792" s="12">
        <f>K1792*L1792</f>
        <v>459.8</v>
      </c>
      <c r="N1792" s="12">
        <f>K1792*J1792</f>
        <v>2299</v>
      </c>
      <c r="O1792" s="12">
        <f>N1792-M1792</f>
        <v>1839.2</v>
      </c>
      <c r="P1792" s="2" t="s">
        <v>45</v>
      </c>
      <c r="Q1792" s="2" t="s">
        <v>18</v>
      </c>
      <c r="R1792" s="2">
        <v>60</v>
      </c>
      <c r="S1792" s="20">
        <f>Table1[[#This Row],[Net_revenue]]/Table1[[#This Row],[Gross_revenue]]*100%</f>
        <v>0.8</v>
      </c>
      <c r="T1792" s="18">
        <f>COUNTIFS(Table1[Customer ID], "&gt;1", Table1[Customer ID], 1)</f>
        <v>0</v>
      </c>
    </row>
    <row r="1793" spans="1:20" hidden="1" x14ac:dyDescent="0.3">
      <c r="A1793" s="2" t="s">
        <v>2502</v>
      </c>
      <c r="B1793" s="5">
        <v>45965</v>
      </c>
      <c r="C1793" s="5" t="str">
        <f>TEXT(B1793,"mmm")</f>
        <v>Nov</v>
      </c>
      <c r="D1793" s="2" t="s">
        <v>520</v>
      </c>
      <c r="E1793" s="2" t="s">
        <v>195</v>
      </c>
      <c r="F1793" s="2" t="str" cm="1">
        <f t="array" ref="F17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793" s="2" t="str" cm="1">
        <f t="array" ref="G17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3" s="2" t="s">
        <v>117</v>
      </c>
      <c r="I1793" s="2" t="s">
        <v>23</v>
      </c>
      <c r="J1793" s="2">
        <v>1</v>
      </c>
      <c r="K1793" s="8">
        <v>2199</v>
      </c>
      <c r="L1793" s="3">
        <v>0.1</v>
      </c>
      <c r="M1793" s="12">
        <f>K1793*L1793</f>
        <v>219.9</v>
      </c>
      <c r="N1793" s="12">
        <f>K1793*J1793</f>
        <v>2199</v>
      </c>
      <c r="O1793" s="12">
        <f>N1793-M1793</f>
        <v>1979.1</v>
      </c>
      <c r="P1793" s="2" t="s">
        <v>30</v>
      </c>
      <c r="Q1793" s="2" t="s">
        <v>18</v>
      </c>
      <c r="R1793" s="2">
        <v>40</v>
      </c>
      <c r="S1793" s="20">
        <f>Table1[[#This Row],[Net_revenue]]/Table1[[#This Row],[Gross_revenue]]*100%</f>
        <v>0.89999999999999991</v>
      </c>
      <c r="T1793" s="18">
        <f>COUNTIFS(Table1[Customer ID], "&gt;1", Table1[Customer ID], 1)</f>
        <v>0</v>
      </c>
    </row>
    <row r="1794" spans="1:20" hidden="1" x14ac:dyDescent="0.3">
      <c r="A1794" s="2" t="s">
        <v>2503</v>
      </c>
      <c r="B1794" s="5">
        <v>45851</v>
      </c>
      <c r="C1794" s="5" t="str">
        <f>TEXT(B1794,"mmm")</f>
        <v>Jul</v>
      </c>
      <c r="D1794" s="2" t="s">
        <v>2106</v>
      </c>
      <c r="E1794" s="2" t="s">
        <v>120</v>
      </c>
      <c r="F1794" s="2" t="str" cm="1">
        <f t="array" ref="F17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94" s="2" t="str" cm="1">
        <f t="array" ref="G17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4" s="2" t="s">
        <v>134</v>
      </c>
      <c r="I1794" s="2" t="s">
        <v>29</v>
      </c>
      <c r="J1794" s="2">
        <v>1</v>
      </c>
      <c r="K1794" s="8">
        <v>1499</v>
      </c>
      <c r="L1794" s="3">
        <v>0</v>
      </c>
      <c r="M1794" s="12">
        <f>K1794*L1794</f>
        <v>0</v>
      </c>
      <c r="N1794" s="12">
        <f>K1794*J1794</f>
        <v>1499</v>
      </c>
      <c r="O1794" s="12">
        <f>N1794-M1794</f>
        <v>1499</v>
      </c>
      <c r="P1794" s="2" t="s">
        <v>17</v>
      </c>
      <c r="Q1794" s="2" t="s">
        <v>18</v>
      </c>
      <c r="R1794" s="2">
        <v>40</v>
      </c>
      <c r="S1794" s="20">
        <f>Table1[[#This Row],[Net_revenue]]/Table1[[#This Row],[Gross_revenue]]*100%</f>
        <v>1</v>
      </c>
      <c r="T1794" s="18">
        <f>COUNTIFS(Table1[Customer ID], "&gt;1", Table1[Customer ID], 1)</f>
        <v>0</v>
      </c>
    </row>
    <row r="1795" spans="1:20" hidden="1" x14ac:dyDescent="0.3">
      <c r="A1795" s="2" t="s">
        <v>2504</v>
      </c>
      <c r="B1795" s="5">
        <v>45675</v>
      </c>
      <c r="C1795" s="5" t="str">
        <f>TEXT(B1795,"mmm")</f>
        <v>Jan</v>
      </c>
      <c r="D1795" s="2" t="s">
        <v>2455</v>
      </c>
      <c r="E1795" s="2" t="s">
        <v>120</v>
      </c>
      <c r="F1795" s="2" t="str" cm="1">
        <f t="array" ref="F17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95" s="2" t="str" cm="1">
        <f t="array" ref="G17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5" s="2" t="s">
        <v>49</v>
      </c>
      <c r="I1795" s="2" t="s">
        <v>23</v>
      </c>
      <c r="J1795" s="2">
        <v>1</v>
      </c>
      <c r="K1795" s="8">
        <v>1299</v>
      </c>
      <c r="L1795" s="3">
        <v>0</v>
      </c>
      <c r="M1795" s="12">
        <f>K1795*L1795</f>
        <v>0</v>
      </c>
      <c r="N1795" s="12">
        <f>K1795*J1795</f>
        <v>1299</v>
      </c>
      <c r="O1795" s="12">
        <f>N1795-M1795</f>
        <v>1299</v>
      </c>
      <c r="P1795" s="2" t="s">
        <v>24</v>
      </c>
      <c r="Q1795" s="2" t="s">
        <v>18</v>
      </c>
      <c r="R1795" s="2">
        <v>0</v>
      </c>
      <c r="S1795" s="20">
        <f>Table1[[#This Row],[Net_revenue]]/Table1[[#This Row],[Gross_revenue]]*100%</f>
        <v>1</v>
      </c>
      <c r="T1795" s="18">
        <f>COUNTIFS(Table1[Customer ID], "&gt;1", Table1[Customer ID], 1)</f>
        <v>0</v>
      </c>
    </row>
    <row r="1796" spans="1:20" hidden="1" x14ac:dyDescent="0.3">
      <c r="A1796" s="2" t="s">
        <v>2505</v>
      </c>
      <c r="B1796" s="5">
        <v>45888</v>
      </c>
      <c r="C1796" s="5" t="str">
        <f>TEXT(B1796,"mmm")</f>
        <v>Aug</v>
      </c>
      <c r="D1796" s="2" t="s">
        <v>717</v>
      </c>
      <c r="E1796" s="2" t="s">
        <v>21</v>
      </c>
      <c r="F1796" s="2" t="str" cm="1">
        <f t="array" ref="F17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96" s="2" t="str" cm="1">
        <f t="array" ref="G17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6" s="2" t="s">
        <v>22</v>
      </c>
      <c r="I1796" s="2" t="s">
        <v>23</v>
      </c>
      <c r="J1796" s="2">
        <v>1</v>
      </c>
      <c r="K1796" s="8">
        <v>3999</v>
      </c>
      <c r="L1796" s="3">
        <v>0.1</v>
      </c>
      <c r="M1796" s="12">
        <f>K1796*L1796</f>
        <v>399.90000000000003</v>
      </c>
      <c r="N1796" s="12">
        <f>K1796*J1796</f>
        <v>3999</v>
      </c>
      <c r="O1796" s="12">
        <f>N1796-M1796</f>
        <v>3599.1</v>
      </c>
      <c r="P1796" s="2" t="s">
        <v>17</v>
      </c>
      <c r="Q1796" s="2" t="s">
        <v>50</v>
      </c>
      <c r="R1796" s="2">
        <v>60</v>
      </c>
      <c r="S1796" s="20">
        <f>Table1[[#This Row],[Net_revenue]]/Table1[[#This Row],[Gross_revenue]]*100%</f>
        <v>0.9</v>
      </c>
      <c r="T1796" s="18">
        <f>COUNTIFS(Table1[Customer ID], "&gt;1", Table1[Customer ID], 1)</f>
        <v>0</v>
      </c>
    </row>
    <row r="1797" spans="1:20" hidden="1" x14ac:dyDescent="0.3">
      <c r="A1797" s="2" t="s">
        <v>2506</v>
      </c>
      <c r="B1797" s="5">
        <v>45919</v>
      </c>
      <c r="C1797" s="5" t="str">
        <f>TEXT(B1797,"mmm")</f>
        <v>Sep</v>
      </c>
      <c r="D1797" s="2" t="s">
        <v>1262</v>
      </c>
      <c r="E1797" s="2" t="s">
        <v>40</v>
      </c>
      <c r="F1797" s="2" t="str" cm="1">
        <f t="array" ref="F17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797" s="2" t="str" cm="1">
        <f t="array" ref="G17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797" s="2" t="s">
        <v>89</v>
      </c>
      <c r="I1797" s="2" t="s">
        <v>29</v>
      </c>
      <c r="J1797" s="2">
        <v>2</v>
      </c>
      <c r="K1797" s="8">
        <v>449</v>
      </c>
      <c r="L1797" s="3">
        <v>0</v>
      </c>
      <c r="M1797" s="12">
        <f>K1797*L1797</f>
        <v>0</v>
      </c>
      <c r="N1797" s="12">
        <f>K1797*J1797</f>
        <v>898</v>
      </c>
      <c r="O1797" s="12">
        <f>N1797-M1797</f>
        <v>898</v>
      </c>
      <c r="P1797" s="2" t="s">
        <v>30</v>
      </c>
      <c r="Q1797" s="2" t="s">
        <v>18</v>
      </c>
      <c r="R1797" s="2">
        <v>0</v>
      </c>
      <c r="S1797" s="20">
        <f>Table1[[#This Row],[Net_revenue]]/Table1[[#This Row],[Gross_revenue]]*100%</f>
        <v>1</v>
      </c>
      <c r="T1797" s="18">
        <f>COUNTIFS(Table1[Customer ID], "&gt;1", Table1[Customer ID], 1)</f>
        <v>0</v>
      </c>
    </row>
    <row r="1798" spans="1:20" hidden="1" x14ac:dyDescent="0.3">
      <c r="A1798" s="2" t="s">
        <v>2507</v>
      </c>
      <c r="B1798" s="5">
        <v>45858</v>
      </c>
      <c r="C1798" s="5" t="str">
        <f>TEXT(B1798,"mmm")</f>
        <v>Jul</v>
      </c>
      <c r="D1798" s="2" t="s">
        <v>43</v>
      </c>
      <c r="E1798" s="2" t="s">
        <v>120</v>
      </c>
      <c r="F1798" s="2" t="str" cm="1">
        <f t="array" ref="F17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798" s="2" t="str" cm="1">
        <f t="array" ref="G17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798" s="2" t="s">
        <v>183</v>
      </c>
      <c r="I1798" s="2" t="s">
        <v>37</v>
      </c>
      <c r="J1798" s="2">
        <v>1</v>
      </c>
      <c r="K1798" s="8">
        <v>499</v>
      </c>
      <c r="L1798" s="3">
        <v>0</v>
      </c>
      <c r="M1798" s="12">
        <f>K1798*L1798</f>
        <v>0</v>
      </c>
      <c r="N1798" s="12">
        <f>K1798*J1798</f>
        <v>499</v>
      </c>
      <c r="O1798" s="12">
        <f>N1798-M1798</f>
        <v>499</v>
      </c>
      <c r="P1798" s="2" t="s">
        <v>45</v>
      </c>
      <c r="Q1798" s="2" t="s">
        <v>18</v>
      </c>
      <c r="R1798" s="2">
        <v>0</v>
      </c>
      <c r="S1798" s="20">
        <f>Table1[[#This Row],[Net_revenue]]/Table1[[#This Row],[Gross_revenue]]*100%</f>
        <v>1</v>
      </c>
      <c r="T1798" s="18">
        <f>COUNTIFS(Table1[Customer ID], "&gt;1", Table1[Customer ID], 1)</f>
        <v>0</v>
      </c>
    </row>
    <row r="1799" spans="1:20" hidden="1" x14ac:dyDescent="0.3">
      <c r="A1799" s="2" t="s">
        <v>2508</v>
      </c>
      <c r="B1799" s="5">
        <v>45983</v>
      </c>
      <c r="C1799" s="5" t="str">
        <f>TEXT(B1799,"mmm")</f>
        <v>Nov</v>
      </c>
      <c r="D1799" s="2" t="s">
        <v>2280</v>
      </c>
      <c r="E1799" s="2" t="s">
        <v>48</v>
      </c>
      <c r="F1799" s="2" t="str" cm="1">
        <f t="array" ref="F17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799" s="2" t="str" cm="1">
        <f t="array" ref="G17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799" s="2" t="s">
        <v>44</v>
      </c>
      <c r="I1799" s="2" t="s">
        <v>16</v>
      </c>
      <c r="J1799" s="2">
        <v>2</v>
      </c>
      <c r="K1799" s="8">
        <v>1599</v>
      </c>
      <c r="L1799" s="3">
        <v>0.05</v>
      </c>
      <c r="M1799" s="12">
        <f>K1799*L1799</f>
        <v>79.95</v>
      </c>
      <c r="N1799" s="12">
        <f>K1799*J1799</f>
        <v>3198</v>
      </c>
      <c r="O1799" s="12">
        <f>N1799-M1799</f>
        <v>3118.05</v>
      </c>
      <c r="P1799" s="2" t="s">
        <v>17</v>
      </c>
      <c r="Q1799" s="2" t="s">
        <v>18</v>
      </c>
      <c r="R1799" s="2">
        <v>40</v>
      </c>
      <c r="S1799" s="20">
        <f>Table1[[#This Row],[Net_revenue]]/Table1[[#This Row],[Gross_revenue]]*100%</f>
        <v>0.97500000000000009</v>
      </c>
      <c r="T1799" s="18">
        <f>COUNTIFS(Table1[Customer ID], "&gt;1", Table1[Customer ID], 1)</f>
        <v>0</v>
      </c>
    </row>
    <row r="1800" spans="1:20" hidden="1" x14ac:dyDescent="0.3">
      <c r="A1800" s="2" t="s">
        <v>2509</v>
      </c>
      <c r="B1800" s="5">
        <v>45850</v>
      </c>
      <c r="C1800" s="5" t="str">
        <f>TEXT(B1800,"mmm")</f>
        <v>Jul</v>
      </c>
      <c r="D1800" s="2" t="s">
        <v>1693</v>
      </c>
      <c r="E1800" s="2" t="s">
        <v>27</v>
      </c>
      <c r="F1800" s="2" t="str" cm="1">
        <f t="array" ref="F18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800" s="2" t="str" cm="1">
        <f t="array" ref="G18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00" s="2" t="s">
        <v>63</v>
      </c>
      <c r="I1800" s="2" t="s">
        <v>23</v>
      </c>
      <c r="J1800" s="2">
        <v>2</v>
      </c>
      <c r="K1800" s="8">
        <v>2499</v>
      </c>
      <c r="L1800" s="3">
        <v>0.05</v>
      </c>
      <c r="M1800" s="12">
        <f>K1800*L1800</f>
        <v>124.95</v>
      </c>
      <c r="N1800" s="12">
        <f>K1800*J1800</f>
        <v>4998</v>
      </c>
      <c r="O1800" s="12">
        <f>N1800-M1800</f>
        <v>4873.05</v>
      </c>
      <c r="P1800" s="2" t="s">
        <v>17</v>
      </c>
      <c r="Q1800" s="2" t="s">
        <v>50</v>
      </c>
      <c r="R1800" s="2">
        <v>80</v>
      </c>
      <c r="S1800" s="20">
        <f>Table1[[#This Row],[Net_revenue]]/Table1[[#This Row],[Gross_revenue]]*100%</f>
        <v>0.97500000000000009</v>
      </c>
      <c r="T1800" s="18">
        <f>COUNTIFS(Table1[Customer ID], "&gt;1", Table1[Customer ID], 1)</f>
        <v>0</v>
      </c>
    </row>
    <row r="1801" spans="1:20" hidden="1" x14ac:dyDescent="0.3">
      <c r="A1801" s="2" t="s">
        <v>2510</v>
      </c>
      <c r="B1801" s="5">
        <v>45726</v>
      </c>
      <c r="C1801" s="5" t="str">
        <f>TEXT(B1801,"mmm")</f>
        <v>Mar</v>
      </c>
      <c r="D1801" s="2" t="s">
        <v>1934</v>
      </c>
      <c r="E1801" s="2" t="s">
        <v>56</v>
      </c>
      <c r="F1801" s="2" t="str" cm="1">
        <f t="array" ref="F18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01" s="2" t="str" cm="1">
        <f t="array" ref="G18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01" s="2" t="s">
        <v>134</v>
      </c>
      <c r="I1801" s="2" t="s">
        <v>29</v>
      </c>
      <c r="J1801" s="2">
        <v>3</v>
      </c>
      <c r="K1801" s="8">
        <v>1499</v>
      </c>
      <c r="L1801" s="3">
        <v>0</v>
      </c>
      <c r="M1801" s="12">
        <f>K1801*L1801</f>
        <v>0</v>
      </c>
      <c r="N1801" s="12">
        <f>K1801*J1801</f>
        <v>4497</v>
      </c>
      <c r="O1801" s="12">
        <f>N1801-M1801</f>
        <v>4497</v>
      </c>
      <c r="P1801" s="2" t="s">
        <v>17</v>
      </c>
      <c r="Q1801" s="2" t="s">
        <v>18</v>
      </c>
      <c r="R1801" s="2">
        <v>60</v>
      </c>
      <c r="S1801" s="20">
        <f>Table1[[#This Row],[Net_revenue]]/Table1[[#This Row],[Gross_revenue]]*100%</f>
        <v>1</v>
      </c>
      <c r="T1801" s="18">
        <f>COUNTIFS(Table1[Customer ID], "&gt;1", Table1[Customer ID], 1)</f>
        <v>0</v>
      </c>
    </row>
    <row r="1802" spans="1:20" hidden="1" x14ac:dyDescent="0.3">
      <c r="A1802" s="2" t="s">
        <v>2511</v>
      </c>
      <c r="B1802" s="5">
        <v>45947</v>
      </c>
      <c r="C1802" s="5" t="str">
        <f>TEXT(B1802,"mmm")</f>
        <v>Oct</v>
      </c>
      <c r="D1802" s="2" t="s">
        <v>1146</v>
      </c>
      <c r="E1802" s="2" t="s">
        <v>48</v>
      </c>
      <c r="F1802" s="2" t="str" cm="1">
        <f t="array" ref="F18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02" s="2" t="str" cm="1">
        <f t="array" ref="G18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02" s="2" t="s">
        <v>117</v>
      </c>
      <c r="I1802" s="2" t="s">
        <v>23</v>
      </c>
      <c r="J1802" s="2">
        <v>1</v>
      </c>
      <c r="K1802" s="8">
        <v>2199</v>
      </c>
      <c r="L1802" s="3">
        <v>0.25</v>
      </c>
      <c r="M1802" s="12">
        <f>K1802*L1802</f>
        <v>549.75</v>
      </c>
      <c r="N1802" s="12">
        <f>K1802*J1802</f>
        <v>2199</v>
      </c>
      <c r="O1802" s="12">
        <f>N1802-M1802</f>
        <v>1649.25</v>
      </c>
      <c r="P1802" s="2" t="s">
        <v>30</v>
      </c>
      <c r="Q1802" s="2" t="s">
        <v>18</v>
      </c>
      <c r="R1802" s="2">
        <v>80</v>
      </c>
      <c r="S1802" s="20">
        <f>Table1[[#This Row],[Net_revenue]]/Table1[[#This Row],[Gross_revenue]]*100%</f>
        <v>0.75</v>
      </c>
      <c r="T1802" s="18">
        <f>COUNTIFS(Table1[Customer ID], "&gt;1", Table1[Customer ID], 1)</f>
        <v>0</v>
      </c>
    </row>
    <row r="1803" spans="1:20" hidden="1" x14ac:dyDescent="0.3">
      <c r="A1803" s="2" t="s">
        <v>2512</v>
      </c>
      <c r="B1803" s="5">
        <v>46018</v>
      </c>
      <c r="C1803" s="5" t="str">
        <f>TEXT(B1803,"mmm")</f>
        <v>Dec</v>
      </c>
      <c r="D1803" s="2" t="s">
        <v>2513</v>
      </c>
      <c r="E1803" s="2" t="s">
        <v>40</v>
      </c>
      <c r="F1803" s="2" t="str" cm="1">
        <f t="array" ref="F18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03" s="2" t="str" cm="1">
        <f t="array" ref="G18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03" s="2" t="s">
        <v>98</v>
      </c>
      <c r="I1803" s="2" t="s">
        <v>37</v>
      </c>
      <c r="J1803" s="2">
        <v>1</v>
      </c>
      <c r="K1803" s="8">
        <v>299</v>
      </c>
      <c r="L1803" s="3">
        <v>0</v>
      </c>
      <c r="M1803" s="12">
        <f>K1803*L1803</f>
        <v>0</v>
      </c>
      <c r="N1803" s="12">
        <f>K1803*J1803</f>
        <v>299</v>
      </c>
      <c r="O1803" s="12">
        <f>N1803-M1803</f>
        <v>299</v>
      </c>
      <c r="P1803" s="2" t="s">
        <v>45</v>
      </c>
      <c r="Q1803" s="2" t="s">
        <v>18</v>
      </c>
      <c r="R1803" s="2">
        <v>80</v>
      </c>
      <c r="S1803" s="20">
        <f>Table1[[#This Row],[Net_revenue]]/Table1[[#This Row],[Gross_revenue]]*100%</f>
        <v>1</v>
      </c>
      <c r="T1803" s="18">
        <f>COUNTIFS(Table1[Customer ID], "&gt;1", Table1[Customer ID], 1)</f>
        <v>0</v>
      </c>
    </row>
    <row r="1804" spans="1:20" hidden="1" x14ac:dyDescent="0.3">
      <c r="A1804" s="2" t="s">
        <v>2514</v>
      </c>
      <c r="B1804" s="5">
        <v>45806</v>
      </c>
      <c r="C1804" s="5" t="str">
        <f>TEXT(B1804,"mmm")</f>
        <v>May</v>
      </c>
      <c r="D1804" s="2" t="s">
        <v>930</v>
      </c>
      <c r="E1804" s="2" t="s">
        <v>75</v>
      </c>
      <c r="F1804" s="2" t="str" cm="1">
        <f t="array" ref="F18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04" s="2" t="str" cm="1">
        <f t="array" ref="G18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04" s="2" t="s">
        <v>134</v>
      </c>
      <c r="I1804" s="2" t="s">
        <v>29</v>
      </c>
      <c r="J1804" s="2">
        <v>1</v>
      </c>
      <c r="K1804" s="8">
        <v>1499</v>
      </c>
      <c r="L1804" s="3">
        <v>0</v>
      </c>
      <c r="M1804" s="12">
        <f>K1804*L1804</f>
        <v>0</v>
      </c>
      <c r="N1804" s="12">
        <f>K1804*J1804</f>
        <v>1499</v>
      </c>
      <c r="O1804" s="12">
        <f>N1804-M1804</f>
        <v>1499</v>
      </c>
      <c r="P1804" s="2" t="s">
        <v>17</v>
      </c>
      <c r="Q1804" s="2" t="s">
        <v>18</v>
      </c>
      <c r="R1804" s="2">
        <v>40</v>
      </c>
      <c r="S1804" s="20">
        <f>Table1[[#This Row],[Net_revenue]]/Table1[[#This Row],[Gross_revenue]]*100%</f>
        <v>1</v>
      </c>
      <c r="T1804" s="18">
        <f>COUNTIFS(Table1[Customer ID], "&gt;1", Table1[Customer ID], 1)</f>
        <v>0</v>
      </c>
    </row>
    <row r="1805" spans="1:20" hidden="1" x14ac:dyDescent="0.3">
      <c r="A1805" s="2" t="s">
        <v>2515</v>
      </c>
      <c r="B1805" s="5">
        <v>45854</v>
      </c>
      <c r="C1805" s="5" t="str">
        <f>TEXT(B1805,"mmm")</f>
        <v>Jul</v>
      </c>
      <c r="D1805" s="2" t="s">
        <v>2516</v>
      </c>
      <c r="E1805" s="2" t="s">
        <v>48</v>
      </c>
      <c r="F1805" s="2" t="str" cm="1">
        <f t="array" ref="F18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05" s="2" t="str" cm="1">
        <f t="array" ref="G18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05" s="2" t="s">
        <v>65</v>
      </c>
      <c r="I1805" s="2" t="s">
        <v>23</v>
      </c>
      <c r="J1805" s="2">
        <v>1</v>
      </c>
      <c r="K1805" s="8">
        <v>1899</v>
      </c>
      <c r="L1805" s="3">
        <v>0</v>
      </c>
      <c r="M1805" s="12">
        <f>K1805*L1805</f>
        <v>0</v>
      </c>
      <c r="N1805" s="12">
        <f>K1805*J1805</f>
        <v>1899</v>
      </c>
      <c r="O1805" s="12">
        <f>N1805-M1805</f>
        <v>1899</v>
      </c>
      <c r="P1805" s="2" t="s">
        <v>45</v>
      </c>
      <c r="Q1805" s="2" t="s">
        <v>18</v>
      </c>
      <c r="R1805" s="2">
        <v>80</v>
      </c>
      <c r="S1805" s="20">
        <f>Table1[[#This Row],[Net_revenue]]/Table1[[#This Row],[Gross_revenue]]*100%</f>
        <v>1</v>
      </c>
      <c r="T1805" s="18">
        <f>COUNTIFS(Table1[Customer ID], "&gt;1", Table1[Customer ID], 1)</f>
        <v>0</v>
      </c>
    </row>
    <row r="1806" spans="1:20" hidden="1" x14ac:dyDescent="0.3">
      <c r="A1806" s="2" t="s">
        <v>2517</v>
      </c>
      <c r="B1806" s="5">
        <v>45889</v>
      </c>
      <c r="C1806" s="5" t="str">
        <f>TEXT(B1806,"mmm")</f>
        <v>Aug</v>
      </c>
      <c r="D1806" s="2" t="s">
        <v>1627</v>
      </c>
      <c r="E1806" s="2" t="s">
        <v>56</v>
      </c>
      <c r="F1806" s="2" t="str" cm="1">
        <f t="array" ref="F18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06" s="2" t="str" cm="1">
        <f t="array" ref="G18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06" s="2" t="s">
        <v>49</v>
      </c>
      <c r="I1806" s="2" t="s">
        <v>23</v>
      </c>
      <c r="J1806" s="2">
        <v>1</v>
      </c>
      <c r="K1806" s="8">
        <v>1299</v>
      </c>
      <c r="L1806" s="3">
        <v>0.25</v>
      </c>
      <c r="M1806" s="12">
        <f>K1806*L1806</f>
        <v>324.75</v>
      </c>
      <c r="N1806" s="12">
        <f>K1806*J1806</f>
        <v>1299</v>
      </c>
      <c r="O1806" s="12">
        <f>N1806-M1806</f>
        <v>974.25</v>
      </c>
      <c r="P1806" s="2" t="s">
        <v>30</v>
      </c>
      <c r="Q1806" s="2" t="s">
        <v>50</v>
      </c>
      <c r="R1806" s="2">
        <v>80</v>
      </c>
      <c r="S1806" s="20">
        <f>Table1[[#This Row],[Net_revenue]]/Table1[[#This Row],[Gross_revenue]]*100%</f>
        <v>0.75</v>
      </c>
      <c r="T1806" s="18">
        <f>COUNTIFS(Table1[Customer ID], "&gt;1", Table1[Customer ID], 1)</f>
        <v>0</v>
      </c>
    </row>
    <row r="1807" spans="1:20" hidden="1" x14ac:dyDescent="0.3">
      <c r="A1807" s="2" t="s">
        <v>2518</v>
      </c>
      <c r="B1807" s="5">
        <v>45742</v>
      </c>
      <c r="C1807" s="5" t="str">
        <f>TEXT(B1807,"mmm")</f>
        <v>Mar</v>
      </c>
      <c r="D1807" s="2" t="s">
        <v>88</v>
      </c>
      <c r="E1807" s="2" t="s">
        <v>14</v>
      </c>
      <c r="F1807" s="2" t="str" cm="1">
        <f t="array" ref="F18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07" s="2" t="str" cm="1">
        <f t="array" ref="G18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07" s="2" t="s">
        <v>217</v>
      </c>
      <c r="I1807" s="2" t="s">
        <v>29</v>
      </c>
      <c r="J1807" s="2">
        <v>5</v>
      </c>
      <c r="K1807" s="8">
        <v>3299</v>
      </c>
      <c r="L1807" s="3">
        <v>0</v>
      </c>
      <c r="M1807" s="12">
        <f>K1807*L1807</f>
        <v>0</v>
      </c>
      <c r="N1807" s="12">
        <f>K1807*J1807</f>
        <v>16495</v>
      </c>
      <c r="O1807" s="12">
        <f>N1807-M1807</f>
        <v>16495</v>
      </c>
      <c r="P1807" s="2" t="s">
        <v>24</v>
      </c>
      <c r="Q1807" s="2" t="s">
        <v>18</v>
      </c>
      <c r="R1807" s="2">
        <v>0</v>
      </c>
      <c r="S1807" s="20">
        <f>Table1[[#This Row],[Net_revenue]]/Table1[[#This Row],[Gross_revenue]]*100%</f>
        <v>1</v>
      </c>
      <c r="T1807" s="18">
        <f>COUNTIFS(Table1[Customer ID], "&gt;1", Table1[Customer ID], 1)</f>
        <v>0</v>
      </c>
    </row>
    <row r="1808" spans="1:20" hidden="1" x14ac:dyDescent="0.3">
      <c r="A1808" s="2" t="s">
        <v>2519</v>
      </c>
      <c r="B1808" s="5">
        <v>45947</v>
      </c>
      <c r="C1808" s="5" t="str">
        <f>TEXT(B1808,"mmm")</f>
        <v>Oct</v>
      </c>
      <c r="D1808" s="2" t="s">
        <v>532</v>
      </c>
      <c r="E1808" s="2" t="s">
        <v>120</v>
      </c>
      <c r="F1808" s="2" t="str" cm="1">
        <f t="array" ref="F18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08" s="2" t="str" cm="1">
        <f t="array" ref="G18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08" s="2" t="s">
        <v>41</v>
      </c>
      <c r="I1808" s="2" t="s">
        <v>16</v>
      </c>
      <c r="J1808" s="2">
        <v>2</v>
      </c>
      <c r="K1808" s="8">
        <v>2299</v>
      </c>
      <c r="L1808" s="3">
        <v>0.1</v>
      </c>
      <c r="M1808" s="12">
        <f>K1808*L1808</f>
        <v>229.9</v>
      </c>
      <c r="N1808" s="12">
        <f>K1808*J1808</f>
        <v>4598</v>
      </c>
      <c r="O1808" s="12">
        <f>N1808-M1808</f>
        <v>4368.1000000000004</v>
      </c>
      <c r="P1808" s="2" t="s">
        <v>30</v>
      </c>
      <c r="Q1808" s="2" t="s">
        <v>18</v>
      </c>
      <c r="R1808" s="2">
        <v>60</v>
      </c>
      <c r="S1808" s="20">
        <f>Table1[[#This Row],[Net_revenue]]/Table1[[#This Row],[Gross_revenue]]*100%</f>
        <v>0.95000000000000007</v>
      </c>
      <c r="T1808" s="18">
        <f>COUNTIFS(Table1[Customer ID], "&gt;1", Table1[Customer ID], 1)</f>
        <v>0</v>
      </c>
    </row>
    <row r="1809" spans="1:20" hidden="1" x14ac:dyDescent="0.3">
      <c r="A1809" s="2" t="s">
        <v>2520</v>
      </c>
      <c r="B1809" s="5">
        <v>45883</v>
      </c>
      <c r="C1809" s="5" t="str">
        <f>TEXT(B1809,"mmm")</f>
        <v>Aug</v>
      </c>
      <c r="D1809" s="2" t="s">
        <v>77</v>
      </c>
      <c r="E1809" s="2" t="s">
        <v>21</v>
      </c>
      <c r="F1809" s="2" t="str" cm="1">
        <f t="array" ref="F18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09" s="2" t="str" cm="1">
        <f t="array" ref="G18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09" s="2" t="s">
        <v>63</v>
      </c>
      <c r="I1809" s="2" t="s">
        <v>23</v>
      </c>
      <c r="J1809" s="2">
        <v>4</v>
      </c>
      <c r="K1809" s="8">
        <v>2499</v>
      </c>
      <c r="L1809" s="3">
        <v>0.1</v>
      </c>
      <c r="M1809" s="12">
        <f>K1809*L1809</f>
        <v>249.9</v>
      </c>
      <c r="N1809" s="12">
        <f>K1809*J1809</f>
        <v>9996</v>
      </c>
      <c r="O1809" s="12">
        <f>N1809-M1809</f>
        <v>9746.1</v>
      </c>
      <c r="P1809" s="2" t="s">
        <v>45</v>
      </c>
      <c r="Q1809" s="2" t="s">
        <v>18</v>
      </c>
      <c r="R1809" s="2">
        <v>80</v>
      </c>
      <c r="S1809" s="20">
        <f>Table1[[#This Row],[Net_revenue]]/Table1[[#This Row],[Gross_revenue]]*100%</f>
        <v>0.97500000000000009</v>
      </c>
      <c r="T1809" s="18">
        <f>COUNTIFS(Table1[Customer ID], "&gt;1", Table1[Customer ID], 1)</f>
        <v>0</v>
      </c>
    </row>
    <row r="1810" spans="1:20" hidden="1" x14ac:dyDescent="0.3">
      <c r="A1810" s="2" t="s">
        <v>2521</v>
      </c>
      <c r="B1810" s="5">
        <v>46000</v>
      </c>
      <c r="C1810" s="5" t="str">
        <f>TEXT(B1810,"mmm")</f>
        <v>Dec</v>
      </c>
      <c r="D1810" s="2" t="s">
        <v>574</v>
      </c>
      <c r="E1810" s="2" t="s">
        <v>56</v>
      </c>
      <c r="F1810" s="2" t="str" cm="1">
        <f t="array" ref="F18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10" s="2" t="str" cm="1">
        <f t="array" ref="G18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10" s="2" t="s">
        <v>94</v>
      </c>
      <c r="I1810" s="2" t="s">
        <v>95</v>
      </c>
      <c r="J1810" s="2">
        <v>5</v>
      </c>
      <c r="K1810" s="8">
        <v>399</v>
      </c>
      <c r="L1810" s="3">
        <v>0.15</v>
      </c>
      <c r="M1810" s="12">
        <f>K1810*L1810</f>
        <v>59.849999999999994</v>
      </c>
      <c r="N1810" s="12">
        <f>K1810*J1810</f>
        <v>1995</v>
      </c>
      <c r="O1810" s="12">
        <f>N1810-M1810</f>
        <v>1935.15</v>
      </c>
      <c r="P1810" s="2" t="s">
        <v>24</v>
      </c>
      <c r="Q1810" s="2" t="s">
        <v>18</v>
      </c>
      <c r="R1810" s="2">
        <v>0</v>
      </c>
      <c r="S1810" s="20">
        <f>Table1[[#This Row],[Net_revenue]]/Table1[[#This Row],[Gross_revenue]]*100%</f>
        <v>0.97000000000000008</v>
      </c>
      <c r="T1810" s="18">
        <f>COUNTIFS(Table1[Customer ID], "&gt;1", Table1[Customer ID], 1)</f>
        <v>0</v>
      </c>
    </row>
    <row r="1811" spans="1:20" hidden="1" x14ac:dyDescent="0.3">
      <c r="A1811" s="2" t="s">
        <v>2522</v>
      </c>
      <c r="B1811" s="5">
        <v>45909</v>
      </c>
      <c r="C1811" s="5" t="str">
        <f>TEXT(B1811,"mmm")</f>
        <v>Sep</v>
      </c>
      <c r="D1811" s="2" t="s">
        <v>353</v>
      </c>
      <c r="E1811" s="2" t="s">
        <v>120</v>
      </c>
      <c r="F1811" s="2" t="str" cm="1">
        <f t="array" ref="F18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11" s="2" t="str" cm="1">
        <f t="array" ref="G18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11" s="2" t="s">
        <v>71</v>
      </c>
      <c r="I1811" s="2" t="s">
        <v>29</v>
      </c>
      <c r="J1811" s="2">
        <v>2</v>
      </c>
      <c r="K1811" s="8">
        <v>5499</v>
      </c>
      <c r="L1811" s="3">
        <v>0.25</v>
      </c>
      <c r="M1811" s="12">
        <f>K1811*L1811</f>
        <v>1374.75</v>
      </c>
      <c r="N1811" s="12">
        <f>K1811*J1811</f>
        <v>10998</v>
      </c>
      <c r="O1811" s="12">
        <f>N1811-M1811</f>
        <v>9623.25</v>
      </c>
      <c r="P1811" s="2" t="s">
        <v>45</v>
      </c>
      <c r="Q1811" s="2" t="s">
        <v>18</v>
      </c>
      <c r="R1811" s="2">
        <v>60</v>
      </c>
      <c r="S1811" s="20">
        <f>Table1[[#This Row],[Net_revenue]]/Table1[[#This Row],[Gross_revenue]]*100%</f>
        <v>0.875</v>
      </c>
      <c r="T1811" s="18">
        <f>COUNTIFS(Table1[Customer ID], "&gt;1", Table1[Customer ID], 1)</f>
        <v>0</v>
      </c>
    </row>
    <row r="1812" spans="1:20" hidden="1" x14ac:dyDescent="0.3">
      <c r="A1812" s="2" t="s">
        <v>2523</v>
      </c>
      <c r="B1812" s="5">
        <v>45669</v>
      </c>
      <c r="C1812" s="5" t="str">
        <f>TEXT(B1812,"mmm")</f>
        <v>Jan</v>
      </c>
      <c r="D1812" s="2" t="s">
        <v>1563</v>
      </c>
      <c r="E1812" s="2" t="s">
        <v>21</v>
      </c>
      <c r="F1812" s="2" t="str" cm="1">
        <f t="array" ref="F18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12" s="2" t="str" cm="1">
        <f t="array" ref="G18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12" s="2" t="s">
        <v>41</v>
      </c>
      <c r="I1812" s="2" t="s">
        <v>16</v>
      </c>
      <c r="J1812" s="2">
        <v>3</v>
      </c>
      <c r="K1812" s="8">
        <v>2299</v>
      </c>
      <c r="L1812" s="3">
        <v>0.1</v>
      </c>
      <c r="M1812" s="12">
        <f>K1812*L1812</f>
        <v>229.9</v>
      </c>
      <c r="N1812" s="12">
        <f>K1812*J1812</f>
        <v>6897</v>
      </c>
      <c r="O1812" s="12">
        <f>N1812-M1812</f>
        <v>6667.1</v>
      </c>
      <c r="P1812" s="2" t="s">
        <v>45</v>
      </c>
      <c r="Q1812" s="2" t="s">
        <v>18</v>
      </c>
      <c r="R1812" s="2">
        <v>80</v>
      </c>
      <c r="S1812" s="20">
        <f>Table1[[#This Row],[Net_revenue]]/Table1[[#This Row],[Gross_revenue]]*100%</f>
        <v>0.96666666666666667</v>
      </c>
      <c r="T1812" s="18">
        <f>COUNTIFS(Table1[Customer ID], "&gt;1", Table1[Customer ID], 1)</f>
        <v>0</v>
      </c>
    </row>
    <row r="1813" spans="1:20" hidden="1" x14ac:dyDescent="0.3">
      <c r="A1813" s="2" t="s">
        <v>2524</v>
      </c>
      <c r="B1813" s="5">
        <v>45814</v>
      </c>
      <c r="C1813" s="5" t="str">
        <f>TEXT(B1813,"mmm")</f>
        <v>Jun</v>
      </c>
      <c r="D1813" s="2" t="s">
        <v>800</v>
      </c>
      <c r="E1813" s="2" t="s">
        <v>40</v>
      </c>
      <c r="F1813" s="2" t="str" cm="1">
        <f t="array" ref="F18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13" s="2" t="str" cm="1">
        <f t="array" ref="G18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13" s="2" t="s">
        <v>33</v>
      </c>
      <c r="I1813" s="2" t="s">
        <v>16</v>
      </c>
      <c r="J1813" s="2">
        <v>1</v>
      </c>
      <c r="K1813" s="8">
        <v>899</v>
      </c>
      <c r="L1813" s="3">
        <v>0</v>
      </c>
      <c r="M1813" s="12">
        <f>K1813*L1813</f>
        <v>0</v>
      </c>
      <c r="N1813" s="12">
        <f>K1813*J1813</f>
        <v>899</v>
      </c>
      <c r="O1813" s="12">
        <f>N1813-M1813</f>
        <v>899</v>
      </c>
      <c r="P1813" s="2" t="s">
        <v>17</v>
      </c>
      <c r="Q1813" s="2" t="s">
        <v>18</v>
      </c>
      <c r="R1813" s="2">
        <v>80</v>
      </c>
      <c r="S1813" s="20">
        <f>Table1[[#This Row],[Net_revenue]]/Table1[[#This Row],[Gross_revenue]]*100%</f>
        <v>1</v>
      </c>
      <c r="T1813" s="18">
        <f>COUNTIFS(Table1[Customer ID], "&gt;1", Table1[Customer ID], 1)</f>
        <v>0</v>
      </c>
    </row>
    <row r="1814" spans="1:20" hidden="1" x14ac:dyDescent="0.3">
      <c r="A1814" s="2" t="s">
        <v>2525</v>
      </c>
      <c r="B1814" s="5">
        <v>45828</v>
      </c>
      <c r="C1814" s="5" t="str">
        <f>TEXT(B1814,"mmm")</f>
        <v>Jun</v>
      </c>
      <c r="D1814" s="2" t="s">
        <v>282</v>
      </c>
      <c r="E1814" s="2" t="s">
        <v>48</v>
      </c>
      <c r="F1814" s="2" t="str" cm="1">
        <f t="array" ref="F18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14" s="2" t="str" cm="1">
        <f t="array" ref="G18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14" s="2" t="s">
        <v>117</v>
      </c>
      <c r="I1814" s="2" t="s">
        <v>23</v>
      </c>
      <c r="J1814" s="2">
        <v>1</v>
      </c>
      <c r="K1814" s="8">
        <v>2199</v>
      </c>
      <c r="L1814" s="3">
        <v>0.05</v>
      </c>
      <c r="M1814" s="12">
        <f>K1814*L1814</f>
        <v>109.95</v>
      </c>
      <c r="N1814" s="12">
        <f>K1814*J1814</f>
        <v>2199</v>
      </c>
      <c r="O1814" s="12">
        <f>N1814-M1814</f>
        <v>2089.0500000000002</v>
      </c>
      <c r="P1814" s="2" t="s">
        <v>17</v>
      </c>
      <c r="Q1814" s="2" t="s">
        <v>72</v>
      </c>
      <c r="R1814" s="2">
        <v>40</v>
      </c>
      <c r="S1814" s="20">
        <f>Table1[[#This Row],[Net_revenue]]/Table1[[#This Row],[Gross_revenue]]*100%</f>
        <v>0.95000000000000007</v>
      </c>
      <c r="T1814" s="18">
        <f>COUNTIFS(Table1[Customer ID], "&gt;1", Table1[Customer ID], 1)</f>
        <v>0</v>
      </c>
    </row>
    <row r="1815" spans="1:20" hidden="1" x14ac:dyDescent="0.3">
      <c r="A1815" s="2" t="s">
        <v>2526</v>
      </c>
      <c r="B1815" s="5">
        <v>45768</v>
      </c>
      <c r="C1815" s="5" t="str">
        <f>TEXT(B1815,"mmm")</f>
        <v>Apr</v>
      </c>
      <c r="D1815" s="2" t="s">
        <v>681</v>
      </c>
      <c r="E1815" s="2" t="s">
        <v>40</v>
      </c>
      <c r="F1815" s="2" t="str" cm="1">
        <f t="array" ref="F18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15" s="2" t="str" cm="1">
        <f t="array" ref="G18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15" s="2" t="s">
        <v>15</v>
      </c>
      <c r="I1815" s="2" t="s">
        <v>16</v>
      </c>
      <c r="J1815" s="2">
        <v>5</v>
      </c>
      <c r="K1815" s="8">
        <v>1799</v>
      </c>
      <c r="L1815" s="3">
        <v>0</v>
      </c>
      <c r="M1815" s="12">
        <f>K1815*L1815</f>
        <v>0</v>
      </c>
      <c r="N1815" s="12">
        <f>K1815*J1815</f>
        <v>8995</v>
      </c>
      <c r="O1815" s="12">
        <f>N1815-M1815</f>
        <v>8995</v>
      </c>
      <c r="P1815" s="2" t="s">
        <v>17</v>
      </c>
      <c r="Q1815" s="2" t="s">
        <v>18</v>
      </c>
      <c r="R1815" s="2">
        <v>0</v>
      </c>
      <c r="S1815" s="20">
        <f>Table1[[#This Row],[Net_revenue]]/Table1[[#This Row],[Gross_revenue]]*100%</f>
        <v>1</v>
      </c>
      <c r="T1815" s="18">
        <f>COUNTIFS(Table1[Customer ID], "&gt;1", Table1[Customer ID], 1)</f>
        <v>0</v>
      </c>
    </row>
    <row r="1816" spans="1:20" hidden="1" x14ac:dyDescent="0.3">
      <c r="A1816" s="2" t="s">
        <v>2527</v>
      </c>
      <c r="B1816" s="5">
        <v>45840</v>
      </c>
      <c r="C1816" s="5" t="str">
        <f>TEXT(B1816,"mmm")</f>
        <v>Jul</v>
      </c>
      <c r="D1816" s="2" t="s">
        <v>1045</v>
      </c>
      <c r="E1816" s="2" t="s">
        <v>56</v>
      </c>
      <c r="F1816" s="2" t="str" cm="1">
        <f t="array" ref="F18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16" s="2" t="str" cm="1">
        <f t="array" ref="G18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16" s="2" t="s">
        <v>49</v>
      </c>
      <c r="I1816" s="2" t="s">
        <v>23</v>
      </c>
      <c r="J1816" s="2">
        <v>1</v>
      </c>
      <c r="K1816" s="8">
        <v>1299</v>
      </c>
      <c r="L1816" s="3">
        <v>0.25</v>
      </c>
      <c r="M1816" s="12">
        <f>K1816*L1816</f>
        <v>324.75</v>
      </c>
      <c r="N1816" s="12">
        <f>K1816*J1816</f>
        <v>1299</v>
      </c>
      <c r="O1816" s="12">
        <f>N1816-M1816</f>
        <v>974.25</v>
      </c>
      <c r="P1816" s="2" t="s">
        <v>24</v>
      </c>
      <c r="Q1816" s="2" t="s">
        <v>18</v>
      </c>
      <c r="R1816" s="2">
        <v>40</v>
      </c>
      <c r="S1816" s="20">
        <f>Table1[[#This Row],[Net_revenue]]/Table1[[#This Row],[Gross_revenue]]*100%</f>
        <v>0.75</v>
      </c>
      <c r="T1816" s="18">
        <f>COUNTIFS(Table1[Customer ID], "&gt;1", Table1[Customer ID], 1)</f>
        <v>0</v>
      </c>
    </row>
    <row r="1817" spans="1:20" hidden="1" x14ac:dyDescent="0.3">
      <c r="A1817" s="2" t="s">
        <v>2528</v>
      </c>
      <c r="B1817" s="5">
        <v>45767</v>
      </c>
      <c r="C1817" s="5" t="str">
        <f>TEXT(B1817,"mmm")</f>
        <v>Apr</v>
      </c>
      <c r="D1817" s="2" t="s">
        <v>1132</v>
      </c>
      <c r="E1817" s="2" t="s">
        <v>21</v>
      </c>
      <c r="F1817" s="2" t="str" cm="1">
        <f t="array" ref="F18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17" s="2" t="str" cm="1">
        <f t="array" ref="G18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17" s="2" t="s">
        <v>22</v>
      </c>
      <c r="I1817" s="2" t="s">
        <v>23</v>
      </c>
      <c r="J1817" s="2">
        <v>1</v>
      </c>
      <c r="K1817" s="8">
        <v>3999</v>
      </c>
      <c r="L1817" s="3">
        <v>0.15</v>
      </c>
      <c r="M1817" s="12">
        <f>K1817*L1817</f>
        <v>599.85</v>
      </c>
      <c r="N1817" s="12">
        <f>K1817*J1817</f>
        <v>3999</v>
      </c>
      <c r="O1817" s="12">
        <f>N1817-M1817</f>
        <v>3399.15</v>
      </c>
      <c r="P1817" s="2" t="s">
        <v>45</v>
      </c>
      <c r="Q1817" s="2" t="s">
        <v>18</v>
      </c>
      <c r="R1817" s="2">
        <v>80</v>
      </c>
      <c r="S1817" s="20">
        <f>Table1[[#This Row],[Net_revenue]]/Table1[[#This Row],[Gross_revenue]]*100%</f>
        <v>0.85</v>
      </c>
      <c r="T1817" s="18">
        <f>COUNTIFS(Table1[Customer ID], "&gt;1", Table1[Customer ID], 1)</f>
        <v>0</v>
      </c>
    </row>
    <row r="1818" spans="1:20" hidden="1" x14ac:dyDescent="0.3">
      <c r="A1818" s="2" t="s">
        <v>2529</v>
      </c>
      <c r="B1818" s="5">
        <v>45704</v>
      </c>
      <c r="C1818" s="5" t="str">
        <f>TEXT(B1818,"mmm")</f>
        <v>Feb</v>
      </c>
      <c r="D1818" s="2" t="s">
        <v>677</v>
      </c>
      <c r="E1818" s="2" t="s">
        <v>21</v>
      </c>
      <c r="F1818" s="2" t="str" cm="1">
        <f t="array" ref="F18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18" s="2" t="str" cm="1">
        <f t="array" ref="G18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18" s="2" t="s">
        <v>63</v>
      </c>
      <c r="I1818" s="2" t="s">
        <v>23</v>
      </c>
      <c r="J1818" s="2">
        <v>1</v>
      </c>
      <c r="K1818" s="8">
        <v>2499</v>
      </c>
      <c r="L1818" s="3">
        <v>0.05</v>
      </c>
      <c r="M1818" s="12">
        <f>K1818*L1818</f>
        <v>124.95</v>
      </c>
      <c r="N1818" s="12">
        <f>K1818*J1818</f>
        <v>2499</v>
      </c>
      <c r="O1818" s="12">
        <f>N1818-M1818</f>
        <v>2374.0500000000002</v>
      </c>
      <c r="P1818" s="2" t="s">
        <v>45</v>
      </c>
      <c r="Q1818" s="2" t="s">
        <v>50</v>
      </c>
      <c r="R1818" s="2">
        <v>40</v>
      </c>
      <c r="S1818" s="20">
        <f>Table1[[#This Row],[Net_revenue]]/Table1[[#This Row],[Gross_revenue]]*100%</f>
        <v>0.95000000000000007</v>
      </c>
      <c r="T1818" s="18">
        <f>COUNTIFS(Table1[Customer ID], "&gt;1", Table1[Customer ID], 1)</f>
        <v>0</v>
      </c>
    </row>
    <row r="1819" spans="1:20" hidden="1" x14ac:dyDescent="0.3">
      <c r="A1819" s="2" t="s">
        <v>2530</v>
      </c>
      <c r="B1819" s="5">
        <v>45968</v>
      </c>
      <c r="C1819" s="5" t="str">
        <f>TEXT(B1819,"mmm")</f>
        <v>Nov</v>
      </c>
      <c r="D1819" s="2" t="s">
        <v>284</v>
      </c>
      <c r="E1819" s="2" t="s">
        <v>27</v>
      </c>
      <c r="F1819" s="2" t="str" cm="1">
        <f t="array" ref="F18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819" s="2" t="str" cm="1">
        <f t="array" ref="G18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19" s="2" t="s">
        <v>94</v>
      </c>
      <c r="I1819" s="2" t="s">
        <v>95</v>
      </c>
      <c r="J1819" s="2">
        <v>1</v>
      </c>
      <c r="K1819" s="8">
        <v>399</v>
      </c>
      <c r="L1819" s="3">
        <v>0.05</v>
      </c>
      <c r="M1819" s="12">
        <f>K1819*L1819</f>
        <v>19.950000000000003</v>
      </c>
      <c r="N1819" s="12">
        <f>K1819*J1819</f>
        <v>399</v>
      </c>
      <c r="O1819" s="12">
        <f>N1819-M1819</f>
        <v>379.05</v>
      </c>
      <c r="P1819" s="2" t="s">
        <v>17</v>
      </c>
      <c r="Q1819" s="2" t="s">
        <v>50</v>
      </c>
      <c r="R1819" s="2">
        <v>80</v>
      </c>
      <c r="S1819" s="20">
        <f>Table1[[#This Row],[Net_revenue]]/Table1[[#This Row],[Gross_revenue]]*100%</f>
        <v>0.95000000000000007</v>
      </c>
      <c r="T1819" s="18">
        <f>COUNTIFS(Table1[Customer ID], "&gt;1", Table1[Customer ID], 1)</f>
        <v>0</v>
      </c>
    </row>
    <row r="1820" spans="1:20" hidden="1" x14ac:dyDescent="0.3">
      <c r="A1820" s="2" t="s">
        <v>2531</v>
      </c>
      <c r="B1820" s="5">
        <v>46017</v>
      </c>
      <c r="C1820" s="5" t="str">
        <f>TEXT(B1820,"mmm")</f>
        <v>Dec</v>
      </c>
      <c r="D1820" s="2" t="s">
        <v>2093</v>
      </c>
      <c r="E1820" s="2" t="s">
        <v>48</v>
      </c>
      <c r="F1820" s="2" t="str" cm="1">
        <f t="array" ref="F18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20" s="2" t="str" cm="1">
        <f t="array" ref="G18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20" s="2" t="s">
        <v>80</v>
      </c>
      <c r="I1820" s="2" t="s">
        <v>23</v>
      </c>
      <c r="J1820" s="2">
        <v>1</v>
      </c>
      <c r="K1820" s="8">
        <v>799</v>
      </c>
      <c r="L1820" s="3">
        <v>0.1</v>
      </c>
      <c r="M1820" s="12">
        <f>K1820*L1820</f>
        <v>79.900000000000006</v>
      </c>
      <c r="N1820" s="12">
        <f>K1820*J1820</f>
        <v>799</v>
      </c>
      <c r="O1820" s="12">
        <f>N1820-M1820</f>
        <v>719.1</v>
      </c>
      <c r="P1820" s="2" t="s">
        <v>45</v>
      </c>
      <c r="Q1820" s="2" t="s">
        <v>18</v>
      </c>
      <c r="R1820" s="2">
        <v>60</v>
      </c>
      <c r="S1820" s="20">
        <f>Table1[[#This Row],[Net_revenue]]/Table1[[#This Row],[Gross_revenue]]*100%</f>
        <v>0.9</v>
      </c>
      <c r="T1820" s="18">
        <f>COUNTIFS(Table1[Customer ID], "&gt;1", Table1[Customer ID], 1)</f>
        <v>0</v>
      </c>
    </row>
    <row r="1821" spans="1:20" hidden="1" x14ac:dyDescent="0.3">
      <c r="A1821" s="2" t="s">
        <v>2532</v>
      </c>
      <c r="B1821" s="5">
        <v>45813</v>
      </c>
      <c r="C1821" s="5" t="str">
        <f>TEXT(B1821,"mmm")</f>
        <v>Jun</v>
      </c>
      <c r="D1821" s="2" t="s">
        <v>341</v>
      </c>
      <c r="E1821" s="2" t="s">
        <v>120</v>
      </c>
      <c r="F1821" s="2" t="str" cm="1">
        <f t="array" ref="F18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21" s="2" t="str" cm="1">
        <f t="array" ref="G18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21" s="2" t="s">
        <v>68</v>
      </c>
      <c r="I1821" s="2" t="s">
        <v>16</v>
      </c>
      <c r="J1821" s="2">
        <v>1</v>
      </c>
      <c r="K1821" s="8">
        <v>599</v>
      </c>
      <c r="L1821" s="3">
        <v>0</v>
      </c>
      <c r="M1821" s="12">
        <f>K1821*L1821</f>
        <v>0</v>
      </c>
      <c r="N1821" s="12">
        <f>K1821*J1821</f>
        <v>599</v>
      </c>
      <c r="O1821" s="12">
        <f>N1821-M1821</f>
        <v>599</v>
      </c>
      <c r="P1821" s="2" t="s">
        <v>30</v>
      </c>
      <c r="Q1821" s="2" t="s">
        <v>18</v>
      </c>
      <c r="R1821" s="2">
        <v>0</v>
      </c>
      <c r="S1821" s="20">
        <f>Table1[[#This Row],[Net_revenue]]/Table1[[#This Row],[Gross_revenue]]*100%</f>
        <v>1</v>
      </c>
      <c r="T1821" s="18">
        <f>COUNTIFS(Table1[Customer ID], "&gt;1", Table1[Customer ID], 1)</f>
        <v>0</v>
      </c>
    </row>
    <row r="1822" spans="1:20" hidden="1" x14ac:dyDescent="0.3">
      <c r="A1822" s="2" t="s">
        <v>2533</v>
      </c>
      <c r="B1822" s="5">
        <v>46007</v>
      </c>
      <c r="C1822" s="5" t="str">
        <f>TEXT(B1822,"mmm")</f>
        <v>Dec</v>
      </c>
      <c r="D1822" s="2" t="s">
        <v>1095</v>
      </c>
      <c r="E1822" s="2" t="s">
        <v>14</v>
      </c>
      <c r="F1822" s="2" t="str" cm="1">
        <f t="array" ref="F18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22" s="2" t="str" cm="1">
        <f t="array" ref="G18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22" s="2" t="s">
        <v>94</v>
      </c>
      <c r="I1822" s="2" t="s">
        <v>95</v>
      </c>
      <c r="J1822" s="2">
        <v>1</v>
      </c>
      <c r="K1822" s="8">
        <v>399</v>
      </c>
      <c r="L1822" s="3">
        <v>0.1</v>
      </c>
      <c r="M1822" s="12">
        <f>K1822*L1822</f>
        <v>39.900000000000006</v>
      </c>
      <c r="N1822" s="12">
        <f>K1822*J1822</f>
        <v>399</v>
      </c>
      <c r="O1822" s="12">
        <f>N1822-M1822</f>
        <v>359.1</v>
      </c>
      <c r="P1822" s="2" t="s">
        <v>17</v>
      </c>
      <c r="Q1822" s="2" t="s">
        <v>18</v>
      </c>
      <c r="R1822" s="2">
        <v>0</v>
      </c>
      <c r="S1822" s="20">
        <f>Table1[[#This Row],[Net_revenue]]/Table1[[#This Row],[Gross_revenue]]*100%</f>
        <v>0.9</v>
      </c>
      <c r="T1822" s="18">
        <f>COUNTIFS(Table1[Customer ID], "&gt;1", Table1[Customer ID], 1)</f>
        <v>0</v>
      </c>
    </row>
    <row r="1823" spans="1:20" hidden="1" x14ac:dyDescent="0.3">
      <c r="A1823" s="2" t="s">
        <v>2534</v>
      </c>
      <c r="B1823" s="5">
        <v>45883</v>
      </c>
      <c r="C1823" s="5" t="str">
        <f>TEXT(B1823,"mmm")</f>
        <v>Aug</v>
      </c>
      <c r="D1823" s="2" t="s">
        <v>52</v>
      </c>
      <c r="E1823" s="2" t="s">
        <v>53</v>
      </c>
      <c r="F1823" s="2" t="str" cm="1">
        <f t="array" ref="F18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823" s="2" t="str" cm="1">
        <f t="array" ref="G18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23" s="2" t="s">
        <v>49</v>
      </c>
      <c r="I1823" s="2" t="s">
        <v>23</v>
      </c>
      <c r="J1823" s="2">
        <v>1</v>
      </c>
      <c r="K1823" s="8">
        <v>1299</v>
      </c>
      <c r="L1823" s="3">
        <v>0.1</v>
      </c>
      <c r="M1823" s="12">
        <f>K1823*L1823</f>
        <v>129.9</v>
      </c>
      <c r="N1823" s="12">
        <f>K1823*J1823</f>
        <v>1299</v>
      </c>
      <c r="O1823" s="12">
        <f>N1823-M1823</f>
        <v>1169.0999999999999</v>
      </c>
      <c r="P1823" s="2" t="s">
        <v>17</v>
      </c>
      <c r="Q1823" s="2" t="s">
        <v>18</v>
      </c>
      <c r="R1823" s="2">
        <v>80</v>
      </c>
      <c r="S1823" s="20">
        <f>Table1[[#This Row],[Net_revenue]]/Table1[[#This Row],[Gross_revenue]]*100%</f>
        <v>0.89999999999999991</v>
      </c>
      <c r="T1823" s="18">
        <f>COUNTIFS(Table1[Customer ID], "&gt;1", Table1[Customer ID], 1)</f>
        <v>0</v>
      </c>
    </row>
    <row r="1824" spans="1:20" hidden="1" x14ac:dyDescent="0.3">
      <c r="A1824" s="2" t="s">
        <v>2535</v>
      </c>
      <c r="B1824" s="5">
        <v>45795</v>
      </c>
      <c r="C1824" s="5" t="str">
        <f>TEXT(B1824,"mmm")</f>
        <v>May</v>
      </c>
      <c r="D1824" s="2" t="s">
        <v>628</v>
      </c>
      <c r="E1824" s="2" t="s">
        <v>75</v>
      </c>
      <c r="F1824" s="2" t="str" cm="1">
        <f t="array" ref="F18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24" s="2" t="str" cm="1">
        <f t="array" ref="G18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24" s="2" t="s">
        <v>117</v>
      </c>
      <c r="I1824" s="2" t="s">
        <v>23</v>
      </c>
      <c r="J1824" s="2">
        <v>1</v>
      </c>
      <c r="K1824" s="8">
        <v>2199</v>
      </c>
      <c r="L1824" s="3">
        <v>0</v>
      </c>
      <c r="M1824" s="12">
        <f>K1824*L1824</f>
        <v>0</v>
      </c>
      <c r="N1824" s="12">
        <f>K1824*J1824</f>
        <v>2199</v>
      </c>
      <c r="O1824" s="12">
        <f>N1824-M1824</f>
        <v>2199</v>
      </c>
      <c r="P1824" s="2" t="s">
        <v>45</v>
      </c>
      <c r="Q1824" s="2" t="s">
        <v>50</v>
      </c>
      <c r="R1824" s="2">
        <v>40</v>
      </c>
      <c r="S1824" s="20">
        <f>Table1[[#This Row],[Net_revenue]]/Table1[[#This Row],[Gross_revenue]]*100%</f>
        <v>1</v>
      </c>
      <c r="T1824" s="18">
        <f>COUNTIFS(Table1[Customer ID], "&gt;1", Table1[Customer ID], 1)</f>
        <v>0</v>
      </c>
    </row>
    <row r="1825" spans="1:20" hidden="1" x14ac:dyDescent="0.3">
      <c r="A1825" s="2" t="s">
        <v>2536</v>
      </c>
      <c r="B1825" s="5">
        <v>45837</v>
      </c>
      <c r="C1825" s="5" t="str">
        <f>TEXT(B1825,"mmm")</f>
        <v>Jun</v>
      </c>
      <c r="D1825" s="2" t="s">
        <v>1033</v>
      </c>
      <c r="E1825" s="2" t="s">
        <v>14</v>
      </c>
      <c r="F1825" s="2" t="str" cm="1">
        <f t="array" ref="F18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25" s="2" t="str" cm="1">
        <f t="array" ref="G18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25" s="2" t="s">
        <v>49</v>
      </c>
      <c r="I1825" s="2" t="s">
        <v>23</v>
      </c>
      <c r="J1825" s="2">
        <v>1</v>
      </c>
      <c r="K1825" s="8">
        <v>1299</v>
      </c>
      <c r="L1825" s="3">
        <v>0</v>
      </c>
      <c r="M1825" s="12">
        <f>K1825*L1825</f>
        <v>0</v>
      </c>
      <c r="N1825" s="12">
        <f>K1825*J1825</f>
        <v>1299</v>
      </c>
      <c r="O1825" s="12">
        <f>N1825-M1825</f>
        <v>1299</v>
      </c>
      <c r="P1825" s="2" t="s">
        <v>30</v>
      </c>
      <c r="Q1825" s="2" t="s">
        <v>18</v>
      </c>
      <c r="R1825" s="2">
        <v>40</v>
      </c>
      <c r="S1825" s="20">
        <f>Table1[[#This Row],[Net_revenue]]/Table1[[#This Row],[Gross_revenue]]*100%</f>
        <v>1</v>
      </c>
      <c r="T1825" s="18">
        <f>COUNTIFS(Table1[Customer ID], "&gt;1", Table1[Customer ID], 1)</f>
        <v>0</v>
      </c>
    </row>
    <row r="1826" spans="1:20" hidden="1" x14ac:dyDescent="0.3">
      <c r="A1826" s="2" t="s">
        <v>2537</v>
      </c>
      <c r="B1826" s="5">
        <v>45937</v>
      </c>
      <c r="C1826" s="5" t="str">
        <f>TEXT(B1826,"mmm")</f>
        <v>Oct</v>
      </c>
      <c r="D1826" s="2" t="s">
        <v>906</v>
      </c>
      <c r="E1826" s="2" t="s">
        <v>48</v>
      </c>
      <c r="F1826" s="2" t="str" cm="1">
        <f t="array" ref="F18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26" s="2" t="str" cm="1">
        <f t="array" ref="G18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26" s="2" t="s">
        <v>49</v>
      </c>
      <c r="I1826" s="2" t="s">
        <v>23</v>
      </c>
      <c r="J1826" s="2">
        <v>1</v>
      </c>
      <c r="K1826" s="8">
        <v>1299</v>
      </c>
      <c r="L1826" s="3">
        <v>0</v>
      </c>
      <c r="M1826" s="12">
        <f>K1826*L1826</f>
        <v>0</v>
      </c>
      <c r="N1826" s="12">
        <f>K1826*J1826</f>
        <v>1299</v>
      </c>
      <c r="O1826" s="12">
        <f>N1826-M1826</f>
        <v>1299</v>
      </c>
      <c r="P1826" s="2" t="s">
        <v>24</v>
      </c>
      <c r="Q1826" s="2" t="s">
        <v>18</v>
      </c>
      <c r="R1826" s="2">
        <v>40</v>
      </c>
      <c r="S1826" s="20">
        <f>Table1[[#This Row],[Net_revenue]]/Table1[[#This Row],[Gross_revenue]]*100%</f>
        <v>1</v>
      </c>
      <c r="T1826" s="18">
        <f>COUNTIFS(Table1[Customer ID], "&gt;1", Table1[Customer ID], 1)</f>
        <v>0</v>
      </c>
    </row>
    <row r="1827" spans="1:20" hidden="1" x14ac:dyDescent="0.3">
      <c r="A1827" s="2" t="s">
        <v>2538</v>
      </c>
      <c r="B1827" s="5">
        <v>45758</v>
      </c>
      <c r="C1827" s="5" t="str">
        <f>TEXT(B1827,"mmm")</f>
        <v>Apr</v>
      </c>
      <c r="D1827" s="2" t="s">
        <v>2539</v>
      </c>
      <c r="E1827" s="2" t="s">
        <v>56</v>
      </c>
      <c r="F1827" s="2" t="str" cm="1">
        <f t="array" ref="F18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27" s="2" t="str" cm="1">
        <f t="array" ref="G18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27" s="2" t="s">
        <v>117</v>
      </c>
      <c r="I1827" s="2" t="s">
        <v>23</v>
      </c>
      <c r="J1827" s="2">
        <v>1</v>
      </c>
      <c r="K1827" s="8">
        <v>2199</v>
      </c>
      <c r="L1827" s="3">
        <v>0.05</v>
      </c>
      <c r="M1827" s="12">
        <f>K1827*L1827</f>
        <v>109.95</v>
      </c>
      <c r="N1827" s="12">
        <f>K1827*J1827</f>
        <v>2199</v>
      </c>
      <c r="O1827" s="12">
        <f>N1827-M1827</f>
        <v>2089.0500000000002</v>
      </c>
      <c r="P1827" s="2" t="s">
        <v>45</v>
      </c>
      <c r="Q1827" s="2" t="s">
        <v>18</v>
      </c>
      <c r="R1827" s="2">
        <v>40</v>
      </c>
      <c r="S1827" s="20">
        <f>Table1[[#This Row],[Net_revenue]]/Table1[[#This Row],[Gross_revenue]]*100%</f>
        <v>0.95000000000000007</v>
      </c>
      <c r="T1827" s="18">
        <f>COUNTIFS(Table1[Customer ID], "&gt;1", Table1[Customer ID], 1)</f>
        <v>0</v>
      </c>
    </row>
    <row r="1828" spans="1:20" hidden="1" x14ac:dyDescent="0.3">
      <c r="A1828" s="2" t="s">
        <v>2540</v>
      </c>
      <c r="B1828" s="5">
        <v>45667</v>
      </c>
      <c r="C1828" s="5" t="str">
        <f>TEXT(B1828,"mmm")</f>
        <v>Jan</v>
      </c>
      <c r="D1828" s="2" t="s">
        <v>1663</v>
      </c>
      <c r="E1828" s="2" t="s">
        <v>120</v>
      </c>
      <c r="F1828" s="2" t="str" cm="1">
        <f t="array" ref="F18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28" s="2" t="str" cm="1">
        <f t="array" ref="G18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28" s="2" t="s">
        <v>44</v>
      </c>
      <c r="I1828" s="2" t="s">
        <v>16</v>
      </c>
      <c r="J1828" s="2">
        <v>1</v>
      </c>
      <c r="K1828" s="8">
        <v>1599</v>
      </c>
      <c r="L1828" s="3">
        <v>0.2</v>
      </c>
      <c r="M1828" s="12">
        <f>K1828*L1828</f>
        <v>319.8</v>
      </c>
      <c r="N1828" s="12">
        <f>K1828*J1828</f>
        <v>1599</v>
      </c>
      <c r="O1828" s="12">
        <f>N1828-M1828</f>
        <v>1279.2</v>
      </c>
      <c r="P1828" s="2" t="s">
        <v>45</v>
      </c>
      <c r="Q1828" s="2" t="s">
        <v>18</v>
      </c>
      <c r="R1828" s="2">
        <v>40</v>
      </c>
      <c r="S1828" s="20">
        <f>Table1[[#This Row],[Net_revenue]]/Table1[[#This Row],[Gross_revenue]]*100%</f>
        <v>0.8</v>
      </c>
      <c r="T1828" s="18">
        <f>COUNTIFS(Table1[Customer ID], "&gt;1", Table1[Customer ID], 1)</f>
        <v>0</v>
      </c>
    </row>
    <row r="1829" spans="1:20" hidden="1" x14ac:dyDescent="0.3">
      <c r="A1829" s="2" t="s">
        <v>2541</v>
      </c>
      <c r="B1829" s="5">
        <v>45848</v>
      </c>
      <c r="C1829" s="5" t="str">
        <f>TEXT(B1829,"mmm")</f>
        <v>Jul</v>
      </c>
      <c r="D1829" s="2" t="s">
        <v>687</v>
      </c>
      <c r="E1829" s="2" t="s">
        <v>40</v>
      </c>
      <c r="F1829" s="2" t="str" cm="1">
        <f t="array" ref="F18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29" s="2" t="str" cm="1">
        <f t="array" ref="G18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29" s="2" t="s">
        <v>49</v>
      </c>
      <c r="I1829" s="2" t="s">
        <v>23</v>
      </c>
      <c r="J1829" s="2">
        <v>1</v>
      </c>
      <c r="K1829" s="8">
        <v>1299</v>
      </c>
      <c r="L1829" s="3">
        <v>0.15</v>
      </c>
      <c r="M1829" s="12">
        <f>K1829*L1829</f>
        <v>194.85</v>
      </c>
      <c r="N1829" s="12">
        <f>K1829*J1829</f>
        <v>1299</v>
      </c>
      <c r="O1829" s="12">
        <f>N1829-M1829</f>
        <v>1104.1500000000001</v>
      </c>
      <c r="P1829" s="2" t="s">
        <v>30</v>
      </c>
      <c r="Q1829" s="2" t="s">
        <v>18</v>
      </c>
      <c r="R1829" s="2">
        <v>0</v>
      </c>
      <c r="S1829" s="20">
        <f>Table1[[#This Row],[Net_revenue]]/Table1[[#This Row],[Gross_revenue]]*100%</f>
        <v>0.85000000000000009</v>
      </c>
      <c r="T1829" s="18">
        <f>COUNTIFS(Table1[Customer ID], "&gt;1", Table1[Customer ID], 1)</f>
        <v>0</v>
      </c>
    </row>
    <row r="1830" spans="1:20" hidden="1" x14ac:dyDescent="0.3">
      <c r="A1830" s="2" t="s">
        <v>2542</v>
      </c>
      <c r="B1830" s="5">
        <v>45974</v>
      </c>
      <c r="C1830" s="5" t="str">
        <f>TEXT(B1830,"mmm")</f>
        <v>Nov</v>
      </c>
      <c r="D1830" s="2" t="s">
        <v>1070</v>
      </c>
      <c r="E1830" s="2" t="s">
        <v>56</v>
      </c>
      <c r="F1830" s="2" t="str" cm="1">
        <f t="array" ref="F18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30" s="2" t="str" cm="1">
        <f t="array" ref="G18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30" s="2" t="s">
        <v>107</v>
      </c>
      <c r="I1830" s="2" t="s">
        <v>95</v>
      </c>
      <c r="J1830" s="2">
        <v>3</v>
      </c>
      <c r="K1830" s="8">
        <v>1599</v>
      </c>
      <c r="L1830" s="3">
        <v>0.1</v>
      </c>
      <c r="M1830" s="12">
        <f>K1830*L1830</f>
        <v>159.9</v>
      </c>
      <c r="N1830" s="12">
        <f>K1830*J1830</f>
        <v>4797</v>
      </c>
      <c r="O1830" s="12">
        <f>N1830-M1830</f>
        <v>4637.1000000000004</v>
      </c>
      <c r="P1830" s="2" t="s">
        <v>17</v>
      </c>
      <c r="Q1830" s="2" t="s">
        <v>50</v>
      </c>
      <c r="R1830" s="2">
        <v>40</v>
      </c>
      <c r="S1830" s="20">
        <f>Table1[[#This Row],[Net_revenue]]/Table1[[#This Row],[Gross_revenue]]*100%</f>
        <v>0.96666666666666679</v>
      </c>
      <c r="T1830" s="18">
        <f>COUNTIFS(Table1[Customer ID], "&gt;1", Table1[Customer ID], 1)</f>
        <v>0</v>
      </c>
    </row>
    <row r="1831" spans="1:20" hidden="1" x14ac:dyDescent="0.3">
      <c r="A1831" s="2" t="s">
        <v>2543</v>
      </c>
      <c r="B1831" s="5">
        <v>45977</v>
      </c>
      <c r="C1831" s="5" t="str">
        <f>TEXT(B1831,"mmm")</f>
        <v>Nov</v>
      </c>
      <c r="D1831" s="2" t="s">
        <v>1449</v>
      </c>
      <c r="E1831" s="2" t="s">
        <v>40</v>
      </c>
      <c r="F1831" s="2" t="str" cm="1">
        <f t="array" ref="F18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31" s="2" t="str" cm="1">
        <f t="array" ref="G18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31" s="2" t="s">
        <v>63</v>
      </c>
      <c r="I1831" s="2" t="s">
        <v>23</v>
      </c>
      <c r="J1831" s="2">
        <v>2</v>
      </c>
      <c r="K1831" s="8">
        <v>2499</v>
      </c>
      <c r="L1831" s="3">
        <v>0</v>
      </c>
      <c r="M1831" s="12">
        <f>K1831*L1831</f>
        <v>0</v>
      </c>
      <c r="N1831" s="12">
        <f>K1831*J1831</f>
        <v>4998</v>
      </c>
      <c r="O1831" s="12">
        <f>N1831-M1831</f>
        <v>4998</v>
      </c>
      <c r="P1831" s="2" t="s">
        <v>17</v>
      </c>
      <c r="Q1831" s="2" t="s">
        <v>18</v>
      </c>
      <c r="R1831" s="2">
        <v>80</v>
      </c>
      <c r="S1831" s="20">
        <f>Table1[[#This Row],[Net_revenue]]/Table1[[#This Row],[Gross_revenue]]*100%</f>
        <v>1</v>
      </c>
      <c r="T1831" s="18">
        <f>COUNTIFS(Table1[Customer ID], "&gt;1", Table1[Customer ID], 1)</f>
        <v>0</v>
      </c>
    </row>
    <row r="1832" spans="1:20" hidden="1" x14ac:dyDescent="0.3">
      <c r="A1832" s="2" t="s">
        <v>2544</v>
      </c>
      <c r="B1832" s="5">
        <v>45803</v>
      </c>
      <c r="C1832" s="5" t="str">
        <f>TEXT(B1832,"mmm")</f>
        <v>May</v>
      </c>
      <c r="D1832" s="2" t="s">
        <v>1598</v>
      </c>
      <c r="E1832" s="2" t="s">
        <v>195</v>
      </c>
      <c r="F1832" s="2" t="str" cm="1">
        <f t="array" ref="F18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832" s="2" t="str" cm="1">
        <f t="array" ref="G18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32" s="2" t="s">
        <v>134</v>
      </c>
      <c r="I1832" s="2" t="s">
        <v>29</v>
      </c>
      <c r="J1832" s="2">
        <v>1</v>
      </c>
      <c r="K1832" s="8">
        <v>1499</v>
      </c>
      <c r="L1832" s="3">
        <v>0.15</v>
      </c>
      <c r="M1832" s="12">
        <f>K1832*L1832</f>
        <v>224.85</v>
      </c>
      <c r="N1832" s="12">
        <f>K1832*J1832</f>
        <v>1499</v>
      </c>
      <c r="O1832" s="12">
        <f>N1832-M1832</f>
        <v>1274.1500000000001</v>
      </c>
      <c r="P1832" s="2" t="s">
        <v>45</v>
      </c>
      <c r="Q1832" s="2" t="s">
        <v>18</v>
      </c>
      <c r="R1832" s="2">
        <v>80</v>
      </c>
      <c r="S1832" s="20">
        <f>Table1[[#This Row],[Net_revenue]]/Table1[[#This Row],[Gross_revenue]]*100%</f>
        <v>0.85000000000000009</v>
      </c>
      <c r="T1832" s="18">
        <f>COUNTIFS(Table1[Customer ID], "&gt;1", Table1[Customer ID], 1)</f>
        <v>0</v>
      </c>
    </row>
    <row r="1833" spans="1:20" hidden="1" x14ac:dyDescent="0.3">
      <c r="A1833" s="2" t="s">
        <v>2545</v>
      </c>
      <c r="B1833" s="5">
        <v>45691</v>
      </c>
      <c r="C1833" s="5" t="str">
        <f>TEXT(B1833,"mmm")</f>
        <v>Feb</v>
      </c>
      <c r="D1833" s="2" t="s">
        <v>2258</v>
      </c>
      <c r="E1833" s="2" t="s">
        <v>40</v>
      </c>
      <c r="F1833" s="2" t="str" cm="1">
        <f t="array" ref="F18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33" s="2" t="str" cm="1">
        <f t="array" ref="G18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33" s="2" t="s">
        <v>68</v>
      </c>
      <c r="I1833" s="2" t="s">
        <v>16</v>
      </c>
      <c r="J1833" s="2">
        <v>2</v>
      </c>
      <c r="K1833" s="8">
        <v>599</v>
      </c>
      <c r="L1833" s="3">
        <v>0.1</v>
      </c>
      <c r="M1833" s="12">
        <f>K1833*L1833</f>
        <v>59.900000000000006</v>
      </c>
      <c r="N1833" s="12">
        <f>K1833*J1833</f>
        <v>1198</v>
      </c>
      <c r="O1833" s="12">
        <f>N1833-M1833</f>
        <v>1138.0999999999999</v>
      </c>
      <c r="P1833" s="2" t="s">
        <v>30</v>
      </c>
      <c r="Q1833" s="2" t="s">
        <v>18</v>
      </c>
      <c r="R1833" s="2">
        <v>40</v>
      </c>
      <c r="S1833" s="20">
        <f>Table1[[#This Row],[Net_revenue]]/Table1[[#This Row],[Gross_revenue]]*100%</f>
        <v>0.95</v>
      </c>
      <c r="T1833" s="18">
        <f>COUNTIFS(Table1[Customer ID], "&gt;1", Table1[Customer ID], 1)</f>
        <v>0</v>
      </c>
    </row>
    <row r="1834" spans="1:20" hidden="1" x14ac:dyDescent="0.3">
      <c r="A1834" s="2" t="s">
        <v>2546</v>
      </c>
      <c r="B1834" s="5">
        <v>45836</v>
      </c>
      <c r="C1834" s="5" t="str">
        <f>TEXT(B1834,"mmm")</f>
        <v>Jun</v>
      </c>
      <c r="D1834" s="2" t="s">
        <v>1433</v>
      </c>
      <c r="E1834" s="2" t="s">
        <v>14</v>
      </c>
      <c r="F1834" s="2" t="str" cm="1">
        <f t="array" ref="F18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34" s="2" t="str" cm="1">
        <f t="array" ref="G18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34" s="2" t="s">
        <v>65</v>
      </c>
      <c r="I1834" s="2" t="s">
        <v>23</v>
      </c>
      <c r="J1834" s="2">
        <v>1</v>
      </c>
      <c r="K1834" s="8">
        <v>1899</v>
      </c>
      <c r="L1834" s="3">
        <v>0</v>
      </c>
      <c r="M1834" s="12">
        <f>K1834*L1834</f>
        <v>0</v>
      </c>
      <c r="N1834" s="12">
        <f>K1834*J1834</f>
        <v>1899</v>
      </c>
      <c r="O1834" s="12">
        <f>N1834-M1834</f>
        <v>1899</v>
      </c>
      <c r="P1834" s="2" t="s">
        <v>17</v>
      </c>
      <c r="Q1834" s="2" t="s">
        <v>18</v>
      </c>
      <c r="R1834" s="2">
        <v>0</v>
      </c>
      <c r="S1834" s="20">
        <f>Table1[[#This Row],[Net_revenue]]/Table1[[#This Row],[Gross_revenue]]*100%</f>
        <v>1</v>
      </c>
      <c r="T1834" s="18">
        <f>COUNTIFS(Table1[Customer ID], "&gt;1", Table1[Customer ID], 1)</f>
        <v>0</v>
      </c>
    </row>
    <row r="1835" spans="1:20" hidden="1" x14ac:dyDescent="0.3">
      <c r="A1835" s="2" t="s">
        <v>2547</v>
      </c>
      <c r="B1835" s="5">
        <v>45881</v>
      </c>
      <c r="C1835" s="5" t="str">
        <f>TEXT(B1835,"mmm")</f>
        <v>Aug</v>
      </c>
      <c r="D1835" s="2" t="s">
        <v>2548</v>
      </c>
      <c r="E1835" s="2" t="s">
        <v>48</v>
      </c>
      <c r="F1835" s="2" t="str" cm="1">
        <f t="array" ref="F18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35" s="2" t="str" cm="1">
        <f t="array" ref="G18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35" s="2" t="s">
        <v>22</v>
      </c>
      <c r="I1835" s="2" t="s">
        <v>23</v>
      </c>
      <c r="J1835" s="2">
        <v>1</v>
      </c>
      <c r="K1835" s="8">
        <v>3999</v>
      </c>
      <c r="L1835" s="3">
        <v>0</v>
      </c>
      <c r="M1835" s="12">
        <f>K1835*L1835</f>
        <v>0</v>
      </c>
      <c r="N1835" s="12">
        <f>K1835*J1835</f>
        <v>3999</v>
      </c>
      <c r="O1835" s="12">
        <f>N1835-M1835</f>
        <v>3999</v>
      </c>
      <c r="P1835" s="2" t="s">
        <v>17</v>
      </c>
      <c r="Q1835" s="2" t="s">
        <v>18</v>
      </c>
      <c r="R1835" s="2">
        <v>80</v>
      </c>
      <c r="S1835" s="20">
        <f>Table1[[#This Row],[Net_revenue]]/Table1[[#This Row],[Gross_revenue]]*100%</f>
        <v>1</v>
      </c>
      <c r="T1835" s="18">
        <f>COUNTIFS(Table1[Customer ID], "&gt;1", Table1[Customer ID], 1)</f>
        <v>0</v>
      </c>
    </row>
    <row r="1836" spans="1:20" hidden="1" x14ac:dyDescent="0.3">
      <c r="A1836" s="2" t="s">
        <v>2549</v>
      </c>
      <c r="B1836" s="5">
        <v>45665</v>
      </c>
      <c r="C1836" s="5" t="str">
        <f>TEXT(B1836,"mmm")</f>
        <v>Jan</v>
      </c>
      <c r="D1836" s="2" t="s">
        <v>168</v>
      </c>
      <c r="E1836" s="2" t="s">
        <v>75</v>
      </c>
      <c r="F1836" s="2" t="str" cm="1">
        <f t="array" ref="F18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36" s="2" t="str" cm="1">
        <f t="array" ref="G18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36" s="2" t="s">
        <v>33</v>
      </c>
      <c r="I1836" s="2" t="s">
        <v>16</v>
      </c>
      <c r="J1836" s="2">
        <v>3</v>
      </c>
      <c r="K1836" s="8">
        <v>899</v>
      </c>
      <c r="L1836" s="3">
        <v>0.2</v>
      </c>
      <c r="M1836" s="12">
        <f>K1836*L1836</f>
        <v>179.8</v>
      </c>
      <c r="N1836" s="12">
        <f>K1836*J1836</f>
        <v>2697</v>
      </c>
      <c r="O1836" s="12">
        <f>N1836-M1836</f>
        <v>2517.1999999999998</v>
      </c>
      <c r="P1836" s="2" t="s">
        <v>45</v>
      </c>
      <c r="Q1836" s="2" t="s">
        <v>18</v>
      </c>
      <c r="R1836" s="2">
        <v>80</v>
      </c>
      <c r="S1836" s="20">
        <f>Table1[[#This Row],[Net_revenue]]/Table1[[#This Row],[Gross_revenue]]*100%</f>
        <v>0.93333333333333324</v>
      </c>
      <c r="T1836" s="18">
        <f>COUNTIFS(Table1[Customer ID], "&gt;1", Table1[Customer ID], 1)</f>
        <v>0</v>
      </c>
    </row>
    <row r="1837" spans="1:20" hidden="1" x14ac:dyDescent="0.3">
      <c r="A1837" s="2" t="s">
        <v>2550</v>
      </c>
      <c r="B1837" s="5">
        <v>45863</v>
      </c>
      <c r="C1837" s="5" t="str">
        <f>TEXT(B1837,"mmm")</f>
        <v>Jul</v>
      </c>
      <c r="D1837" s="2" t="s">
        <v>424</v>
      </c>
      <c r="E1837" s="2" t="s">
        <v>21</v>
      </c>
      <c r="F1837" s="2" t="str" cm="1">
        <f t="array" ref="F18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37" s="2" t="str" cm="1">
        <f t="array" ref="G18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37" s="2" t="s">
        <v>33</v>
      </c>
      <c r="I1837" s="2" t="s">
        <v>16</v>
      </c>
      <c r="J1837" s="2">
        <v>2</v>
      </c>
      <c r="K1837" s="8">
        <v>899</v>
      </c>
      <c r="L1837" s="3">
        <v>0.2</v>
      </c>
      <c r="M1837" s="12">
        <f>K1837*L1837</f>
        <v>179.8</v>
      </c>
      <c r="N1837" s="12">
        <f>K1837*J1837</f>
        <v>1798</v>
      </c>
      <c r="O1837" s="12">
        <f>N1837-M1837</f>
        <v>1618.2</v>
      </c>
      <c r="P1837" s="2" t="s">
        <v>45</v>
      </c>
      <c r="Q1837" s="2" t="s">
        <v>18</v>
      </c>
      <c r="R1837" s="2">
        <v>80</v>
      </c>
      <c r="S1837" s="20">
        <f>Table1[[#This Row],[Net_revenue]]/Table1[[#This Row],[Gross_revenue]]*100%</f>
        <v>0.9</v>
      </c>
      <c r="T1837" s="18">
        <f>COUNTIFS(Table1[Customer ID], "&gt;1", Table1[Customer ID], 1)</f>
        <v>0</v>
      </c>
    </row>
    <row r="1838" spans="1:20" hidden="1" x14ac:dyDescent="0.3">
      <c r="A1838" s="2" t="s">
        <v>2551</v>
      </c>
      <c r="B1838" s="5">
        <v>45752</v>
      </c>
      <c r="C1838" s="5" t="str">
        <f>TEXT(B1838,"mmm")</f>
        <v>Apr</v>
      </c>
      <c r="D1838" s="2" t="s">
        <v>432</v>
      </c>
      <c r="E1838" s="2" t="s">
        <v>40</v>
      </c>
      <c r="F1838" s="2" t="str" cm="1">
        <f t="array" ref="F18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38" s="2" t="str" cm="1">
        <f t="array" ref="G18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38" s="2" t="s">
        <v>71</v>
      </c>
      <c r="I1838" s="2" t="s">
        <v>29</v>
      </c>
      <c r="J1838" s="2">
        <v>5</v>
      </c>
      <c r="K1838" s="8">
        <v>5499</v>
      </c>
      <c r="L1838" s="3">
        <v>0.15</v>
      </c>
      <c r="M1838" s="12">
        <f>K1838*L1838</f>
        <v>824.85</v>
      </c>
      <c r="N1838" s="12">
        <f>K1838*J1838</f>
        <v>27495</v>
      </c>
      <c r="O1838" s="12">
        <f>N1838-M1838</f>
        <v>26670.15</v>
      </c>
      <c r="P1838" s="2" t="s">
        <v>30</v>
      </c>
      <c r="Q1838" s="2" t="s">
        <v>18</v>
      </c>
      <c r="R1838" s="2">
        <v>0</v>
      </c>
      <c r="S1838" s="20">
        <f>Table1[[#This Row],[Net_revenue]]/Table1[[#This Row],[Gross_revenue]]*100%</f>
        <v>0.97000000000000008</v>
      </c>
      <c r="T1838" s="18">
        <f>COUNTIFS(Table1[Customer ID], "&gt;1", Table1[Customer ID], 1)</f>
        <v>0</v>
      </c>
    </row>
    <row r="1839" spans="1:20" hidden="1" x14ac:dyDescent="0.3">
      <c r="A1839" s="2" t="s">
        <v>2552</v>
      </c>
      <c r="B1839" s="5">
        <v>45964</v>
      </c>
      <c r="C1839" s="5" t="str">
        <f>TEXT(B1839,"mmm")</f>
        <v>Nov</v>
      </c>
      <c r="D1839" s="2" t="s">
        <v>1629</v>
      </c>
      <c r="E1839" s="2" t="s">
        <v>14</v>
      </c>
      <c r="F1839" s="2" t="str" cm="1">
        <f t="array" ref="F18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39" s="2" t="str" cm="1">
        <f t="array" ref="G18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39" s="2" t="s">
        <v>41</v>
      </c>
      <c r="I1839" s="2" t="s">
        <v>16</v>
      </c>
      <c r="J1839" s="2">
        <v>2</v>
      </c>
      <c r="K1839" s="8">
        <v>2299</v>
      </c>
      <c r="L1839" s="3">
        <v>0.25</v>
      </c>
      <c r="M1839" s="12">
        <f>K1839*L1839</f>
        <v>574.75</v>
      </c>
      <c r="N1839" s="12">
        <f>K1839*J1839</f>
        <v>4598</v>
      </c>
      <c r="O1839" s="12">
        <f>N1839-M1839</f>
        <v>4023.25</v>
      </c>
      <c r="P1839" s="2" t="s">
        <v>30</v>
      </c>
      <c r="Q1839" s="2" t="s">
        <v>18</v>
      </c>
      <c r="R1839" s="2">
        <v>0</v>
      </c>
      <c r="S1839" s="20">
        <f>Table1[[#This Row],[Net_revenue]]/Table1[[#This Row],[Gross_revenue]]*100%</f>
        <v>0.875</v>
      </c>
      <c r="T1839" s="18">
        <f>COUNTIFS(Table1[Customer ID], "&gt;1", Table1[Customer ID], 1)</f>
        <v>0</v>
      </c>
    </row>
    <row r="1840" spans="1:20" hidden="1" x14ac:dyDescent="0.3">
      <c r="A1840" s="2" t="s">
        <v>2553</v>
      </c>
      <c r="B1840" s="5">
        <v>45970</v>
      </c>
      <c r="C1840" s="5" t="str">
        <f>TEXT(B1840,"mmm")</f>
        <v>Nov</v>
      </c>
      <c r="D1840" s="2" t="s">
        <v>84</v>
      </c>
      <c r="E1840" s="2" t="s">
        <v>40</v>
      </c>
      <c r="F1840" s="2" t="str" cm="1">
        <f t="array" ref="F18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40" s="2" t="str" cm="1">
        <f t="array" ref="G18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40" s="2" t="s">
        <v>65</v>
      </c>
      <c r="I1840" s="2" t="s">
        <v>23</v>
      </c>
      <c r="J1840" s="2">
        <v>1</v>
      </c>
      <c r="K1840" s="8">
        <v>1899</v>
      </c>
      <c r="L1840" s="3">
        <v>0</v>
      </c>
      <c r="M1840" s="12">
        <f>K1840*L1840</f>
        <v>0</v>
      </c>
      <c r="N1840" s="12">
        <f>K1840*J1840</f>
        <v>1899</v>
      </c>
      <c r="O1840" s="12">
        <f>N1840-M1840</f>
        <v>1899</v>
      </c>
      <c r="P1840" s="2" t="s">
        <v>30</v>
      </c>
      <c r="Q1840" s="2" t="s">
        <v>50</v>
      </c>
      <c r="R1840" s="2">
        <v>60</v>
      </c>
      <c r="S1840" s="20">
        <f>Table1[[#This Row],[Net_revenue]]/Table1[[#This Row],[Gross_revenue]]*100%</f>
        <v>1</v>
      </c>
      <c r="T1840" s="18">
        <f>COUNTIFS(Table1[Customer ID], "&gt;1", Table1[Customer ID], 1)</f>
        <v>0</v>
      </c>
    </row>
    <row r="1841" spans="1:20" hidden="1" x14ac:dyDescent="0.3">
      <c r="A1841" s="2" t="s">
        <v>2554</v>
      </c>
      <c r="B1841" s="5">
        <v>45832</v>
      </c>
      <c r="C1841" s="5" t="str">
        <f>TEXT(B1841,"mmm")</f>
        <v>Jun</v>
      </c>
      <c r="D1841" s="2" t="s">
        <v>729</v>
      </c>
      <c r="E1841" s="2" t="s">
        <v>14</v>
      </c>
      <c r="F1841" s="2" t="str" cm="1">
        <f t="array" ref="F18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41" s="2" t="str" cm="1">
        <f t="array" ref="G18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41" s="2" t="s">
        <v>41</v>
      </c>
      <c r="I1841" s="2" t="s">
        <v>16</v>
      </c>
      <c r="J1841" s="2">
        <v>1</v>
      </c>
      <c r="K1841" s="8">
        <v>2299</v>
      </c>
      <c r="L1841" s="3">
        <v>0.15</v>
      </c>
      <c r="M1841" s="12">
        <f>K1841*L1841</f>
        <v>344.84999999999997</v>
      </c>
      <c r="N1841" s="12">
        <f>K1841*J1841</f>
        <v>2299</v>
      </c>
      <c r="O1841" s="12">
        <f>N1841-M1841</f>
        <v>1954.15</v>
      </c>
      <c r="P1841" s="2" t="s">
        <v>45</v>
      </c>
      <c r="Q1841" s="2" t="s">
        <v>72</v>
      </c>
      <c r="R1841" s="2">
        <v>40</v>
      </c>
      <c r="S1841" s="20">
        <f>Table1[[#This Row],[Net_revenue]]/Table1[[#This Row],[Gross_revenue]]*100%</f>
        <v>0.85000000000000009</v>
      </c>
      <c r="T1841" s="18">
        <f>COUNTIFS(Table1[Customer ID], "&gt;1", Table1[Customer ID], 1)</f>
        <v>0</v>
      </c>
    </row>
    <row r="1842" spans="1:20" hidden="1" x14ac:dyDescent="0.3">
      <c r="A1842" s="2" t="s">
        <v>2555</v>
      </c>
      <c r="B1842" s="5">
        <v>45937</v>
      </c>
      <c r="C1842" s="5" t="str">
        <f>TEXT(B1842,"mmm")</f>
        <v>Oct</v>
      </c>
      <c r="D1842" s="2" t="s">
        <v>886</v>
      </c>
      <c r="E1842" s="2" t="s">
        <v>120</v>
      </c>
      <c r="F1842" s="2" t="str" cm="1">
        <f t="array" ref="F18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42" s="2" t="str" cm="1">
        <f t="array" ref="G18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42" s="2" t="s">
        <v>117</v>
      </c>
      <c r="I1842" s="2" t="s">
        <v>23</v>
      </c>
      <c r="J1842" s="2">
        <v>4</v>
      </c>
      <c r="K1842" s="8">
        <v>2199</v>
      </c>
      <c r="L1842" s="3">
        <v>0</v>
      </c>
      <c r="M1842" s="12">
        <f>K1842*L1842</f>
        <v>0</v>
      </c>
      <c r="N1842" s="12">
        <f>K1842*J1842</f>
        <v>8796</v>
      </c>
      <c r="O1842" s="12">
        <f>N1842-M1842</f>
        <v>8796</v>
      </c>
      <c r="P1842" s="2" t="s">
        <v>45</v>
      </c>
      <c r="Q1842" s="2" t="s">
        <v>18</v>
      </c>
      <c r="R1842" s="2">
        <v>80</v>
      </c>
      <c r="S1842" s="20">
        <f>Table1[[#This Row],[Net_revenue]]/Table1[[#This Row],[Gross_revenue]]*100%</f>
        <v>1</v>
      </c>
      <c r="T1842" s="18">
        <f>COUNTIFS(Table1[Customer ID], "&gt;1", Table1[Customer ID], 1)</f>
        <v>0</v>
      </c>
    </row>
    <row r="1843" spans="1:20" hidden="1" x14ac:dyDescent="0.3">
      <c r="A1843" s="2" t="s">
        <v>2556</v>
      </c>
      <c r="B1843" s="5">
        <v>45737</v>
      </c>
      <c r="C1843" s="5" t="str">
        <f>TEXT(B1843,"mmm")</f>
        <v>Mar</v>
      </c>
      <c r="D1843" s="2" t="s">
        <v>1275</v>
      </c>
      <c r="E1843" s="2" t="s">
        <v>40</v>
      </c>
      <c r="F1843" s="2" t="str" cm="1">
        <f t="array" ref="F18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43" s="2" t="str" cm="1">
        <f t="array" ref="G18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43" s="2" t="s">
        <v>63</v>
      </c>
      <c r="I1843" s="2" t="s">
        <v>23</v>
      </c>
      <c r="J1843" s="2">
        <v>3</v>
      </c>
      <c r="K1843" s="8">
        <v>2499</v>
      </c>
      <c r="L1843" s="3">
        <v>0.15</v>
      </c>
      <c r="M1843" s="12">
        <f>K1843*L1843</f>
        <v>374.84999999999997</v>
      </c>
      <c r="N1843" s="12">
        <f>K1843*J1843</f>
        <v>7497</v>
      </c>
      <c r="O1843" s="12">
        <f>N1843-M1843</f>
        <v>7122.15</v>
      </c>
      <c r="P1843" s="2" t="s">
        <v>45</v>
      </c>
      <c r="Q1843" s="2" t="s">
        <v>18</v>
      </c>
      <c r="R1843" s="2">
        <v>80</v>
      </c>
      <c r="S1843" s="20">
        <f>Table1[[#This Row],[Net_revenue]]/Table1[[#This Row],[Gross_revenue]]*100%</f>
        <v>0.95</v>
      </c>
      <c r="T1843" s="18">
        <f>COUNTIFS(Table1[Customer ID], "&gt;1", Table1[Customer ID], 1)</f>
        <v>0</v>
      </c>
    </row>
    <row r="1844" spans="1:20" hidden="1" x14ac:dyDescent="0.3">
      <c r="A1844" s="2" t="s">
        <v>2557</v>
      </c>
      <c r="B1844" s="5">
        <v>45840</v>
      </c>
      <c r="C1844" s="5" t="str">
        <f>TEXT(B1844,"mmm")</f>
        <v>Jul</v>
      </c>
      <c r="D1844" s="2" t="s">
        <v>249</v>
      </c>
      <c r="E1844" s="2" t="s">
        <v>48</v>
      </c>
      <c r="F1844" s="2" t="str" cm="1">
        <f t="array" ref="F18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44" s="2" t="str" cm="1">
        <f t="array" ref="G18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44" s="2" t="s">
        <v>22</v>
      </c>
      <c r="I1844" s="2" t="s">
        <v>23</v>
      </c>
      <c r="J1844" s="2">
        <v>2</v>
      </c>
      <c r="K1844" s="8">
        <v>3999</v>
      </c>
      <c r="L1844" s="3">
        <v>0.2</v>
      </c>
      <c r="M1844" s="12">
        <f>K1844*L1844</f>
        <v>799.80000000000007</v>
      </c>
      <c r="N1844" s="12">
        <f>K1844*J1844</f>
        <v>7998</v>
      </c>
      <c r="O1844" s="12">
        <f>N1844-M1844</f>
        <v>7198.2</v>
      </c>
      <c r="P1844" s="2" t="s">
        <v>45</v>
      </c>
      <c r="Q1844" s="2" t="s">
        <v>18</v>
      </c>
      <c r="R1844" s="2">
        <v>80</v>
      </c>
      <c r="S1844" s="20">
        <f>Table1[[#This Row],[Net_revenue]]/Table1[[#This Row],[Gross_revenue]]*100%</f>
        <v>0.9</v>
      </c>
      <c r="T1844" s="18">
        <f>COUNTIFS(Table1[Customer ID], "&gt;1", Table1[Customer ID], 1)</f>
        <v>0</v>
      </c>
    </row>
    <row r="1845" spans="1:20" hidden="1" x14ac:dyDescent="0.3">
      <c r="A1845" s="2" t="s">
        <v>2558</v>
      </c>
      <c r="B1845" s="5">
        <v>45845</v>
      </c>
      <c r="C1845" s="5" t="str">
        <f>TEXT(B1845,"mmm")</f>
        <v>Jul</v>
      </c>
      <c r="D1845" s="2" t="s">
        <v>559</v>
      </c>
      <c r="E1845" s="2" t="s">
        <v>40</v>
      </c>
      <c r="F1845" s="2" t="str" cm="1">
        <f t="array" ref="F18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45" s="2" t="str" cm="1">
        <f t="array" ref="G18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45" s="2" t="s">
        <v>63</v>
      </c>
      <c r="I1845" s="2" t="s">
        <v>23</v>
      </c>
      <c r="J1845" s="2">
        <v>1</v>
      </c>
      <c r="K1845" s="8">
        <v>2499</v>
      </c>
      <c r="L1845" s="3">
        <v>0.25</v>
      </c>
      <c r="M1845" s="12">
        <f>K1845*L1845</f>
        <v>624.75</v>
      </c>
      <c r="N1845" s="12">
        <f>K1845*J1845</f>
        <v>2499</v>
      </c>
      <c r="O1845" s="12">
        <f>N1845-M1845</f>
        <v>1874.25</v>
      </c>
      <c r="P1845" s="2" t="s">
        <v>17</v>
      </c>
      <c r="Q1845" s="2" t="s">
        <v>18</v>
      </c>
      <c r="R1845" s="2">
        <v>0</v>
      </c>
      <c r="S1845" s="20">
        <f>Table1[[#This Row],[Net_revenue]]/Table1[[#This Row],[Gross_revenue]]*100%</f>
        <v>0.75</v>
      </c>
      <c r="T1845" s="18">
        <f>COUNTIFS(Table1[Customer ID], "&gt;1", Table1[Customer ID], 1)</f>
        <v>0</v>
      </c>
    </row>
    <row r="1846" spans="1:20" hidden="1" x14ac:dyDescent="0.3">
      <c r="A1846" s="2" t="s">
        <v>2559</v>
      </c>
      <c r="B1846" s="5">
        <v>45818</v>
      </c>
      <c r="C1846" s="5" t="str">
        <f>TEXT(B1846,"mmm")</f>
        <v>Jun</v>
      </c>
      <c r="D1846" s="2" t="s">
        <v>116</v>
      </c>
      <c r="E1846" s="2" t="s">
        <v>21</v>
      </c>
      <c r="F1846" s="2" t="str" cm="1">
        <f t="array" ref="F18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46" s="2" t="str" cm="1">
        <f t="array" ref="G18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46" s="2" t="s">
        <v>134</v>
      </c>
      <c r="I1846" s="2" t="s">
        <v>29</v>
      </c>
      <c r="J1846" s="2">
        <v>1</v>
      </c>
      <c r="K1846" s="8">
        <v>1499</v>
      </c>
      <c r="L1846" s="3">
        <v>0.25</v>
      </c>
      <c r="M1846" s="12">
        <f>K1846*L1846</f>
        <v>374.75</v>
      </c>
      <c r="N1846" s="12">
        <f>K1846*J1846</f>
        <v>1499</v>
      </c>
      <c r="O1846" s="12">
        <f>N1846-M1846</f>
        <v>1124.25</v>
      </c>
      <c r="P1846" s="2" t="s">
        <v>17</v>
      </c>
      <c r="Q1846" s="2" t="s">
        <v>50</v>
      </c>
      <c r="R1846" s="2">
        <v>80</v>
      </c>
      <c r="S1846" s="20">
        <f>Table1[[#This Row],[Net_revenue]]/Table1[[#This Row],[Gross_revenue]]*100%</f>
        <v>0.75</v>
      </c>
      <c r="T1846" s="18">
        <f>COUNTIFS(Table1[Customer ID], "&gt;1", Table1[Customer ID], 1)</f>
        <v>0</v>
      </c>
    </row>
    <row r="1847" spans="1:20" hidden="1" x14ac:dyDescent="0.3">
      <c r="A1847" s="2" t="s">
        <v>2560</v>
      </c>
      <c r="B1847" s="5">
        <v>45903</v>
      </c>
      <c r="C1847" s="5" t="str">
        <f>TEXT(B1847,"mmm")</f>
        <v>Sep</v>
      </c>
      <c r="D1847" s="2" t="s">
        <v>327</v>
      </c>
      <c r="E1847" s="2" t="s">
        <v>56</v>
      </c>
      <c r="F1847" s="2" t="str" cm="1">
        <f t="array" ref="F18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47" s="2" t="str" cm="1">
        <f t="array" ref="G18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47" s="2" t="s">
        <v>89</v>
      </c>
      <c r="I1847" s="2" t="s">
        <v>29</v>
      </c>
      <c r="J1847" s="2">
        <v>1</v>
      </c>
      <c r="K1847" s="8">
        <v>449</v>
      </c>
      <c r="L1847" s="3">
        <v>0</v>
      </c>
      <c r="M1847" s="12">
        <f>K1847*L1847</f>
        <v>0</v>
      </c>
      <c r="N1847" s="12">
        <f>K1847*J1847</f>
        <v>449</v>
      </c>
      <c r="O1847" s="12">
        <f>N1847-M1847</f>
        <v>449</v>
      </c>
      <c r="P1847" s="2" t="s">
        <v>45</v>
      </c>
      <c r="Q1847" s="2" t="s">
        <v>18</v>
      </c>
      <c r="R1847" s="2">
        <v>80</v>
      </c>
      <c r="S1847" s="20">
        <f>Table1[[#This Row],[Net_revenue]]/Table1[[#This Row],[Gross_revenue]]*100%</f>
        <v>1</v>
      </c>
      <c r="T1847" s="18">
        <f>COUNTIFS(Table1[Customer ID], "&gt;1", Table1[Customer ID], 1)</f>
        <v>0</v>
      </c>
    </row>
    <row r="1848" spans="1:20" hidden="1" x14ac:dyDescent="0.3">
      <c r="A1848" s="2" t="s">
        <v>2561</v>
      </c>
      <c r="B1848" s="5">
        <v>45831</v>
      </c>
      <c r="C1848" s="5" t="str">
        <f>TEXT(B1848,"mmm")</f>
        <v>Jun</v>
      </c>
      <c r="D1848" s="2" t="s">
        <v>278</v>
      </c>
      <c r="E1848" s="2" t="s">
        <v>48</v>
      </c>
      <c r="F1848" s="2" t="str" cm="1">
        <f t="array" ref="F18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48" s="2" t="str" cm="1">
        <f t="array" ref="G18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48" s="2" t="s">
        <v>71</v>
      </c>
      <c r="I1848" s="2" t="s">
        <v>29</v>
      </c>
      <c r="J1848" s="2">
        <v>1</v>
      </c>
      <c r="K1848" s="8">
        <v>5499</v>
      </c>
      <c r="L1848" s="3">
        <v>0.25</v>
      </c>
      <c r="M1848" s="12">
        <f>K1848*L1848</f>
        <v>1374.75</v>
      </c>
      <c r="N1848" s="12">
        <f>K1848*J1848</f>
        <v>5499</v>
      </c>
      <c r="O1848" s="12">
        <f>N1848-M1848</f>
        <v>4124.25</v>
      </c>
      <c r="P1848" s="2" t="s">
        <v>45</v>
      </c>
      <c r="Q1848" s="2" t="s">
        <v>18</v>
      </c>
      <c r="R1848" s="2">
        <v>60</v>
      </c>
      <c r="S1848" s="20">
        <f>Table1[[#This Row],[Net_revenue]]/Table1[[#This Row],[Gross_revenue]]*100%</f>
        <v>0.75</v>
      </c>
      <c r="T1848" s="18">
        <f>COUNTIFS(Table1[Customer ID], "&gt;1", Table1[Customer ID], 1)</f>
        <v>0</v>
      </c>
    </row>
    <row r="1849" spans="1:20" hidden="1" x14ac:dyDescent="0.3">
      <c r="A1849" s="2" t="s">
        <v>2562</v>
      </c>
      <c r="B1849" s="5">
        <v>45703</v>
      </c>
      <c r="C1849" s="5" t="str">
        <f>TEXT(B1849,"mmm")</f>
        <v>Feb</v>
      </c>
      <c r="D1849" s="2" t="s">
        <v>2258</v>
      </c>
      <c r="E1849" s="2" t="s">
        <v>21</v>
      </c>
      <c r="F1849" s="2" t="str" cm="1">
        <f t="array" ref="F18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49" s="2" t="str" cm="1">
        <f t="array" ref="G18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49" s="2" t="s">
        <v>22</v>
      </c>
      <c r="I1849" s="2" t="s">
        <v>23</v>
      </c>
      <c r="J1849" s="2">
        <v>1</v>
      </c>
      <c r="K1849" s="8">
        <v>3999</v>
      </c>
      <c r="L1849" s="3">
        <v>0</v>
      </c>
      <c r="M1849" s="12">
        <f>K1849*L1849</f>
        <v>0</v>
      </c>
      <c r="N1849" s="12">
        <f>K1849*J1849</f>
        <v>3999</v>
      </c>
      <c r="O1849" s="12">
        <f>N1849-M1849</f>
        <v>3999</v>
      </c>
      <c r="P1849" s="2" t="s">
        <v>45</v>
      </c>
      <c r="Q1849" s="2" t="s">
        <v>18</v>
      </c>
      <c r="R1849" s="2">
        <v>40</v>
      </c>
      <c r="S1849" s="20">
        <f>Table1[[#This Row],[Net_revenue]]/Table1[[#This Row],[Gross_revenue]]*100%</f>
        <v>1</v>
      </c>
      <c r="T1849" s="18">
        <f>COUNTIFS(Table1[Customer ID], "&gt;1", Table1[Customer ID], 1)</f>
        <v>0</v>
      </c>
    </row>
    <row r="1850" spans="1:20" hidden="1" x14ac:dyDescent="0.3">
      <c r="A1850" s="2" t="s">
        <v>2563</v>
      </c>
      <c r="B1850" s="5">
        <v>45993</v>
      </c>
      <c r="C1850" s="5" t="str">
        <f>TEXT(B1850,"mmm")</f>
        <v>Dec</v>
      </c>
      <c r="D1850" s="2" t="s">
        <v>1175</v>
      </c>
      <c r="E1850" s="2" t="s">
        <v>53</v>
      </c>
      <c r="F1850" s="2" t="str" cm="1">
        <f t="array" ref="F18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850" s="2" t="str" cm="1">
        <f t="array" ref="G18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50" s="2" t="s">
        <v>89</v>
      </c>
      <c r="I1850" s="2" t="s">
        <v>29</v>
      </c>
      <c r="J1850" s="2">
        <v>1</v>
      </c>
      <c r="K1850" s="8">
        <v>449</v>
      </c>
      <c r="L1850" s="3">
        <v>0</v>
      </c>
      <c r="M1850" s="12">
        <f>K1850*L1850</f>
        <v>0</v>
      </c>
      <c r="N1850" s="12">
        <f>K1850*J1850</f>
        <v>449</v>
      </c>
      <c r="O1850" s="12">
        <f>N1850-M1850</f>
        <v>449</v>
      </c>
      <c r="P1850" s="2" t="s">
        <v>30</v>
      </c>
      <c r="Q1850" s="2" t="s">
        <v>18</v>
      </c>
      <c r="R1850" s="2">
        <v>80</v>
      </c>
      <c r="S1850" s="20">
        <f>Table1[[#This Row],[Net_revenue]]/Table1[[#This Row],[Gross_revenue]]*100%</f>
        <v>1</v>
      </c>
      <c r="T1850" s="18">
        <f>COUNTIFS(Table1[Customer ID], "&gt;1", Table1[Customer ID], 1)</f>
        <v>0</v>
      </c>
    </row>
    <row r="1851" spans="1:20" hidden="1" x14ac:dyDescent="0.3">
      <c r="A1851" s="2" t="s">
        <v>2564</v>
      </c>
      <c r="B1851" s="5">
        <v>45957</v>
      </c>
      <c r="C1851" s="5" t="str">
        <f>TEXT(B1851,"mmm")</f>
        <v>Oct</v>
      </c>
      <c r="D1851" s="2" t="s">
        <v>1647</v>
      </c>
      <c r="E1851" s="2" t="s">
        <v>40</v>
      </c>
      <c r="F1851" s="2" t="str" cm="1">
        <f t="array" ref="F18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51" s="2" t="str" cm="1">
        <f t="array" ref="G18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51" s="2" t="s">
        <v>36</v>
      </c>
      <c r="I1851" s="2" t="s">
        <v>37</v>
      </c>
      <c r="J1851" s="2">
        <v>4</v>
      </c>
      <c r="K1851" s="8">
        <v>349</v>
      </c>
      <c r="L1851" s="3">
        <v>0.1</v>
      </c>
      <c r="M1851" s="12">
        <f>K1851*L1851</f>
        <v>34.9</v>
      </c>
      <c r="N1851" s="12">
        <f>K1851*J1851</f>
        <v>1396</v>
      </c>
      <c r="O1851" s="12">
        <f>N1851-M1851</f>
        <v>1361.1</v>
      </c>
      <c r="P1851" s="2" t="s">
        <v>17</v>
      </c>
      <c r="Q1851" s="2" t="s">
        <v>18</v>
      </c>
      <c r="R1851" s="2">
        <v>0</v>
      </c>
      <c r="S1851" s="20">
        <f>Table1[[#This Row],[Net_revenue]]/Table1[[#This Row],[Gross_revenue]]*100%</f>
        <v>0.97499999999999998</v>
      </c>
      <c r="T1851" s="18">
        <f>COUNTIFS(Table1[Customer ID], "&gt;1", Table1[Customer ID], 1)</f>
        <v>0</v>
      </c>
    </row>
    <row r="1852" spans="1:20" hidden="1" x14ac:dyDescent="0.3">
      <c r="A1852" s="2" t="s">
        <v>2565</v>
      </c>
      <c r="B1852" s="5">
        <v>45730</v>
      </c>
      <c r="C1852" s="5" t="str">
        <f>TEXT(B1852,"mmm")</f>
        <v>Mar</v>
      </c>
      <c r="D1852" s="2" t="s">
        <v>807</v>
      </c>
      <c r="E1852" s="2" t="s">
        <v>40</v>
      </c>
      <c r="F1852" s="2" t="str" cm="1">
        <f t="array" ref="F18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52" s="2" t="str" cm="1">
        <f t="array" ref="G18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52" s="2" t="s">
        <v>49</v>
      </c>
      <c r="I1852" s="2" t="s">
        <v>23</v>
      </c>
      <c r="J1852" s="2">
        <v>1</v>
      </c>
      <c r="K1852" s="8">
        <v>1299</v>
      </c>
      <c r="L1852" s="3">
        <v>0.1</v>
      </c>
      <c r="M1852" s="12">
        <f>K1852*L1852</f>
        <v>129.9</v>
      </c>
      <c r="N1852" s="12">
        <f>K1852*J1852</f>
        <v>1299</v>
      </c>
      <c r="O1852" s="12">
        <f>N1852-M1852</f>
        <v>1169.0999999999999</v>
      </c>
      <c r="P1852" s="2" t="s">
        <v>45</v>
      </c>
      <c r="Q1852" s="2" t="s">
        <v>18</v>
      </c>
      <c r="R1852" s="2">
        <v>40</v>
      </c>
      <c r="S1852" s="20">
        <f>Table1[[#This Row],[Net_revenue]]/Table1[[#This Row],[Gross_revenue]]*100%</f>
        <v>0.89999999999999991</v>
      </c>
      <c r="T1852" s="18">
        <f>COUNTIFS(Table1[Customer ID], "&gt;1", Table1[Customer ID], 1)</f>
        <v>0</v>
      </c>
    </row>
    <row r="1853" spans="1:20" hidden="1" x14ac:dyDescent="0.3">
      <c r="A1853" s="2" t="s">
        <v>2566</v>
      </c>
      <c r="B1853" s="5">
        <v>45738</v>
      </c>
      <c r="C1853" s="5" t="str">
        <f>TEXT(B1853,"mmm")</f>
        <v>Mar</v>
      </c>
      <c r="D1853" s="2" t="s">
        <v>351</v>
      </c>
      <c r="E1853" s="2" t="s">
        <v>21</v>
      </c>
      <c r="F1853" s="2" t="str" cm="1">
        <f t="array" ref="F18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53" s="2" t="str" cm="1">
        <f t="array" ref="G18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53" s="2" t="s">
        <v>68</v>
      </c>
      <c r="I1853" s="2" t="s">
        <v>16</v>
      </c>
      <c r="J1853" s="2">
        <v>3</v>
      </c>
      <c r="K1853" s="8">
        <v>599</v>
      </c>
      <c r="L1853" s="3">
        <v>0.05</v>
      </c>
      <c r="M1853" s="12">
        <f>K1853*L1853</f>
        <v>29.950000000000003</v>
      </c>
      <c r="N1853" s="12">
        <f>K1853*J1853</f>
        <v>1797</v>
      </c>
      <c r="O1853" s="12">
        <f>N1853-M1853</f>
        <v>1767.05</v>
      </c>
      <c r="P1853" s="2" t="s">
        <v>24</v>
      </c>
      <c r="Q1853" s="2" t="s">
        <v>50</v>
      </c>
      <c r="R1853" s="2">
        <v>80</v>
      </c>
      <c r="S1853" s="20">
        <f>Table1[[#This Row],[Net_revenue]]/Table1[[#This Row],[Gross_revenue]]*100%</f>
        <v>0.98333333333333328</v>
      </c>
      <c r="T1853" s="18">
        <f>COUNTIFS(Table1[Customer ID], "&gt;1", Table1[Customer ID], 1)</f>
        <v>0</v>
      </c>
    </row>
    <row r="1854" spans="1:20" hidden="1" x14ac:dyDescent="0.3">
      <c r="A1854" s="2" t="s">
        <v>2567</v>
      </c>
      <c r="B1854" s="5">
        <v>45676</v>
      </c>
      <c r="C1854" s="5" t="str">
        <f>TEXT(B1854,"mmm")</f>
        <v>Jan</v>
      </c>
      <c r="D1854" s="2" t="s">
        <v>136</v>
      </c>
      <c r="E1854" s="2" t="s">
        <v>48</v>
      </c>
      <c r="F1854" s="2" t="str" cm="1">
        <f t="array" ref="F18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54" s="2" t="str" cm="1">
        <f t="array" ref="G18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54" s="2" t="s">
        <v>49</v>
      </c>
      <c r="I1854" s="2" t="s">
        <v>23</v>
      </c>
      <c r="J1854" s="2">
        <v>1</v>
      </c>
      <c r="K1854" s="8">
        <v>1299</v>
      </c>
      <c r="L1854" s="3">
        <v>0.25</v>
      </c>
      <c r="M1854" s="12">
        <f>K1854*L1854</f>
        <v>324.75</v>
      </c>
      <c r="N1854" s="12">
        <f>K1854*J1854</f>
        <v>1299</v>
      </c>
      <c r="O1854" s="12">
        <f>N1854-M1854</f>
        <v>974.25</v>
      </c>
      <c r="P1854" s="2" t="s">
        <v>45</v>
      </c>
      <c r="Q1854" s="2" t="s">
        <v>18</v>
      </c>
      <c r="R1854" s="2">
        <v>40</v>
      </c>
      <c r="S1854" s="20">
        <f>Table1[[#This Row],[Net_revenue]]/Table1[[#This Row],[Gross_revenue]]*100%</f>
        <v>0.75</v>
      </c>
      <c r="T1854" s="18">
        <f>COUNTIFS(Table1[Customer ID], "&gt;1", Table1[Customer ID], 1)</f>
        <v>0</v>
      </c>
    </row>
    <row r="1855" spans="1:20" hidden="1" x14ac:dyDescent="0.3">
      <c r="A1855" s="2" t="s">
        <v>2568</v>
      </c>
      <c r="B1855" s="5">
        <v>45902</v>
      </c>
      <c r="C1855" s="5" t="str">
        <f>TEXT(B1855,"mmm")</f>
        <v>Sep</v>
      </c>
      <c r="D1855" s="2" t="s">
        <v>817</v>
      </c>
      <c r="E1855" s="2" t="s">
        <v>40</v>
      </c>
      <c r="F1855" s="2" t="str" cm="1">
        <f t="array" ref="F18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55" s="2" t="str" cm="1">
        <f t="array" ref="G18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55" s="2" t="s">
        <v>22</v>
      </c>
      <c r="I1855" s="2" t="s">
        <v>23</v>
      </c>
      <c r="J1855" s="2">
        <v>1</v>
      </c>
      <c r="K1855" s="8">
        <v>3999</v>
      </c>
      <c r="L1855" s="3">
        <v>0.05</v>
      </c>
      <c r="M1855" s="12">
        <f>K1855*L1855</f>
        <v>199.95000000000002</v>
      </c>
      <c r="N1855" s="12">
        <f>K1855*J1855</f>
        <v>3999</v>
      </c>
      <c r="O1855" s="12">
        <f>N1855-M1855</f>
        <v>3799.05</v>
      </c>
      <c r="P1855" s="2" t="s">
        <v>30</v>
      </c>
      <c r="Q1855" s="2" t="s">
        <v>18</v>
      </c>
      <c r="R1855" s="2">
        <v>60</v>
      </c>
      <c r="S1855" s="20">
        <f>Table1[[#This Row],[Net_revenue]]/Table1[[#This Row],[Gross_revenue]]*100%</f>
        <v>0.95000000000000007</v>
      </c>
      <c r="T1855" s="18">
        <f>COUNTIFS(Table1[Customer ID], "&gt;1", Table1[Customer ID], 1)</f>
        <v>0</v>
      </c>
    </row>
    <row r="1856" spans="1:20" hidden="1" x14ac:dyDescent="0.3">
      <c r="A1856" s="2" t="s">
        <v>2569</v>
      </c>
      <c r="B1856" s="5">
        <v>45903</v>
      </c>
      <c r="C1856" s="5" t="str">
        <f>TEXT(B1856,"mmm")</f>
        <v>Sep</v>
      </c>
      <c r="D1856" s="2" t="s">
        <v>1615</v>
      </c>
      <c r="E1856" s="2" t="s">
        <v>120</v>
      </c>
      <c r="F1856" s="2" t="str" cm="1">
        <f t="array" ref="F18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56" s="2" t="str" cm="1">
        <f t="array" ref="G18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56" s="2" t="s">
        <v>49</v>
      </c>
      <c r="I1856" s="2" t="s">
        <v>23</v>
      </c>
      <c r="J1856" s="2">
        <v>3</v>
      </c>
      <c r="K1856" s="8">
        <v>1299</v>
      </c>
      <c r="L1856" s="3">
        <v>0.05</v>
      </c>
      <c r="M1856" s="12">
        <f>K1856*L1856</f>
        <v>64.95</v>
      </c>
      <c r="N1856" s="12">
        <f>K1856*J1856</f>
        <v>3897</v>
      </c>
      <c r="O1856" s="12">
        <f>N1856-M1856</f>
        <v>3832.05</v>
      </c>
      <c r="P1856" s="2" t="s">
        <v>45</v>
      </c>
      <c r="Q1856" s="2" t="s">
        <v>50</v>
      </c>
      <c r="R1856" s="2">
        <v>40</v>
      </c>
      <c r="S1856" s="20">
        <f>Table1[[#This Row],[Net_revenue]]/Table1[[#This Row],[Gross_revenue]]*100%</f>
        <v>0.98333333333333339</v>
      </c>
      <c r="T1856" s="18">
        <f>COUNTIFS(Table1[Customer ID], "&gt;1", Table1[Customer ID], 1)</f>
        <v>0</v>
      </c>
    </row>
    <row r="1857" spans="1:20" x14ac:dyDescent="0.3">
      <c r="A1857" s="2" t="s">
        <v>2570</v>
      </c>
      <c r="B1857" s="5">
        <v>45944</v>
      </c>
      <c r="C1857" s="5" t="str">
        <f>TEXT(B1857,"mmm")</f>
        <v>Oct</v>
      </c>
      <c r="D1857" s="2" t="s">
        <v>1449</v>
      </c>
      <c r="E1857" s="2"/>
      <c r="F1857" s="2" t="str" cm="1">
        <f t="array" ref="F18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Unknown</v>
      </c>
      <c r="G1857" s="2" t="str" cm="1">
        <f t="array" ref="G18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Unknown region</v>
      </c>
      <c r="H1857" s="2" t="s">
        <v>65</v>
      </c>
      <c r="I1857" s="2" t="s">
        <v>23</v>
      </c>
      <c r="J1857" s="2">
        <v>1</v>
      </c>
      <c r="K1857" s="8">
        <v>1899</v>
      </c>
      <c r="L1857" s="3">
        <v>0.2</v>
      </c>
      <c r="M1857" s="12">
        <f>K1857*L1857</f>
        <v>379.8</v>
      </c>
      <c r="N1857" s="12">
        <f>K1857*J1857</f>
        <v>1899</v>
      </c>
      <c r="O1857" s="12">
        <f>N1857-M1857</f>
        <v>1519.2</v>
      </c>
      <c r="P1857" s="2" t="s">
        <v>17</v>
      </c>
      <c r="Q1857" s="2" t="s">
        <v>18</v>
      </c>
      <c r="R1857" s="2">
        <v>60</v>
      </c>
      <c r="S1857" s="20">
        <f>Table1[[#This Row],[Net_revenue]]/Table1[[#This Row],[Gross_revenue]]*100%</f>
        <v>0.8</v>
      </c>
      <c r="T1857" s="18">
        <f>COUNTIFS(Table1[Customer ID], "&gt;1", Table1[Customer ID], 1)</f>
        <v>0</v>
      </c>
    </row>
    <row r="1858" spans="1:20" hidden="1" x14ac:dyDescent="0.3">
      <c r="A1858" s="2" t="s">
        <v>2571</v>
      </c>
      <c r="B1858" s="5">
        <v>45962</v>
      </c>
      <c r="C1858" s="5" t="str">
        <f>TEXT(B1858,"mmm")</f>
        <v>Nov</v>
      </c>
      <c r="D1858" s="2" t="s">
        <v>590</v>
      </c>
      <c r="E1858" s="2" t="s">
        <v>120</v>
      </c>
      <c r="F1858" s="2" t="str" cm="1">
        <f t="array" ref="F18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58" s="2" t="str" cm="1">
        <f t="array" ref="G18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58" s="2" t="s">
        <v>134</v>
      </c>
      <c r="I1858" s="2" t="s">
        <v>29</v>
      </c>
      <c r="J1858" s="2">
        <v>1</v>
      </c>
      <c r="K1858" s="8">
        <v>1499</v>
      </c>
      <c r="L1858" s="3">
        <v>0.25</v>
      </c>
      <c r="M1858" s="12">
        <f>K1858*L1858</f>
        <v>374.75</v>
      </c>
      <c r="N1858" s="12">
        <f>K1858*J1858</f>
        <v>1499</v>
      </c>
      <c r="O1858" s="12">
        <f>N1858-M1858</f>
        <v>1124.25</v>
      </c>
      <c r="P1858" s="2" t="s">
        <v>45</v>
      </c>
      <c r="Q1858" s="2" t="s">
        <v>18</v>
      </c>
      <c r="R1858" s="2">
        <v>60</v>
      </c>
      <c r="S1858" s="20">
        <f>Table1[[#This Row],[Net_revenue]]/Table1[[#This Row],[Gross_revenue]]*100%</f>
        <v>0.75</v>
      </c>
      <c r="T1858" s="18">
        <f>COUNTIFS(Table1[Customer ID], "&gt;1", Table1[Customer ID], 1)</f>
        <v>0</v>
      </c>
    </row>
    <row r="1859" spans="1:20" hidden="1" x14ac:dyDescent="0.3">
      <c r="A1859" s="2" t="s">
        <v>2572</v>
      </c>
      <c r="B1859" s="5">
        <v>45977</v>
      </c>
      <c r="C1859" s="5" t="str">
        <f>TEXT(B1859,"mmm")</f>
        <v>Nov</v>
      </c>
      <c r="D1859" s="2" t="s">
        <v>2242</v>
      </c>
      <c r="E1859" s="2" t="s">
        <v>21</v>
      </c>
      <c r="F1859" s="2" t="str" cm="1">
        <f t="array" ref="F18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59" s="2" t="str" cm="1">
        <f t="array" ref="G18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59" s="2" t="s">
        <v>80</v>
      </c>
      <c r="I1859" s="2" t="s">
        <v>23</v>
      </c>
      <c r="J1859" s="2">
        <v>1</v>
      </c>
      <c r="K1859" s="8">
        <v>799</v>
      </c>
      <c r="L1859" s="3">
        <v>0.05</v>
      </c>
      <c r="M1859" s="12">
        <f>K1859*L1859</f>
        <v>39.950000000000003</v>
      </c>
      <c r="N1859" s="12">
        <f>K1859*J1859</f>
        <v>799</v>
      </c>
      <c r="O1859" s="12">
        <f>N1859-M1859</f>
        <v>759.05</v>
      </c>
      <c r="P1859" s="2" t="s">
        <v>30</v>
      </c>
      <c r="Q1859" s="2" t="s">
        <v>18</v>
      </c>
      <c r="R1859" s="2">
        <v>80</v>
      </c>
      <c r="S1859" s="20">
        <f>Table1[[#This Row],[Net_revenue]]/Table1[[#This Row],[Gross_revenue]]*100%</f>
        <v>0.95</v>
      </c>
      <c r="T1859" s="18">
        <f>COUNTIFS(Table1[Customer ID], "&gt;1", Table1[Customer ID], 1)</f>
        <v>0</v>
      </c>
    </row>
    <row r="1860" spans="1:20" hidden="1" x14ac:dyDescent="0.3">
      <c r="A1860" s="2" t="s">
        <v>2573</v>
      </c>
      <c r="B1860" s="5">
        <v>45762</v>
      </c>
      <c r="C1860" s="5" t="str">
        <f>TEXT(B1860,"mmm")</f>
        <v>Apr</v>
      </c>
      <c r="D1860" s="2" t="s">
        <v>1081</v>
      </c>
      <c r="E1860" s="2" t="s">
        <v>21</v>
      </c>
      <c r="F1860" s="2" t="str" cm="1">
        <f t="array" ref="F18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60" s="2" t="str" cm="1">
        <f t="array" ref="G18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60" s="2" t="s">
        <v>89</v>
      </c>
      <c r="I1860" s="2" t="s">
        <v>29</v>
      </c>
      <c r="J1860" s="2">
        <v>1</v>
      </c>
      <c r="K1860" s="8">
        <v>449</v>
      </c>
      <c r="L1860" s="3">
        <v>0</v>
      </c>
      <c r="M1860" s="12">
        <f>K1860*L1860</f>
        <v>0</v>
      </c>
      <c r="N1860" s="12">
        <f>K1860*J1860</f>
        <v>449</v>
      </c>
      <c r="O1860" s="12">
        <f>N1860-M1860</f>
        <v>449</v>
      </c>
      <c r="P1860" s="2" t="s">
        <v>24</v>
      </c>
      <c r="Q1860" s="2" t="s">
        <v>18</v>
      </c>
      <c r="R1860" s="2">
        <v>80</v>
      </c>
      <c r="S1860" s="20">
        <f>Table1[[#This Row],[Net_revenue]]/Table1[[#This Row],[Gross_revenue]]*100%</f>
        <v>1</v>
      </c>
      <c r="T1860" s="18">
        <f>COUNTIFS(Table1[Customer ID], "&gt;1", Table1[Customer ID], 1)</f>
        <v>0</v>
      </c>
    </row>
    <row r="1861" spans="1:20" hidden="1" x14ac:dyDescent="0.3">
      <c r="A1861" s="2" t="s">
        <v>2574</v>
      </c>
      <c r="B1861" s="5">
        <v>45726</v>
      </c>
      <c r="C1861" s="5" t="str">
        <f>TEXT(B1861,"mmm")</f>
        <v>Mar</v>
      </c>
      <c r="D1861" s="2" t="s">
        <v>926</v>
      </c>
      <c r="E1861" s="2" t="s">
        <v>21</v>
      </c>
      <c r="F1861" s="2" t="str" cm="1">
        <f t="array" ref="F18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61" s="2" t="str" cm="1">
        <f t="array" ref="G18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61" s="2" t="s">
        <v>183</v>
      </c>
      <c r="I1861" s="2" t="s">
        <v>37</v>
      </c>
      <c r="J1861" s="2">
        <v>1</v>
      </c>
      <c r="K1861" s="8">
        <v>499</v>
      </c>
      <c r="L1861" s="3">
        <v>0.1</v>
      </c>
      <c r="M1861" s="12">
        <f>K1861*L1861</f>
        <v>49.900000000000006</v>
      </c>
      <c r="N1861" s="12">
        <f>K1861*J1861</f>
        <v>499</v>
      </c>
      <c r="O1861" s="12">
        <f>N1861-M1861</f>
        <v>449.1</v>
      </c>
      <c r="P1861" s="2" t="s">
        <v>30</v>
      </c>
      <c r="Q1861" s="2" t="s">
        <v>18</v>
      </c>
      <c r="R1861" s="2">
        <v>0</v>
      </c>
      <c r="S1861" s="20">
        <f>Table1[[#This Row],[Net_revenue]]/Table1[[#This Row],[Gross_revenue]]*100%</f>
        <v>0.9</v>
      </c>
      <c r="T1861" s="18">
        <f>COUNTIFS(Table1[Customer ID], "&gt;1", Table1[Customer ID], 1)</f>
        <v>0</v>
      </c>
    </row>
    <row r="1862" spans="1:20" hidden="1" x14ac:dyDescent="0.3">
      <c r="A1862" s="2" t="s">
        <v>2575</v>
      </c>
      <c r="B1862" s="5">
        <v>45941</v>
      </c>
      <c r="C1862" s="5" t="str">
        <f>TEXT(B1862,"mmm")</f>
        <v>Oct</v>
      </c>
      <c r="D1862" s="2" t="s">
        <v>1095</v>
      </c>
      <c r="E1862" s="2" t="s">
        <v>40</v>
      </c>
      <c r="F1862" s="2" t="str" cm="1">
        <f t="array" ref="F18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62" s="2" t="str" cm="1">
        <f t="array" ref="G18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62" s="2" t="s">
        <v>117</v>
      </c>
      <c r="I1862" s="2" t="s">
        <v>23</v>
      </c>
      <c r="J1862" s="2">
        <v>4</v>
      </c>
      <c r="K1862" s="8">
        <v>2199</v>
      </c>
      <c r="L1862" s="3">
        <v>0.25</v>
      </c>
      <c r="M1862" s="12">
        <f>K1862*L1862</f>
        <v>549.75</v>
      </c>
      <c r="N1862" s="12">
        <f>K1862*J1862</f>
        <v>8796</v>
      </c>
      <c r="O1862" s="12">
        <f>N1862-M1862</f>
        <v>8246.25</v>
      </c>
      <c r="P1862" s="2" t="s">
        <v>30</v>
      </c>
      <c r="Q1862" s="2" t="s">
        <v>50</v>
      </c>
      <c r="R1862" s="2">
        <v>60</v>
      </c>
      <c r="S1862" s="20">
        <f>Table1[[#This Row],[Net_revenue]]/Table1[[#This Row],[Gross_revenue]]*100%</f>
        <v>0.9375</v>
      </c>
      <c r="T1862" s="18">
        <f>COUNTIFS(Table1[Customer ID], "&gt;1", Table1[Customer ID], 1)</f>
        <v>0</v>
      </c>
    </row>
    <row r="1863" spans="1:20" hidden="1" x14ac:dyDescent="0.3">
      <c r="A1863" s="2" t="s">
        <v>2576</v>
      </c>
      <c r="B1863" s="5">
        <v>45893</v>
      </c>
      <c r="C1863" s="5" t="str">
        <f>TEXT(B1863,"mmm")</f>
        <v>Aug</v>
      </c>
      <c r="D1863" s="2" t="s">
        <v>1485</v>
      </c>
      <c r="E1863" s="2" t="s">
        <v>75</v>
      </c>
      <c r="F1863" s="2" t="str" cm="1">
        <f t="array" ref="F18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63" s="2" t="str" cm="1">
        <f t="array" ref="G18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63" s="2" t="s">
        <v>22</v>
      </c>
      <c r="I1863" s="2" t="s">
        <v>23</v>
      </c>
      <c r="J1863" s="2">
        <v>1</v>
      </c>
      <c r="K1863" s="8">
        <v>3999</v>
      </c>
      <c r="L1863" s="3">
        <v>0</v>
      </c>
      <c r="M1863" s="12">
        <f>K1863*L1863</f>
        <v>0</v>
      </c>
      <c r="N1863" s="12">
        <f>K1863*J1863</f>
        <v>3999</v>
      </c>
      <c r="O1863" s="12">
        <f>N1863-M1863</f>
        <v>3999</v>
      </c>
      <c r="P1863" s="2" t="s">
        <v>45</v>
      </c>
      <c r="Q1863" s="2" t="s">
        <v>18</v>
      </c>
      <c r="R1863" s="2">
        <v>60</v>
      </c>
      <c r="S1863" s="20">
        <f>Table1[[#This Row],[Net_revenue]]/Table1[[#This Row],[Gross_revenue]]*100%</f>
        <v>1</v>
      </c>
      <c r="T1863" s="18">
        <f>COUNTIFS(Table1[Customer ID], "&gt;1", Table1[Customer ID], 1)</f>
        <v>0</v>
      </c>
    </row>
    <row r="1864" spans="1:20" hidden="1" x14ac:dyDescent="0.3">
      <c r="A1864" s="2" t="s">
        <v>2577</v>
      </c>
      <c r="B1864" s="5">
        <v>45973</v>
      </c>
      <c r="C1864" s="5" t="str">
        <f>TEXT(B1864,"mmm")</f>
        <v>Nov</v>
      </c>
      <c r="D1864" s="2" t="s">
        <v>750</v>
      </c>
      <c r="E1864" s="2" t="s">
        <v>40</v>
      </c>
      <c r="F1864" s="2" t="str" cm="1">
        <f t="array" ref="F18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64" s="2" t="str" cm="1">
        <f t="array" ref="G18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64" s="2" t="s">
        <v>65</v>
      </c>
      <c r="I1864" s="2" t="s">
        <v>23</v>
      </c>
      <c r="J1864" s="2">
        <v>1</v>
      </c>
      <c r="K1864" s="8">
        <v>1899</v>
      </c>
      <c r="L1864" s="3">
        <v>0.05</v>
      </c>
      <c r="M1864" s="12">
        <f>K1864*L1864</f>
        <v>94.95</v>
      </c>
      <c r="N1864" s="12">
        <f>K1864*J1864</f>
        <v>1899</v>
      </c>
      <c r="O1864" s="12">
        <f>N1864-M1864</f>
        <v>1804.05</v>
      </c>
      <c r="P1864" s="2" t="s">
        <v>45</v>
      </c>
      <c r="Q1864" s="2" t="s">
        <v>18</v>
      </c>
      <c r="R1864" s="2">
        <v>0</v>
      </c>
      <c r="S1864" s="20">
        <f>Table1[[#This Row],[Net_revenue]]/Table1[[#This Row],[Gross_revenue]]*100%</f>
        <v>0.95</v>
      </c>
      <c r="T1864" s="18">
        <f>COUNTIFS(Table1[Customer ID], "&gt;1", Table1[Customer ID], 1)</f>
        <v>0</v>
      </c>
    </row>
    <row r="1865" spans="1:20" hidden="1" x14ac:dyDescent="0.3">
      <c r="A1865" s="2" t="s">
        <v>2578</v>
      </c>
      <c r="B1865" s="5">
        <v>45976</v>
      </c>
      <c r="C1865" s="5" t="str">
        <f>TEXT(B1865,"mmm")</f>
        <v>Nov</v>
      </c>
      <c r="D1865" s="2" t="s">
        <v>371</v>
      </c>
      <c r="E1865" s="2" t="s">
        <v>40</v>
      </c>
      <c r="F1865" s="2" t="str" cm="1">
        <f t="array" ref="F18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65" s="2" t="str" cm="1">
        <f t="array" ref="G18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65" s="2" t="s">
        <v>49</v>
      </c>
      <c r="I1865" s="2" t="s">
        <v>23</v>
      </c>
      <c r="J1865" s="2">
        <v>1</v>
      </c>
      <c r="K1865" s="8">
        <v>1299</v>
      </c>
      <c r="L1865" s="3">
        <v>0.2</v>
      </c>
      <c r="M1865" s="12">
        <f>K1865*L1865</f>
        <v>259.8</v>
      </c>
      <c r="N1865" s="12">
        <f>K1865*J1865</f>
        <v>1299</v>
      </c>
      <c r="O1865" s="12">
        <f>N1865-M1865</f>
        <v>1039.2</v>
      </c>
      <c r="P1865" s="2" t="s">
        <v>30</v>
      </c>
      <c r="Q1865" s="2" t="s">
        <v>50</v>
      </c>
      <c r="R1865" s="2">
        <v>80</v>
      </c>
      <c r="S1865" s="20">
        <f>Table1[[#This Row],[Net_revenue]]/Table1[[#This Row],[Gross_revenue]]*100%</f>
        <v>0.8</v>
      </c>
      <c r="T1865" s="18">
        <f>COUNTIFS(Table1[Customer ID], "&gt;1", Table1[Customer ID], 1)</f>
        <v>0</v>
      </c>
    </row>
    <row r="1866" spans="1:20" hidden="1" x14ac:dyDescent="0.3">
      <c r="A1866" s="2" t="s">
        <v>2579</v>
      </c>
      <c r="B1866" s="5">
        <v>45727</v>
      </c>
      <c r="C1866" s="5" t="str">
        <f>TEXT(B1866,"mmm")</f>
        <v>Mar</v>
      </c>
      <c r="D1866" s="2" t="s">
        <v>1973</v>
      </c>
      <c r="E1866" s="2" t="s">
        <v>40</v>
      </c>
      <c r="F1866" s="2" t="str" cm="1">
        <f t="array" ref="F18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66" s="2" t="str" cm="1">
        <f t="array" ref="G18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66" s="2" t="s">
        <v>134</v>
      </c>
      <c r="I1866" s="2" t="s">
        <v>29</v>
      </c>
      <c r="J1866" s="2">
        <v>1</v>
      </c>
      <c r="K1866" s="8">
        <v>1499</v>
      </c>
      <c r="L1866" s="3">
        <v>0</v>
      </c>
      <c r="M1866" s="12">
        <f>K1866*L1866</f>
        <v>0</v>
      </c>
      <c r="N1866" s="12">
        <f>K1866*J1866</f>
        <v>1499</v>
      </c>
      <c r="O1866" s="12">
        <f>N1866-M1866</f>
        <v>1499</v>
      </c>
      <c r="P1866" s="2" t="s">
        <v>45</v>
      </c>
      <c r="Q1866" s="2" t="s">
        <v>50</v>
      </c>
      <c r="R1866" s="2">
        <v>40</v>
      </c>
      <c r="S1866" s="20">
        <f>Table1[[#This Row],[Net_revenue]]/Table1[[#This Row],[Gross_revenue]]*100%</f>
        <v>1</v>
      </c>
      <c r="T1866" s="18">
        <f>COUNTIFS(Table1[Customer ID], "&gt;1", Table1[Customer ID], 1)</f>
        <v>0</v>
      </c>
    </row>
    <row r="1867" spans="1:20" hidden="1" x14ac:dyDescent="0.3">
      <c r="A1867" s="2" t="s">
        <v>2580</v>
      </c>
      <c r="B1867" s="5">
        <v>45992</v>
      </c>
      <c r="C1867" s="5" t="str">
        <f>TEXT(B1867,"mmm")</f>
        <v>Dec</v>
      </c>
      <c r="D1867" s="2" t="s">
        <v>743</v>
      </c>
      <c r="E1867" s="2" t="s">
        <v>120</v>
      </c>
      <c r="F1867" s="2" t="str" cm="1">
        <f t="array" ref="F18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67" s="2" t="str" cm="1">
        <f t="array" ref="G18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67" s="2" t="s">
        <v>65</v>
      </c>
      <c r="I1867" s="2" t="s">
        <v>23</v>
      </c>
      <c r="J1867" s="2">
        <v>1</v>
      </c>
      <c r="K1867" s="8">
        <v>1899</v>
      </c>
      <c r="L1867" s="3">
        <v>0</v>
      </c>
      <c r="M1867" s="12">
        <f>K1867*L1867</f>
        <v>0</v>
      </c>
      <c r="N1867" s="12">
        <f>K1867*J1867</f>
        <v>1899</v>
      </c>
      <c r="O1867" s="12">
        <f>N1867-M1867</f>
        <v>1899</v>
      </c>
      <c r="P1867" s="2" t="s">
        <v>17</v>
      </c>
      <c r="Q1867" s="2" t="s">
        <v>18</v>
      </c>
      <c r="R1867" s="2">
        <v>40</v>
      </c>
      <c r="S1867" s="20">
        <f>Table1[[#This Row],[Net_revenue]]/Table1[[#This Row],[Gross_revenue]]*100%</f>
        <v>1</v>
      </c>
      <c r="T1867" s="18">
        <f>COUNTIFS(Table1[Customer ID], "&gt;1", Table1[Customer ID], 1)</f>
        <v>0</v>
      </c>
    </row>
    <row r="1868" spans="1:20" hidden="1" x14ac:dyDescent="0.3">
      <c r="A1868" s="2" t="s">
        <v>2581</v>
      </c>
      <c r="B1868" s="5">
        <v>46020</v>
      </c>
      <c r="C1868" s="5" t="str">
        <f>TEXT(B1868,"mmm")</f>
        <v>Dec</v>
      </c>
      <c r="D1868" s="2" t="s">
        <v>125</v>
      </c>
      <c r="E1868" s="2" t="s">
        <v>40</v>
      </c>
      <c r="F1868" s="2" t="str" cm="1">
        <f t="array" ref="F18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68" s="2" t="str" cm="1">
        <f t="array" ref="G18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68" s="2" t="s">
        <v>183</v>
      </c>
      <c r="I1868" s="2" t="s">
        <v>37</v>
      </c>
      <c r="J1868" s="2">
        <v>5</v>
      </c>
      <c r="K1868" s="8">
        <v>499</v>
      </c>
      <c r="L1868" s="3">
        <v>0.2</v>
      </c>
      <c r="M1868" s="12">
        <f>K1868*L1868</f>
        <v>99.800000000000011</v>
      </c>
      <c r="N1868" s="12">
        <f>K1868*J1868</f>
        <v>2495</v>
      </c>
      <c r="O1868" s="12">
        <f>N1868-M1868</f>
        <v>2395.1999999999998</v>
      </c>
      <c r="P1868" s="2" t="s">
        <v>17</v>
      </c>
      <c r="Q1868" s="2" t="s">
        <v>18</v>
      </c>
      <c r="R1868" s="2">
        <v>60</v>
      </c>
      <c r="S1868" s="20">
        <f>Table1[[#This Row],[Net_revenue]]/Table1[[#This Row],[Gross_revenue]]*100%</f>
        <v>0.96</v>
      </c>
      <c r="T1868" s="18">
        <f>COUNTIFS(Table1[Customer ID], "&gt;1", Table1[Customer ID], 1)</f>
        <v>0</v>
      </c>
    </row>
    <row r="1869" spans="1:20" hidden="1" x14ac:dyDescent="0.3">
      <c r="A1869" s="2" t="s">
        <v>2582</v>
      </c>
      <c r="B1869" s="5">
        <v>45887</v>
      </c>
      <c r="C1869" s="5" t="str">
        <f>TEXT(B1869,"mmm")</f>
        <v>Aug</v>
      </c>
      <c r="D1869" s="2" t="s">
        <v>1793</v>
      </c>
      <c r="E1869" s="2" t="s">
        <v>53</v>
      </c>
      <c r="F1869" s="2" t="str" cm="1">
        <f t="array" ref="F18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869" s="2" t="str" cm="1">
        <f t="array" ref="G18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69" s="2" t="s">
        <v>183</v>
      </c>
      <c r="I1869" s="2" t="s">
        <v>37</v>
      </c>
      <c r="J1869" s="2">
        <v>5</v>
      </c>
      <c r="K1869" s="8">
        <v>499</v>
      </c>
      <c r="L1869" s="3">
        <v>0</v>
      </c>
      <c r="M1869" s="12">
        <f>K1869*L1869</f>
        <v>0</v>
      </c>
      <c r="N1869" s="12">
        <f>K1869*J1869</f>
        <v>2495</v>
      </c>
      <c r="O1869" s="12">
        <f>N1869-M1869</f>
        <v>2495</v>
      </c>
      <c r="P1869" s="2" t="s">
        <v>17</v>
      </c>
      <c r="Q1869" s="2" t="s">
        <v>18</v>
      </c>
      <c r="R1869" s="2">
        <v>60</v>
      </c>
      <c r="S1869" s="20">
        <f>Table1[[#This Row],[Net_revenue]]/Table1[[#This Row],[Gross_revenue]]*100%</f>
        <v>1</v>
      </c>
      <c r="T1869" s="18">
        <f>COUNTIFS(Table1[Customer ID], "&gt;1", Table1[Customer ID], 1)</f>
        <v>0</v>
      </c>
    </row>
    <row r="1870" spans="1:20" hidden="1" x14ac:dyDescent="0.3">
      <c r="A1870" s="2" t="s">
        <v>2583</v>
      </c>
      <c r="B1870" s="5">
        <v>45758</v>
      </c>
      <c r="C1870" s="5" t="str">
        <f>TEXT(B1870,"mmm")</f>
        <v>Apr</v>
      </c>
      <c r="D1870" s="2" t="s">
        <v>1337</v>
      </c>
      <c r="E1870" s="2" t="s">
        <v>14</v>
      </c>
      <c r="F1870" s="2" t="str" cm="1">
        <f t="array" ref="F18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70" s="2" t="str" cm="1">
        <f t="array" ref="G18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70" s="2" t="s">
        <v>183</v>
      </c>
      <c r="I1870" s="2" t="s">
        <v>37</v>
      </c>
      <c r="J1870" s="2">
        <v>1</v>
      </c>
      <c r="K1870" s="8">
        <v>499</v>
      </c>
      <c r="L1870" s="3">
        <v>0.2</v>
      </c>
      <c r="M1870" s="12">
        <f>K1870*L1870</f>
        <v>99.800000000000011</v>
      </c>
      <c r="N1870" s="12">
        <f>K1870*J1870</f>
        <v>499</v>
      </c>
      <c r="O1870" s="12">
        <f>N1870-M1870</f>
        <v>399.2</v>
      </c>
      <c r="P1870" s="2" t="s">
        <v>17</v>
      </c>
      <c r="Q1870" s="2" t="s">
        <v>18</v>
      </c>
      <c r="R1870" s="2">
        <v>0</v>
      </c>
      <c r="S1870" s="20">
        <f>Table1[[#This Row],[Net_revenue]]/Table1[[#This Row],[Gross_revenue]]*100%</f>
        <v>0.79999999999999993</v>
      </c>
      <c r="T1870" s="18">
        <f>COUNTIFS(Table1[Customer ID], "&gt;1", Table1[Customer ID], 1)</f>
        <v>0</v>
      </c>
    </row>
    <row r="1871" spans="1:20" hidden="1" x14ac:dyDescent="0.3">
      <c r="A1871" s="2" t="s">
        <v>2584</v>
      </c>
      <c r="B1871" s="5">
        <v>45895</v>
      </c>
      <c r="C1871" s="5" t="str">
        <f>TEXT(B1871,"mmm")</f>
        <v>Aug</v>
      </c>
      <c r="D1871" s="2" t="s">
        <v>97</v>
      </c>
      <c r="E1871" s="2" t="s">
        <v>56</v>
      </c>
      <c r="F1871" s="2" t="str" cm="1">
        <f t="array" ref="F18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71" s="2" t="str" cm="1">
        <f t="array" ref="G18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71" s="2" t="s">
        <v>65</v>
      </c>
      <c r="I1871" s="2" t="s">
        <v>23</v>
      </c>
      <c r="J1871" s="2">
        <v>1</v>
      </c>
      <c r="K1871" s="8">
        <v>1899</v>
      </c>
      <c r="L1871" s="3">
        <v>0.25</v>
      </c>
      <c r="M1871" s="12">
        <f>K1871*L1871</f>
        <v>474.75</v>
      </c>
      <c r="N1871" s="12">
        <f>K1871*J1871</f>
        <v>1899</v>
      </c>
      <c r="O1871" s="12">
        <f>N1871-M1871</f>
        <v>1424.25</v>
      </c>
      <c r="P1871" s="2" t="s">
        <v>24</v>
      </c>
      <c r="Q1871" s="2" t="s">
        <v>18</v>
      </c>
      <c r="R1871" s="2">
        <v>0</v>
      </c>
      <c r="S1871" s="20">
        <f>Table1[[#This Row],[Net_revenue]]/Table1[[#This Row],[Gross_revenue]]*100%</f>
        <v>0.75</v>
      </c>
      <c r="T1871" s="18">
        <f>COUNTIFS(Table1[Customer ID], "&gt;1", Table1[Customer ID], 1)</f>
        <v>0</v>
      </c>
    </row>
    <row r="1872" spans="1:20" hidden="1" x14ac:dyDescent="0.3">
      <c r="A1872" s="2" t="s">
        <v>2585</v>
      </c>
      <c r="B1872" s="5">
        <v>45786</v>
      </c>
      <c r="C1872" s="5" t="str">
        <f>TEXT(B1872,"mmm")</f>
        <v>May</v>
      </c>
      <c r="D1872" s="2" t="s">
        <v>2586</v>
      </c>
      <c r="E1872" s="2" t="s">
        <v>195</v>
      </c>
      <c r="F1872" s="2" t="str" cm="1">
        <f t="array" ref="F18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872" s="2" t="str" cm="1">
        <f t="array" ref="G18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72" s="2" t="s">
        <v>188</v>
      </c>
      <c r="I1872" s="2" t="s">
        <v>95</v>
      </c>
      <c r="J1872" s="2">
        <v>2</v>
      </c>
      <c r="K1872" s="8">
        <v>699</v>
      </c>
      <c r="L1872" s="3">
        <v>0.05</v>
      </c>
      <c r="M1872" s="12">
        <f>K1872*L1872</f>
        <v>34.950000000000003</v>
      </c>
      <c r="N1872" s="12">
        <f>K1872*J1872</f>
        <v>1398</v>
      </c>
      <c r="O1872" s="12">
        <f>N1872-M1872</f>
        <v>1363.05</v>
      </c>
      <c r="P1872" s="2" t="s">
        <v>17</v>
      </c>
      <c r="Q1872" s="2" t="s">
        <v>18</v>
      </c>
      <c r="R1872" s="2">
        <v>0</v>
      </c>
      <c r="S1872" s="20">
        <f>Table1[[#This Row],[Net_revenue]]/Table1[[#This Row],[Gross_revenue]]*100%</f>
        <v>0.97499999999999998</v>
      </c>
      <c r="T1872" s="18">
        <f>COUNTIFS(Table1[Customer ID], "&gt;1", Table1[Customer ID], 1)</f>
        <v>0</v>
      </c>
    </row>
    <row r="1873" spans="1:20" hidden="1" x14ac:dyDescent="0.3">
      <c r="A1873" s="2" t="s">
        <v>2587</v>
      </c>
      <c r="B1873" s="5">
        <v>45923</v>
      </c>
      <c r="C1873" s="5" t="str">
        <f>TEXT(B1873,"mmm")</f>
        <v>Sep</v>
      </c>
      <c r="D1873" s="2" t="s">
        <v>1406</v>
      </c>
      <c r="E1873" s="2" t="s">
        <v>120</v>
      </c>
      <c r="F1873" s="2" t="str" cm="1">
        <f t="array" ref="F18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73" s="2" t="str" cm="1">
        <f t="array" ref="G18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73" s="2" t="s">
        <v>63</v>
      </c>
      <c r="I1873" s="2" t="s">
        <v>23</v>
      </c>
      <c r="J1873" s="2">
        <v>1</v>
      </c>
      <c r="K1873" s="8">
        <v>2499</v>
      </c>
      <c r="L1873" s="3">
        <v>0.25</v>
      </c>
      <c r="M1873" s="12">
        <f>K1873*L1873</f>
        <v>624.75</v>
      </c>
      <c r="N1873" s="12">
        <f>K1873*J1873</f>
        <v>2499</v>
      </c>
      <c r="O1873" s="12">
        <f>N1873-M1873</f>
        <v>1874.25</v>
      </c>
      <c r="P1873" s="2" t="s">
        <v>30</v>
      </c>
      <c r="Q1873" s="2" t="s">
        <v>18</v>
      </c>
      <c r="R1873" s="2">
        <v>40</v>
      </c>
      <c r="S1873" s="20">
        <f>Table1[[#This Row],[Net_revenue]]/Table1[[#This Row],[Gross_revenue]]*100%</f>
        <v>0.75</v>
      </c>
      <c r="T1873" s="18">
        <f>COUNTIFS(Table1[Customer ID], "&gt;1", Table1[Customer ID], 1)</f>
        <v>0</v>
      </c>
    </row>
    <row r="1874" spans="1:20" hidden="1" x14ac:dyDescent="0.3">
      <c r="A1874" s="2" t="s">
        <v>2588</v>
      </c>
      <c r="B1874" s="5">
        <v>45806</v>
      </c>
      <c r="C1874" s="5" t="str">
        <f>TEXT(B1874,"mmm")</f>
        <v>May</v>
      </c>
      <c r="D1874" s="2" t="s">
        <v>743</v>
      </c>
      <c r="E1874" s="2" t="s">
        <v>21</v>
      </c>
      <c r="F1874" s="2" t="str" cm="1">
        <f t="array" ref="F18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74" s="2" t="str" cm="1">
        <f t="array" ref="G18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74" s="2" t="s">
        <v>183</v>
      </c>
      <c r="I1874" s="2" t="s">
        <v>37</v>
      </c>
      <c r="J1874" s="2">
        <v>1</v>
      </c>
      <c r="K1874" s="8">
        <v>499</v>
      </c>
      <c r="L1874" s="3">
        <v>0</v>
      </c>
      <c r="M1874" s="12">
        <f>K1874*L1874</f>
        <v>0</v>
      </c>
      <c r="N1874" s="12">
        <f>K1874*J1874</f>
        <v>499</v>
      </c>
      <c r="O1874" s="12">
        <f>N1874-M1874</f>
        <v>499</v>
      </c>
      <c r="P1874" s="2" t="s">
        <v>30</v>
      </c>
      <c r="Q1874" s="2" t="s">
        <v>18</v>
      </c>
      <c r="R1874" s="2">
        <v>40</v>
      </c>
      <c r="S1874" s="20">
        <f>Table1[[#This Row],[Net_revenue]]/Table1[[#This Row],[Gross_revenue]]*100%</f>
        <v>1</v>
      </c>
      <c r="T1874" s="18">
        <f>COUNTIFS(Table1[Customer ID], "&gt;1", Table1[Customer ID], 1)</f>
        <v>0</v>
      </c>
    </row>
    <row r="1875" spans="1:20" hidden="1" x14ac:dyDescent="0.3">
      <c r="A1875" s="2" t="s">
        <v>2589</v>
      </c>
      <c r="B1875" s="5">
        <v>45668</v>
      </c>
      <c r="C1875" s="5" t="str">
        <f>TEXT(B1875,"mmm")</f>
        <v>Jan</v>
      </c>
      <c r="D1875" s="2" t="s">
        <v>496</v>
      </c>
      <c r="E1875" s="2" t="s">
        <v>120</v>
      </c>
      <c r="F1875" s="2" t="str" cm="1">
        <f t="array" ref="F18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75" s="2" t="str" cm="1">
        <f t="array" ref="G18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75" s="2" t="s">
        <v>33</v>
      </c>
      <c r="I1875" s="2" t="s">
        <v>16</v>
      </c>
      <c r="J1875" s="2">
        <v>1</v>
      </c>
      <c r="K1875" s="8">
        <v>899</v>
      </c>
      <c r="L1875" s="3">
        <v>0.15</v>
      </c>
      <c r="M1875" s="12">
        <f>K1875*L1875</f>
        <v>134.85</v>
      </c>
      <c r="N1875" s="12">
        <f>K1875*J1875</f>
        <v>899</v>
      </c>
      <c r="O1875" s="12">
        <f>N1875-M1875</f>
        <v>764.15</v>
      </c>
      <c r="P1875" s="2" t="s">
        <v>45</v>
      </c>
      <c r="Q1875" s="2" t="s">
        <v>18</v>
      </c>
      <c r="R1875" s="2">
        <v>80</v>
      </c>
      <c r="S1875" s="20">
        <f>Table1[[#This Row],[Net_revenue]]/Table1[[#This Row],[Gross_revenue]]*100%</f>
        <v>0.85</v>
      </c>
      <c r="T1875" s="18">
        <f>COUNTIFS(Table1[Customer ID], "&gt;1", Table1[Customer ID], 1)</f>
        <v>0</v>
      </c>
    </row>
    <row r="1876" spans="1:20" hidden="1" x14ac:dyDescent="0.3">
      <c r="A1876" s="2" t="s">
        <v>2590</v>
      </c>
      <c r="B1876" s="5">
        <v>45785</v>
      </c>
      <c r="C1876" s="5" t="str">
        <f>TEXT(B1876,"mmm")</f>
        <v>May</v>
      </c>
      <c r="D1876" s="2" t="s">
        <v>131</v>
      </c>
      <c r="E1876" s="2" t="s">
        <v>14</v>
      </c>
      <c r="F1876" s="2" t="str" cm="1">
        <f t="array" ref="F18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876" s="2" t="str" cm="1">
        <f t="array" ref="G18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876" s="2" t="s">
        <v>68</v>
      </c>
      <c r="I1876" s="2" t="s">
        <v>16</v>
      </c>
      <c r="J1876" s="2">
        <v>2</v>
      </c>
      <c r="K1876" s="8">
        <v>599</v>
      </c>
      <c r="L1876" s="3">
        <v>0</v>
      </c>
      <c r="M1876" s="12">
        <f>K1876*L1876</f>
        <v>0</v>
      </c>
      <c r="N1876" s="12">
        <f>K1876*J1876</f>
        <v>1198</v>
      </c>
      <c r="O1876" s="12">
        <f>N1876-M1876</f>
        <v>1198</v>
      </c>
      <c r="P1876" s="2" t="s">
        <v>45</v>
      </c>
      <c r="Q1876" s="2" t="s">
        <v>18</v>
      </c>
      <c r="R1876" s="2">
        <v>0</v>
      </c>
      <c r="S1876" s="20">
        <f>Table1[[#This Row],[Net_revenue]]/Table1[[#This Row],[Gross_revenue]]*100%</f>
        <v>1</v>
      </c>
      <c r="T1876" s="18">
        <f>COUNTIFS(Table1[Customer ID], "&gt;1", Table1[Customer ID], 1)</f>
        <v>0</v>
      </c>
    </row>
    <row r="1877" spans="1:20" hidden="1" x14ac:dyDescent="0.3">
      <c r="A1877" s="2" t="s">
        <v>2591</v>
      </c>
      <c r="B1877" s="5">
        <v>45802</v>
      </c>
      <c r="C1877" s="5" t="str">
        <f>TEXT(B1877,"mmm")</f>
        <v>May</v>
      </c>
      <c r="D1877" s="2" t="s">
        <v>1834</v>
      </c>
      <c r="E1877" s="2" t="s">
        <v>195</v>
      </c>
      <c r="F1877" s="2" t="str" cm="1">
        <f t="array" ref="F18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877" s="2" t="str" cm="1">
        <f t="array" ref="G18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77" s="2" t="s">
        <v>188</v>
      </c>
      <c r="I1877" s="2" t="s">
        <v>95</v>
      </c>
      <c r="J1877" s="2">
        <v>3</v>
      </c>
      <c r="K1877" s="8">
        <v>699</v>
      </c>
      <c r="L1877" s="3">
        <v>0.2</v>
      </c>
      <c r="M1877" s="12">
        <f>K1877*L1877</f>
        <v>139.80000000000001</v>
      </c>
      <c r="N1877" s="12">
        <f>K1877*J1877</f>
        <v>2097</v>
      </c>
      <c r="O1877" s="12">
        <f>N1877-M1877</f>
        <v>1957.2</v>
      </c>
      <c r="P1877" s="2" t="s">
        <v>24</v>
      </c>
      <c r="Q1877" s="2" t="s">
        <v>18</v>
      </c>
      <c r="R1877" s="2">
        <v>80</v>
      </c>
      <c r="S1877" s="20">
        <f>Table1[[#This Row],[Net_revenue]]/Table1[[#This Row],[Gross_revenue]]*100%</f>
        <v>0.93333333333333335</v>
      </c>
      <c r="T1877" s="18">
        <f>COUNTIFS(Table1[Customer ID], "&gt;1", Table1[Customer ID], 1)</f>
        <v>0</v>
      </c>
    </row>
    <row r="1878" spans="1:20" hidden="1" x14ac:dyDescent="0.3">
      <c r="A1878" s="2" t="s">
        <v>2592</v>
      </c>
      <c r="B1878" s="5">
        <v>45862</v>
      </c>
      <c r="C1878" s="5" t="str">
        <f>TEXT(B1878,"mmm")</f>
        <v>Jul</v>
      </c>
      <c r="D1878" s="2" t="s">
        <v>604</v>
      </c>
      <c r="E1878" s="2" t="s">
        <v>195</v>
      </c>
      <c r="F1878" s="2" t="str" cm="1">
        <f t="array" ref="F18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878" s="2" t="str" cm="1">
        <f t="array" ref="G18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78" s="2" t="s">
        <v>68</v>
      </c>
      <c r="I1878" s="2" t="s">
        <v>16</v>
      </c>
      <c r="J1878" s="2">
        <v>1</v>
      </c>
      <c r="K1878" s="8">
        <v>599</v>
      </c>
      <c r="L1878" s="3">
        <v>0</v>
      </c>
      <c r="M1878" s="12">
        <f>K1878*L1878</f>
        <v>0</v>
      </c>
      <c r="N1878" s="12">
        <f>K1878*J1878</f>
        <v>599</v>
      </c>
      <c r="O1878" s="12">
        <f>N1878-M1878</f>
        <v>599</v>
      </c>
      <c r="P1878" s="2" t="s">
        <v>30</v>
      </c>
      <c r="Q1878" s="2" t="s">
        <v>18</v>
      </c>
      <c r="R1878" s="2">
        <v>60</v>
      </c>
      <c r="S1878" s="20">
        <f>Table1[[#This Row],[Net_revenue]]/Table1[[#This Row],[Gross_revenue]]*100%</f>
        <v>1</v>
      </c>
      <c r="T1878" s="18">
        <f>COUNTIFS(Table1[Customer ID], "&gt;1", Table1[Customer ID], 1)</f>
        <v>0</v>
      </c>
    </row>
    <row r="1879" spans="1:20" hidden="1" x14ac:dyDescent="0.3">
      <c r="A1879" s="2" t="s">
        <v>2593</v>
      </c>
      <c r="B1879" s="5">
        <v>45846</v>
      </c>
      <c r="C1879" s="5" t="str">
        <f>TEXT(B1879,"mmm")</f>
        <v>Jul</v>
      </c>
      <c r="D1879" s="2" t="s">
        <v>375</v>
      </c>
      <c r="E1879" s="2" t="s">
        <v>40</v>
      </c>
      <c r="F1879" s="2" t="str" cm="1">
        <f t="array" ref="F18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79" s="2" t="str" cm="1">
        <f t="array" ref="G18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79" s="2" t="s">
        <v>89</v>
      </c>
      <c r="I1879" s="2" t="s">
        <v>29</v>
      </c>
      <c r="J1879" s="2">
        <v>3</v>
      </c>
      <c r="K1879" s="8">
        <v>449</v>
      </c>
      <c r="L1879" s="3">
        <v>0.25</v>
      </c>
      <c r="M1879" s="12">
        <f>K1879*L1879</f>
        <v>112.25</v>
      </c>
      <c r="N1879" s="12">
        <f>K1879*J1879</f>
        <v>1347</v>
      </c>
      <c r="O1879" s="12">
        <f>N1879-M1879</f>
        <v>1234.75</v>
      </c>
      <c r="P1879" s="2" t="s">
        <v>17</v>
      </c>
      <c r="Q1879" s="2" t="s">
        <v>18</v>
      </c>
      <c r="R1879" s="2">
        <v>40</v>
      </c>
      <c r="S1879" s="20">
        <f>Table1[[#This Row],[Net_revenue]]/Table1[[#This Row],[Gross_revenue]]*100%</f>
        <v>0.91666666666666663</v>
      </c>
      <c r="T1879" s="18">
        <f>COUNTIFS(Table1[Customer ID], "&gt;1", Table1[Customer ID], 1)</f>
        <v>0</v>
      </c>
    </row>
    <row r="1880" spans="1:20" hidden="1" x14ac:dyDescent="0.3">
      <c r="A1880" s="2" t="s">
        <v>2594</v>
      </c>
      <c r="B1880" s="5">
        <v>45868</v>
      </c>
      <c r="C1880" s="5" t="str">
        <f>TEXT(B1880,"mmm")</f>
        <v>Jul</v>
      </c>
      <c r="D1880" s="2" t="s">
        <v>712</v>
      </c>
      <c r="E1880" s="2" t="s">
        <v>75</v>
      </c>
      <c r="F1880" s="2" t="str" cm="1">
        <f t="array" ref="F18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80" s="2" t="str" cm="1">
        <f t="array" ref="G18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0" s="2" t="s">
        <v>41</v>
      </c>
      <c r="I1880" s="2" t="s">
        <v>16</v>
      </c>
      <c r="J1880" s="2">
        <v>2</v>
      </c>
      <c r="K1880" s="8">
        <v>2299</v>
      </c>
      <c r="L1880" s="3">
        <v>0</v>
      </c>
      <c r="M1880" s="12">
        <f>K1880*L1880</f>
        <v>0</v>
      </c>
      <c r="N1880" s="12">
        <f>K1880*J1880</f>
        <v>4598</v>
      </c>
      <c r="O1880" s="12">
        <f>N1880-M1880</f>
        <v>4598</v>
      </c>
      <c r="P1880" s="2" t="s">
        <v>30</v>
      </c>
      <c r="Q1880" s="2" t="s">
        <v>18</v>
      </c>
      <c r="R1880" s="2">
        <v>80</v>
      </c>
      <c r="S1880" s="20">
        <f>Table1[[#This Row],[Net_revenue]]/Table1[[#This Row],[Gross_revenue]]*100%</f>
        <v>1</v>
      </c>
      <c r="T1880" s="18">
        <f>COUNTIFS(Table1[Customer ID], "&gt;1", Table1[Customer ID], 1)</f>
        <v>0</v>
      </c>
    </row>
    <row r="1881" spans="1:20" hidden="1" x14ac:dyDescent="0.3">
      <c r="A1881" s="2" t="s">
        <v>2595</v>
      </c>
      <c r="B1881" s="5">
        <v>45901</v>
      </c>
      <c r="C1881" s="5" t="str">
        <f>TEXT(B1881,"mmm")</f>
        <v>Sep</v>
      </c>
      <c r="D1881" s="2" t="s">
        <v>1206</v>
      </c>
      <c r="E1881" s="2" t="s">
        <v>21</v>
      </c>
      <c r="F1881" s="2" t="str" cm="1">
        <f t="array" ref="F18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81" s="2" t="str" cm="1">
        <f t="array" ref="G18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1" s="2" t="s">
        <v>68</v>
      </c>
      <c r="I1881" s="2" t="s">
        <v>16</v>
      </c>
      <c r="J1881" s="2">
        <v>1</v>
      </c>
      <c r="K1881" s="8">
        <v>599</v>
      </c>
      <c r="L1881" s="3">
        <v>0.2</v>
      </c>
      <c r="M1881" s="12">
        <f>K1881*L1881</f>
        <v>119.80000000000001</v>
      </c>
      <c r="N1881" s="12">
        <f>K1881*J1881</f>
        <v>599</v>
      </c>
      <c r="O1881" s="12">
        <f>N1881-M1881</f>
        <v>479.2</v>
      </c>
      <c r="P1881" s="2" t="s">
        <v>45</v>
      </c>
      <c r="Q1881" s="2" t="s">
        <v>50</v>
      </c>
      <c r="R1881" s="2">
        <v>60</v>
      </c>
      <c r="S1881" s="20">
        <f>Table1[[#This Row],[Net_revenue]]/Table1[[#This Row],[Gross_revenue]]*100%</f>
        <v>0.79999999999999993</v>
      </c>
      <c r="T1881" s="18">
        <f>COUNTIFS(Table1[Customer ID], "&gt;1", Table1[Customer ID], 1)</f>
        <v>0</v>
      </c>
    </row>
    <row r="1882" spans="1:20" hidden="1" x14ac:dyDescent="0.3">
      <c r="A1882" s="2" t="s">
        <v>2596</v>
      </c>
      <c r="B1882" s="5">
        <v>46008</v>
      </c>
      <c r="C1882" s="5" t="str">
        <f>TEXT(B1882,"mmm")</f>
        <v>Dec</v>
      </c>
      <c r="D1882" s="2" t="s">
        <v>1516</v>
      </c>
      <c r="E1882" s="2" t="s">
        <v>56</v>
      </c>
      <c r="F1882" s="2" t="str" cm="1">
        <f t="array" ref="F18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82" s="2" t="str" cm="1">
        <f t="array" ref="G18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82" s="2" t="s">
        <v>117</v>
      </c>
      <c r="I1882" s="2" t="s">
        <v>23</v>
      </c>
      <c r="J1882" s="2">
        <v>2</v>
      </c>
      <c r="K1882" s="8">
        <v>2199</v>
      </c>
      <c r="L1882" s="3">
        <v>0.2</v>
      </c>
      <c r="M1882" s="12">
        <f>K1882*L1882</f>
        <v>439.8</v>
      </c>
      <c r="N1882" s="12">
        <f>K1882*J1882</f>
        <v>4398</v>
      </c>
      <c r="O1882" s="12">
        <f>N1882-M1882</f>
        <v>3958.2</v>
      </c>
      <c r="P1882" s="2" t="s">
        <v>30</v>
      </c>
      <c r="Q1882" s="2" t="s">
        <v>18</v>
      </c>
      <c r="R1882" s="2">
        <v>60</v>
      </c>
      <c r="S1882" s="20">
        <f>Table1[[#This Row],[Net_revenue]]/Table1[[#This Row],[Gross_revenue]]*100%</f>
        <v>0.89999999999999991</v>
      </c>
      <c r="T1882" s="18">
        <f>COUNTIFS(Table1[Customer ID], "&gt;1", Table1[Customer ID], 1)</f>
        <v>0</v>
      </c>
    </row>
    <row r="1883" spans="1:20" hidden="1" x14ac:dyDescent="0.3">
      <c r="A1883" s="2" t="s">
        <v>2597</v>
      </c>
      <c r="B1883" s="5">
        <v>45769</v>
      </c>
      <c r="C1883" s="5" t="str">
        <f>TEXT(B1883,"mmm")</f>
        <v>Apr</v>
      </c>
      <c r="D1883" s="2" t="s">
        <v>1121</v>
      </c>
      <c r="E1883" s="2" t="s">
        <v>120</v>
      </c>
      <c r="F1883" s="2" t="str" cm="1">
        <f t="array" ref="F18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83" s="2" t="str" cm="1">
        <f t="array" ref="G18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3" s="2" t="s">
        <v>63</v>
      </c>
      <c r="I1883" s="2" t="s">
        <v>23</v>
      </c>
      <c r="J1883" s="2">
        <v>5</v>
      </c>
      <c r="K1883" s="8">
        <v>2499</v>
      </c>
      <c r="L1883" s="3">
        <v>0</v>
      </c>
      <c r="M1883" s="12">
        <f>K1883*L1883</f>
        <v>0</v>
      </c>
      <c r="N1883" s="12">
        <f>K1883*J1883</f>
        <v>12495</v>
      </c>
      <c r="O1883" s="12">
        <f>N1883-M1883</f>
        <v>12495</v>
      </c>
      <c r="P1883" s="2" t="s">
        <v>30</v>
      </c>
      <c r="Q1883" s="2" t="s">
        <v>18</v>
      </c>
      <c r="R1883" s="2">
        <v>0</v>
      </c>
      <c r="S1883" s="20">
        <f>Table1[[#This Row],[Net_revenue]]/Table1[[#This Row],[Gross_revenue]]*100%</f>
        <v>1</v>
      </c>
      <c r="T1883" s="18">
        <f>COUNTIFS(Table1[Customer ID], "&gt;1", Table1[Customer ID], 1)</f>
        <v>0</v>
      </c>
    </row>
    <row r="1884" spans="1:20" hidden="1" x14ac:dyDescent="0.3">
      <c r="A1884" s="2" t="s">
        <v>2598</v>
      </c>
      <c r="B1884" s="5">
        <v>45909</v>
      </c>
      <c r="C1884" s="5" t="str">
        <f>TEXT(B1884,"mmm")</f>
        <v>Sep</v>
      </c>
      <c r="D1884" s="2" t="s">
        <v>592</v>
      </c>
      <c r="E1884" s="2" t="s">
        <v>48</v>
      </c>
      <c r="F1884" s="2" t="str" cm="1">
        <f t="array" ref="F18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84" s="2" t="str" cm="1">
        <f t="array" ref="G18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84" s="2" t="s">
        <v>28</v>
      </c>
      <c r="I1884" s="2" t="s">
        <v>29</v>
      </c>
      <c r="J1884" s="2">
        <v>2</v>
      </c>
      <c r="K1884" s="8">
        <v>2799</v>
      </c>
      <c r="L1884" s="3">
        <v>0.25</v>
      </c>
      <c r="M1884" s="12">
        <f>K1884*L1884</f>
        <v>699.75</v>
      </c>
      <c r="N1884" s="12">
        <f>K1884*J1884</f>
        <v>5598</v>
      </c>
      <c r="O1884" s="12">
        <f>N1884-M1884</f>
        <v>4898.25</v>
      </c>
      <c r="P1884" s="2" t="s">
        <v>17</v>
      </c>
      <c r="Q1884" s="2" t="s">
        <v>18</v>
      </c>
      <c r="R1884" s="2">
        <v>60</v>
      </c>
      <c r="S1884" s="20">
        <f>Table1[[#This Row],[Net_revenue]]/Table1[[#This Row],[Gross_revenue]]*100%</f>
        <v>0.875</v>
      </c>
      <c r="T1884" s="18">
        <f>COUNTIFS(Table1[Customer ID], "&gt;1", Table1[Customer ID], 1)</f>
        <v>0</v>
      </c>
    </row>
    <row r="1885" spans="1:20" hidden="1" x14ac:dyDescent="0.3">
      <c r="A1885" s="2" t="s">
        <v>2599</v>
      </c>
      <c r="B1885" s="5">
        <v>45844</v>
      </c>
      <c r="C1885" s="5" t="str">
        <f>TEXT(B1885,"mmm")</f>
        <v>Jul</v>
      </c>
      <c r="D1885" s="2" t="s">
        <v>863</v>
      </c>
      <c r="E1885" s="2" t="s">
        <v>21</v>
      </c>
      <c r="F1885" s="2" t="str" cm="1">
        <f t="array" ref="F18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85" s="2" t="str" cm="1">
        <f t="array" ref="G18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5" s="2" t="s">
        <v>41</v>
      </c>
      <c r="I1885" s="2" t="s">
        <v>16</v>
      </c>
      <c r="J1885" s="2">
        <v>1</v>
      </c>
      <c r="K1885" s="8">
        <v>2299</v>
      </c>
      <c r="L1885" s="3">
        <v>0.2</v>
      </c>
      <c r="M1885" s="12">
        <f>K1885*L1885</f>
        <v>459.8</v>
      </c>
      <c r="N1885" s="12">
        <f>K1885*J1885</f>
        <v>2299</v>
      </c>
      <c r="O1885" s="12">
        <f>N1885-M1885</f>
        <v>1839.2</v>
      </c>
      <c r="P1885" s="2" t="s">
        <v>17</v>
      </c>
      <c r="Q1885" s="2" t="s">
        <v>18</v>
      </c>
      <c r="R1885" s="2">
        <v>80</v>
      </c>
      <c r="S1885" s="20">
        <f>Table1[[#This Row],[Net_revenue]]/Table1[[#This Row],[Gross_revenue]]*100%</f>
        <v>0.8</v>
      </c>
      <c r="T1885" s="18">
        <f>COUNTIFS(Table1[Customer ID], "&gt;1", Table1[Customer ID], 1)</f>
        <v>0</v>
      </c>
    </row>
    <row r="1886" spans="1:20" hidden="1" x14ac:dyDescent="0.3">
      <c r="A1886" s="2" t="s">
        <v>2600</v>
      </c>
      <c r="B1886" s="5">
        <v>45817</v>
      </c>
      <c r="C1886" s="5" t="str">
        <f>TEXT(B1886,"mmm")</f>
        <v>Jun</v>
      </c>
      <c r="D1886" s="2" t="s">
        <v>1588</v>
      </c>
      <c r="E1886" s="2" t="s">
        <v>48</v>
      </c>
      <c r="F1886" s="2" t="str" cm="1">
        <f t="array" ref="F18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86" s="2" t="str" cm="1">
        <f t="array" ref="G18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86" s="2" t="s">
        <v>107</v>
      </c>
      <c r="I1886" s="2" t="s">
        <v>95</v>
      </c>
      <c r="J1886" s="2">
        <v>1</v>
      </c>
      <c r="K1886" s="8">
        <v>1599</v>
      </c>
      <c r="L1886" s="3">
        <v>0.15</v>
      </c>
      <c r="M1886" s="12">
        <f>K1886*L1886</f>
        <v>239.85</v>
      </c>
      <c r="N1886" s="12">
        <f>K1886*J1886</f>
        <v>1599</v>
      </c>
      <c r="O1886" s="12">
        <f>N1886-M1886</f>
        <v>1359.15</v>
      </c>
      <c r="P1886" s="2" t="s">
        <v>24</v>
      </c>
      <c r="Q1886" s="2" t="s">
        <v>18</v>
      </c>
      <c r="R1886" s="2">
        <v>60</v>
      </c>
      <c r="S1886" s="20">
        <f>Table1[[#This Row],[Net_revenue]]/Table1[[#This Row],[Gross_revenue]]*100%</f>
        <v>0.85000000000000009</v>
      </c>
      <c r="T1886" s="18">
        <f>COUNTIFS(Table1[Customer ID], "&gt;1", Table1[Customer ID], 1)</f>
        <v>0</v>
      </c>
    </row>
    <row r="1887" spans="1:20" hidden="1" x14ac:dyDescent="0.3">
      <c r="A1887" s="2" t="s">
        <v>2601</v>
      </c>
      <c r="B1887" s="5">
        <v>45864</v>
      </c>
      <c r="C1887" s="5" t="str">
        <f>TEXT(B1887,"mmm")</f>
        <v>Jul</v>
      </c>
      <c r="D1887" s="2" t="s">
        <v>2602</v>
      </c>
      <c r="E1887" s="2" t="s">
        <v>21</v>
      </c>
      <c r="F1887" s="2" t="str" cm="1">
        <f t="array" ref="F18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87" s="2" t="str" cm="1">
        <f t="array" ref="G18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7" s="2" t="s">
        <v>65</v>
      </c>
      <c r="I1887" s="2" t="s">
        <v>23</v>
      </c>
      <c r="J1887" s="2">
        <v>1</v>
      </c>
      <c r="K1887" s="8">
        <v>1899</v>
      </c>
      <c r="L1887" s="3">
        <v>0</v>
      </c>
      <c r="M1887" s="12">
        <f>K1887*L1887</f>
        <v>0</v>
      </c>
      <c r="N1887" s="12">
        <f>K1887*J1887</f>
        <v>1899</v>
      </c>
      <c r="O1887" s="12">
        <f>N1887-M1887</f>
        <v>1899</v>
      </c>
      <c r="P1887" s="2" t="s">
        <v>30</v>
      </c>
      <c r="Q1887" s="2" t="s">
        <v>18</v>
      </c>
      <c r="R1887" s="2">
        <v>60</v>
      </c>
      <c r="S1887" s="20">
        <f>Table1[[#This Row],[Net_revenue]]/Table1[[#This Row],[Gross_revenue]]*100%</f>
        <v>1</v>
      </c>
      <c r="T1887" s="18">
        <f>COUNTIFS(Table1[Customer ID], "&gt;1", Table1[Customer ID], 1)</f>
        <v>0</v>
      </c>
    </row>
    <row r="1888" spans="1:20" hidden="1" x14ac:dyDescent="0.3">
      <c r="A1888" s="2" t="s">
        <v>2603</v>
      </c>
      <c r="B1888" s="5">
        <v>45989</v>
      </c>
      <c r="C1888" s="5" t="str">
        <f>TEXT(B1888,"mmm")</f>
        <v>Nov</v>
      </c>
      <c r="D1888" s="2" t="s">
        <v>515</v>
      </c>
      <c r="E1888" s="2" t="s">
        <v>75</v>
      </c>
      <c r="F1888" s="2" t="str" cm="1">
        <f t="array" ref="F18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888" s="2" t="str" cm="1">
        <f t="array" ref="G18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8" s="2" t="s">
        <v>22</v>
      </c>
      <c r="I1888" s="2" t="s">
        <v>23</v>
      </c>
      <c r="J1888" s="2">
        <v>1</v>
      </c>
      <c r="K1888" s="8">
        <v>3999</v>
      </c>
      <c r="L1888" s="3">
        <v>0.15</v>
      </c>
      <c r="M1888" s="12">
        <f>K1888*L1888</f>
        <v>599.85</v>
      </c>
      <c r="N1888" s="12">
        <f>K1888*J1888</f>
        <v>3999</v>
      </c>
      <c r="O1888" s="12">
        <f>N1888-M1888</f>
        <v>3399.15</v>
      </c>
      <c r="P1888" s="2" t="s">
        <v>30</v>
      </c>
      <c r="Q1888" s="2" t="s">
        <v>18</v>
      </c>
      <c r="R1888" s="2">
        <v>60</v>
      </c>
      <c r="S1888" s="20">
        <f>Table1[[#This Row],[Net_revenue]]/Table1[[#This Row],[Gross_revenue]]*100%</f>
        <v>0.85</v>
      </c>
      <c r="T1888" s="18">
        <f>COUNTIFS(Table1[Customer ID], "&gt;1", Table1[Customer ID], 1)</f>
        <v>0</v>
      </c>
    </row>
    <row r="1889" spans="1:20" hidden="1" x14ac:dyDescent="0.3">
      <c r="A1889" s="2" t="s">
        <v>2604</v>
      </c>
      <c r="B1889" s="5">
        <v>45776</v>
      </c>
      <c r="C1889" s="5" t="str">
        <f>TEXT(B1889,"mmm")</f>
        <v>Apr</v>
      </c>
      <c r="D1889" s="2" t="s">
        <v>701</v>
      </c>
      <c r="E1889" s="2" t="s">
        <v>120</v>
      </c>
      <c r="F1889" s="2" t="str" cm="1">
        <f t="array" ref="F18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89" s="2" t="str" cm="1">
        <f t="array" ref="G18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89" s="2" t="s">
        <v>22</v>
      </c>
      <c r="I1889" s="2" t="s">
        <v>23</v>
      </c>
      <c r="J1889" s="2">
        <v>3</v>
      </c>
      <c r="K1889" s="8">
        <v>3999</v>
      </c>
      <c r="L1889" s="3">
        <v>0.15</v>
      </c>
      <c r="M1889" s="12">
        <f>K1889*L1889</f>
        <v>599.85</v>
      </c>
      <c r="N1889" s="12">
        <f>K1889*J1889</f>
        <v>11997</v>
      </c>
      <c r="O1889" s="12">
        <f>N1889-M1889</f>
        <v>11397.15</v>
      </c>
      <c r="P1889" s="2" t="s">
        <v>45</v>
      </c>
      <c r="Q1889" s="2" t="s">
        <v>18</v>
      </c>
      <c r="R1889" s="2">
        <v>0</v>
      </c>
      <c r="S1889" s="20">
        <f>Table1[[#This Row],[Net_revenue]]/Table1[[#This Row],[Gross_revenue]]*100%</f>
        <v>0.95</v>
      </c>
      <c r="T1889" s="18">
        <f>COUNTIFS(Table1[Customer ID], "&gt;1", Table1[Customer ID], 1)</f>
        <v>0</v>
      </c>
    </row>
    <row r="1890" spans="1:20" hidden="1" x14ac:dyDescent="0.3">
      <c r="A1890" s="2" t="s">
        <v>2605</v>
      </c>
      <c r="B1890" s="5">
        <v>45809</v>
      </c>
      <c r="C1890" s="5" t="str">
        <f>TEXT(B1890,"mmm")</f>
        <v>Jun</v>
      </c>
      <c r="D1890" s="2" t="s">
        <v>1284</v>
      </c>
      <c r="E1890" s="2" t="s">
        <v>21</v>
      </c>
      <c r="F1890" s="2" t="str" cm="1">
        <f t="array" ref="F18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90" s="2" t="str" cm="1">
        <f t="array" ref="G18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90" s="2" t="s">
        <v>63</v>
      </c>
      <c r="I1890" s="2" t="s">
        <v>23</v>
      </c>
      <c r="J1890" s="2">
        <v>1</v>
      </c>
      <c r="K1890" s="8">
        <v>2499</v>
      </c>
      <c r="L1890" s="3">
        <v>0</v>
      </c>
      <c r="M1890" s="12">
        <f>K1890*L1890</f>
        <v>0</v>
      </c>
      <c r="N1890" s="12">
        <f>K1890*J1890</f>
        <v>2499</v>
      </c>
      <c r="O1890" s="12">
        <f>N1890-M1890</f>
        <v>2499</v>
      </c>
      <c r="P1890" s="2" t="s">
        <v>30</v>
      </c>
      <c r="Q1890" s="2" t="s">
        <v>18</v>
      </c>
      <c r="R1890" s="2">
        <v>60</v>
      </c>
      <c r="S1890" s="20">
        <f>Table1[[#This Row],[Net_revenue]]/Table1[[#This Row],[Gross_revenue]]*100%</f>
        <v>1</v>
      </c>
      <c r="T1890" s="18">
        <f>COUNTIFS(Table1[Customer ID], "&gt;1", Table1[Customer ID], 1)</f>
        <v>0</v>
      </c>
    </row>
    <row r="1891" spans="1:20" hidden="1" x14ac:dyDescent="0.3">
      <c r="A1891" s="2" t="s">
        <v>2606</v>
      </c>
      <c r="B1891" s="5">
        <v>45709</v>
      </c>
      <c r="C1891" s="5" t="str">
        <f>TEXT(B1891,"mmm")</f>
        <v>Feb</v>
      </c>
      <c r="D1891" s="2" t="s">
        <v>1745</v>
      </c>
      <c r="E1891" s="2" t="s">
        <v>40</v>
      </c>
      <c r="F1891" s="2" t="str" cm="1">
        <f t="array" ref="F18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91" s="2" t="str" cm="1">
        <f t="array" ref="G18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91" s="2" t="s">
        <v>68</v>
      </c>
      <c r="I1891" s="2" t="s">
        <v>16</v>
      </c>
      <c r="J1891" s="2">
        <v>1</v>
      </c>
      <c r="K1891" s="8">
        <v>599</v>
      </c>
      <c r="L1891" s="3">
        <v>0.2</v>
      </c>
      <c r="M1891" s="12">
        <f>K1891*L1891</f>
        <v>119.80000000000001</v>
      </c>
      <c r="N1891" s="12">
        <f>K1891*J1891</f>
        <v>599</v>
      </c>
      <c r="O1891" s="12">
        <f>N1891-M1891</f>
        <v>479.2</v>
      </c>
      <c r="P1891" s="2" t="s">
        <v>17</v>
      </c>
      <c r="Q1891" s="2" t="s">
        <v>50</v>
      </c>
      <c r="R1891" s="2">
        <v>40</v>
      </c>
      <c r="S1891" s="20">
        <f>Table1[[#This Row],[Net_revenue]]/Table1[[#This Row],[Gross_revenue]]*100%</f>
        <v>0.79999999999999993</v>
      </c>
      <c r="T1891" s="18">
        <f>COUNTIFS(Table1[Customer ID], "&gt;1", Table1[Customer ID], 1)</f>
        <v>0</v>
      </c>
    </row>
    <row r="1892" spans="1:20" hidden="1" x14ac:dyDescent="0.3">
      <c r="A1892" s="2" t="s">
        <v>2607</v>
      </c>
      <c r="B1892" s="5">
        <v>45696</v>
      </c>
      <c r="C1892" s="5" t="str">
        <f>TEXT(B1892,"mmm")</f>
        <v>Feb</v>
      </c>
      <c r="D1892" s="2" t="s">
        <v>1056</v>
      </c>
      <c r="E1892" s="2" t="s">
        <v>56</v>
      </c>
      <c r="F1892" s="2" t="str" cm="1">
        <f t="array" ref="F18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892" s="2" t="str" cm="1">
        <f t="array" ref="G18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92" s="2" t="s">
        <v>98</v>
      </c>
      <c r="I1892" s="2" t="s">
        <v>37</v>
      </c>
      <c r="J1892" s="2">
        <v>1</v>
      </c>
      <c r="K1892" s="8">
        <v>299</v>
      </c>
      <c r="L1892" s="3">
        <v>0.15</v>
      </c>
      <c r="M1892" s="12">
        <f>K1892*L1892</f>
        <v>44.85</v>
      </c>
      <c r="N1892" s="12">
        <f>K1892*J1892</f>
        <v>299</v>
      </c>
      <c r="O1892" s="12">
        <f>N1892-M1892</f>
        <v>254.15</v>
      </c>
      <c r="P1892" s="2" t="s">
        <v>17</v>
      </c>
      <c r="Q1892" s="2" t="s">
        <v>18</v>
      </c>
      <c r="R1892" s="2">
        <v>80</v>
      </c>
      <c r="S1892" s="20">
        <f>Table1[[#This Row],[Net_revenue]]/Table1[[#This Row],[Gross_revenue]]*100%</f>
        <v>0.85</v>
      </c>
      <c r="T1892" s="18">
        <f>COUNTIFS(Table1[Customer ID], "&gt;1", Table1[Customer ID], 1)</f>
        <v>0</v>
      </c>
    </row>
    <row r="1893" spans="1:20" hidden="1" x14ac:dyDescent="0.3">
      <c r="A1893" s="2" t="s">
        <v>2608</v>
      </c>
      <c r="B1893" s="5">
        <v>45766</v>
      </c>
      <c r="C1893" s="5" t="str">
        <f>TEXT(B1893,"mmm")</f>
        <v>Apr</v>
      </c>
      <c r="D1893" s="2" t="s">
        <v>364</v>
      </c>
      <c r="E1893" s="2" t="s">
        <v>195</v>
      </c>
      <c r="F1893" s="2" t="str" cm="1">
        <f t="array" ref="F18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893" s="2" t="str" cm="1">
        <f t="array" ref="G18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93" s="2" t="s">
        <v>134</v>
      </c>
      <c r="I1893" s="2" t="s">
        <v>29</v>
      </c>
      <c r="J1893" s="2">
        <v>1</v>
      </c>
      <c r="K1893" s="8">
        <v>1499</v>
      </c>
      <c r="L1893" s="3">
        <v>0</v>
      </c>
      <c r="M1893" s="12">
        <f>K1893*L1893</f>
        <v>0</v>
      </c>
      <c r="N1893" s="12">
        <f>K1893*J1893</f>
        <v>1499</v>
      </c>
      <c r="O1893" s="12">
        <f>N1893-M1893</f>
        <v>1499</v>
      </c>
      <c r="P1893" s="2" t="s">
        <v>45</v>
      </c>
      <c r="Q1893" s="2" t="s">
        <v>18</v>
      </c>
      <c r="R1893" s="2">
        <v>80</v>
      </c>
      <c r="S1893" s="20">
        <f>Table1[[#This Row],[Net_revenue]]/Table1[[#This Row],[Gross_revenue]]*100%</f>
        <v>1</v>
      </c>
      <c r="T1893" s="18">
        <f>COUNTIFS(Table1[Customer ID], "&gt;1", Table1[Customer ID], 1)</f>
        <v>0</v>
      </c>
    </row>
    <row r="1894" spans="1:20" hidden="1" x14ac:dyDescent="0.3">
      <c r="A1894" s="2" t="s">
        <v>2609</v>
      </c>
      <c r="B1894" s="5">
        <v>45956</v>
      </c>
      <c r="C1894" s="5" t="str">
        <f>TEXT(B1894,"mmm")</f>
        <v>Oct</v>
      </c>
      <c r="D1894" s="2" t="s">
        <v>185</v>
      </c>
      <c r="E1894" s="2" t="s">
        <v>40</v>
      </c>
      <c r="F1894" s="2" t="str" cm="1">
        <f t="array" ref="F18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94" s="2" t="str" cm="1">
        <f t="array" ref="G18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94" s="2" t="s">
        <v>107</v>
      </c>
      <c r="I1894" s="2" t="s">
        <v>95</v>
      </c>
      <c r="J1894" s="2">
        <v>2</v>
      </c>
      <c r="K1894" s="8">
        <v>1599</v>
      </c>
      <c r="L1894" s="3">
        <v>0.2</v>
      </c>
      <c r="M1894" s="12">
        <f>K1894*L1894</f>
        <v>319.8</v>
      </c>
      <c r="N1894" s="12">
        <f>K1894*J1894</f>
        <v>3198</v>
      </c>
      <c r="O1894" s="12">
        <f>N1894-M1894</f>
        <v>2878.2</v>
      </c>
      <c r="P1894" s="2" t="s">
        <v>30</v>
      </c>
      <c r="Q1894" s="2" t="s">
        <v>18</v>
      </c>
      <c r="R1894" s="2">
        <v>60</v>
      </c>
      <c r="S1894" s="20">
        <f>Table1[[#This Row],[Net_revenue]]/Table1[[#This Row],[Gross_revenue]]*100%</f>
        <v>0.89999999999999991</v>
      </c>
      <c r="T1894" s="18">
        <f>COUNTIFS(Table1[Customer ID], "&gt;1", Table1[Customer ID], 1)</f>
        <v>0</v>
      </c>
    </row>
    <row r="1895" spans="1:20" hidden="1" x14ac:dyDescent="0.3">
      <c r="A1895" s="2" t="s">
        <v>2610</v>
      </c>
      <c r="B1895" s="5">
        <v>45935</v>
      </c>
      <c r="C1895" s="5" t="str">
        <f>TEXT(B1895,"mmm")</f>
        <v>Oct</v>
      </c>
      <c r="D1895" s="2" t="s">
        <v>1130</v>
      </c>
      <c r="E1895" s="2" t="s">
        <v>21</v>
      </c>
      <c r="F1895" s="2" t="str" cm="1">
        <f t="array" ref="F18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95" s="2" t="str" cm="1">
        <f t="array" ref="G18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95" s="2" t="s">
        <v>71</v>
      </c>
      <c r="I1895" s="2" t="s">
        <v>29</v>
      </c>
      <c r="J1895" s="2">
        <v>2</v>
      </c>
      <c r="K1895" s="8">
        <v>5499</v>
      </c>
      <c r="L1895" s="3">
        <v>0.1</v>
      </c>
      <c r="M1895" s="12">
        <f>K1895*L1895</f>
        <v>549.9</v>
      </c>
      <c r="N1895" s="12">
        <f>K1895*J1895</f>
        <v>10998</v>
      </c>
      <c r="O1895" s="12">
        <f>N1895-M1895</f>
        <v>10448.1</v>
      </c>
      <c r="P1895" s="2" t="s">
        <v>17</v>
      </c>
      <c r="Q1895" s="2" t="s">
        <v>18</v>
      </c>
      <c r="R1895" s="2">
        <v>60</v>
      </c>
      <c r="S1895" s="20">
        <f>Table1[[#This Row],[Net_revenue]]/Table1[[#This Row],[Gross_revenue]]*100%</f>
        <v>0.95000000000000007</v>
      </c>
      <c r="T1895" s="18">
        <f>COUNTIFS(Table1[Customer ID], "&gt;1", Table1[Customer ID], 1)</f>
        <v>0</v>
      </c>
    </row>
    <row r="1896" spans="1:20" hidden="1" x14ac:dyDescent="0.3">
      <c r="A1896" s="2" t="s">
        <v>2611</v>
      </c>
      <c r="B1896" s="5">
        <v>45878</v>
      </c>
      <c r="C1896" s="5" t="str">
        <f>TEXT(B1896,"mmm")</f>
        <v>Aug</v>
      </c>
      <c r="D1896" s="2" t="s">
        <v>998</v>
      </c>
      <c r="E1896" s="2" t="s">
        <v>21</v>
      </c>
      <c r="F1896" s="2" t="str" cm="1">
        <f t="array" ref="F18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896" s="2" t="str" cm="1">
        <f t="array" ref="G18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896" s="2" t="s">
        <v>36</v>
      </c>
      <c r="I1896" s="2" t="s">
        <v>37</v>
      </c>
      <c r="J1896" s="2">
        <v>2</v>
      </c>
      <c r="K1896" s="8">
        <v>349</v>
      </c>
      <c r="L1896" s="3">
        <v>0.15</v>
      </c>
      <c r="M1896" s="12">
        <f>K1896*L1896</f>
        <v>52.35</v>
      </c>
      <c r="N1896" s="12">
        <f>K1896*J1896</f>
        <v>698</v>
      </c>
      <c r="O1896" s="12">
        <f>N1896-M1896</f>
        <v>645.65</v>
      </c>
      <c r="P1896" s="2" t="s">
        <v>45</v>
      </c>
      <c r="Q1896" s="2" t="s">
        <v>18</v>
      </c>
      <c r="R1896" s="2">
        <v>80</v>
      </c>
      <c r="S1896" s="20">
        <f>Table1[[#This Row],[Net_revenue]]/Table1[[#This Row],[Gross_revenue]]*100%</f>
        <v>0.92499999999999993</v>
      </c>
      <c r="T1896" s="18">
        <f>COUNTIFS(Table1[Customer ID], "&gt;1", Table1[Customer ID], 1)</f>
        <v>0</v>
      </c>
    </row>
    <row r="1897" spans="1:20" hidden="1" x14ac:dyDescent="0.3">
      <c r="A1897" s="2" t="s">
        <v>2612</v>
      </c>
      <c r="B1897" s="5">
        <v>45753</v>
      </c>
      <c r="C1897" s="5" t="str">
        <f>TEXT(B1897,"mmm")</f>
        <v>Apr</v>
      </c>
      <c r="D1897" s="2" t="s">
        <v>2143</v>
      </c>
      <c r="E1897" s="2" t="s">
        <v>27</v>
      </c>
      <c r="F1897" s="2" t="str" cm="1">
        <f t="array" ref="F18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897" s="2" t="str" cm="1">
        <f t="array" ref="G18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97" s="2" t="s">
        <v>15</v>
      </c>
      <c r="I1897" s="2" t="s">
        <v>16</v>
      </c>
      <c r="J1897" s="2">
        <v>1</v>
      </c>
      <c r="K1897" s="8">
        <v>1799</v>
      </c>
      <c r="L1897" s="3">
        <v>0.05</v>
      </c>
      <c r="M1897" s="12">
        <f>K1897*L1897</f>
        <v>89.95</v>
      </c>
      <c r="N1897" s="12">
        <f>K1897*J1897</f>
        <v>1799</v>
      </c>
      <c r="O1897" s="12">
        <f>N1897-M1897</f>
        <v>1709.05</v>
      </c>
      <c r="P1897" s="2" t="s">
        <v>17</v>
      </c>
      <c r="Q1897" s="2" t="s">
        <v>18</v>
      </c>
      <c r="R1897" s="2">
        <v>0</v>
      </c>
      <c r="S1897" s="20">
        <f>Table1[[#This Row],[Net_revenue]]/Table1[[#This Row],[Gross_revenue]]*100%</f>
        <v>0.95</v>
      </c>
      <c r="T1897" s="18">
        <f>COUNTIFS(Table1[Customer ID], "&gt;1", Table1[Customer ID], 1)</f>
        <v>0</v>
      </c>
    </row>
    <row r="1898" spans="1:20" hidden="1" x14ac:dyDescent="0.3">
      <c r="A1898" s="2" t="s">
        <v>2613</v>
      </c>
      <c r="B1898" s="5">
        <v>45686</v>
      </c>
      <c r="C1898" s="5" t="str">
        <f>TEXT(B1898,"mmm")</f>
        <v>Jan</v>
      </c>
      <c r="D1898" s="2" t="s">
        <v>1612</v>
      </c>
      <c r="E1898" s="2" t="s">
        <v>48</v>
      </c>
      <c r="F1898" s="2" t="str" cm="1">
        <f t="array" ref="F18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898" s="2" t="str" cm="1">
        <f t="array" ref="G18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898" s="2" t="s">
        <v>117</v>
      </c>
      <c r="I1898" s="2" t="s">
        <v>23</v>
      </c>
      <c r="J1898" s="2">
        <v>1</v>
      </c>
      <c r="K1898" s="8">
        <v>2199</v>
      </c>
      <c r="L1898" s="3">
        <v>0.2</v>
      </c>
      <c r="M1898" s="12">
        <f>K1898*L1898</f>
        <v>439.8</v>
      </c>
      <c r="N1898" s="12">
        <f>K1898*J1898</f>
        <v>2199</v>
      </c>
      <c r="O1898" s="12">
        <f>N1898-M1898</f>
        <v>1759.2</v>
      </c>
      <c r="P1898" s="2" t="s">
        <v>45</v>
      </c>
      <c r="Q1898" s="2" t="s">
        <v>18</v>
      </c>
      <c r="R1898" s="2">
        <v>40</v>
      </c>
      <c r="S1898" s="20">
        <f>Table1[[#This Row],[Net_revenue]]/Table1[[#This Row],[Gross_revenue]]*100%</f>
        <v>0.8</v>
      </c>
      <c r="T1898" s="18">
        <f>COUNTIFS(Table1[Customer ID], "&gt;1", Table1[Customer ID], 1)</f>
        <v>0</v>
      </c>
    </row>
    <row r="1899" spans="1:20" hidden="1" x14ac:dyDescent="0.3">
      <c r="A1899" s="2" t="s">
        <v>2614</v>
      </c>
      <c r="B1899" s="5">
        <v>45825</v>
      </c>
      <c r="C1899" s="5" t="str">
        <f>TEXT(B1899,"mmm")</f>
        <v>Jun</v>
      </c>
      <c r="D1899" s="2" t="s">
        <v>725</v>
      </c>
      <c r="E1899" s="2" t="s">
        <v>40</v>
      </c>
      <c r="F1899" s="2" t="str" cm="1">
        <f t="array" ref="F18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899" s="2" t="str" cm="1">
        <f t="array" ref="G18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899" s="2" t="s">
        <v>117</v>
      </c>
      <c r="I1899" s="2" t="s">
        <v>23</v>
      </c>
      <c r="J1899" s="2">
        <v>1</v>
      </c>
      <c r="K1899" s="8">
        <v>2199</v>
      </c>
      <c r="L1899" s="3">
        <v>0</v>
      </c>
      <c r="M1899" s="12">
        <f>K1899*L1899</f>
        <v>0</v>
      </c>
      <c r="N1899" s="12">
        <f>K1899*J1899</f>
        <v>2199</v>
      </c>
      <c r="O1899" s="12">
        <f>N1899-M1899</f>
        <v>2199</v>
      </c>
      <c r="P1899" s="2" t="s">
        <v>30</v>
      </c>
      <c r="Q1899" s="2" t="s">
        <v>18</v>
      </c>
      <c r="R1899" s="2">
        <v>0</v>
      </c>
      <c r="S1899" s="20">
        <f>Table1[[#This Row],[Net_revenue]]/Table1[[#This Row],[Gross_revenue]]*100%</f>
        <v>1</v>
      </c>
      <c r="T1899" s="18">
        <f>COUNTIFS(Table1[Customer ID], "&gt;1", Table1[Customer ID], 1)</f>
        <v>0</v>
      </c>
    </row>
    <row r="1900" spans="1:20" hidden="1" x14ac:dyDescent="0.3">
      <c r="A1900" s="2" t="s">
        <v>2615</v>
      </c>
      <c r="B1900" s="5">
        <v>45734</v>
      </c>
      <c r="C1900" s="5" t="str">
        <f>TEXT(B1900,"mmm")</f>
        <v>Mar</v>
      </c>
      <c r="D1900" s="2" t="s">
        <v>832</v>
      </c>
      <c r="E1900" s="2" t="s">
        <v>21</v>
      </c>
      <c r="F1900" s="2" t="str" cm="1">
        <f t="array" ref="F19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00" s="2" t="str" cm="1">
        <f t="array" ref="G19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00" s="2" t="s">
        <v>134</v>
      </c>
      <c r="I1900" s="2" t="s">
        <v>29</v>
      </c>
      <c r="J1900" s="2">
        <v>2</v>
      </c>
      <c r="K1900" s="8">
        <v>1499</v>
      </c>
      <c r="L1900" s="3">
        <v>0</v>
      </c>
      <c r="M1900" s="12">
        <f>K1900*L1900</f>
        <v>0</v>
      </c>
      <c r="N1900" s="12">
        <f>K1900*J1900</f>
        <v>2998</v>
      </c>
      <c r="O1900" s="12">
        <f>N1900-M1900</f>
        <v>2998</v>
      </c>
      <c r="P1900" s="2" t="s">
        <v>30</v>
      </c>
      <c r="Q1900" s="2" t="s">
        <v>18</v>
      </c>
      <c r="R1900" s="2">
        <v>60</v>
      </c>
      <c r="S1900" s="20">
        <f>Table1[[#This Row],[Net_revenue]]/Table1[[#This Row],[Gross_revenue]]*100%</f>
        <v>1</v>
      </c>
      <c r="T1900" s="18">
        <f>COUNTIFS(Table1[Customer ID], "&gt;1", Table1[Customer ID], 1)</f>
        <v>0</v>
      </c>
    </row>
    <row r="1901" spans="1:20" hidden="1" x14ac:dyDescent="0.3">
      <c r="A1901" s="2" t="s">
        <v>2616</v>
      </c>
      <c r="B1901" s="5">
        <v>45753</v>
      </c>
      <c r="C1901" s="5" t="str">
        <f>TEXT(B1901,"mmm")</f>
        <v>Apr</v>
      </c>
      <c r="D1901" s="2" t="s">
        <v>440</v>
      </c>
      <c r="E1901" s="2" t="s">
        <v>40</v>
      </c>
      <c r="F1901" s="2" t="str" cm="1">
        <f t="array" ref="F19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01" s="2" t="str" cm="1">
        <f t="array" ref="G19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01" s="2" t="s">
        <v>217</v>
      </c>
      <c r="I1901" s="2" t="s">
        <v>29</v>
      </c>
      <c r="J1901" s="2">
        <v>1</v>
      </c>
      <c r="K1901" s="8">
        <v>3299</v>
      </c>
      <c r="L1901" s="3">
        <v>0.05</v>
      </c>
      <c r="M1901" s="12">
        <f>K1901*L1901</f>
        <v>164.95000000000002</v>
      </c>
      <c r="N1901" s="12">
        <f>K1901*J1901</f>
        <v>3299</v>
      </c>
      <c r="O1901" s="12">
        <f>N1901-M1901</f>
        <v>3134.05</v>
      </c>
      <c r="P1901" s="2" t="s">
        <v>45</v>
      </c>
      <c r="Q1901" s="2" t="s">
        <v>18</v>
      </c>
      <c r="R1901" s="2">
        <v>60</v>
      </c>
      <c r="S1901" s="20">
        <f>Table1[[#This Row],[Net_revenue]]/Table1[[#This Row],[Gross_revenue]]*100%</f>
        <v>0.95000000000000007</v>
      </c>
      <c r="T1901" s="18">
        <f>COUNTIFS(Table1[Customer ID], "&gt;1", Table1[Customer ID], 1)</f>
        <v>0</v>
      </c>
    </row>
    <row r="1902" spans="1:20" hidden="1" x14ac:dyDescent="0.3">
      <c r="A1902" s="2" t="s">
        <v>2617</v>
      </c>
      <c r="B1902" s="5">
        <v>46010</v>
      </c>
      <c r="C1902" s="5" t="str">
        <f>TEXT(B1902,"mmm")</f>
        <v>Dec</v>
      </c>
      <c r="D1902" s="2" t="s">
        <v>1452</v>
      </c>
      <c r="E1902" s="2" t="s">
        <v>75</v>
      </c>
      <c r="F1902" s="2" t="str" cm="1">
        <f t="array" ref="F190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902" s="2" t="str" cm="1">
        <f t="array" ref="G190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02" s="2" t="s">
        <v>49</v>
      </c>
      <c r="I1902" s="2" t="s">
        <v>23</v>
      </c>
      <c r="J1902" s="2">
        <v>1</v>
      </c>
      <c r="K1902" s="8">
        <v>1299</v>
      </c>
      <c r="L1902" s="3">
        <v>0.05</v>
      </c>
      <c r="M1902" s="12">
        <f>K1902*L1902</f>
        <v>64.95</v>
      </c>
      <c r="N1902" s="12">
        <f>K1902*J1902</f>
        <v>1299</v>
      </c>
      <c r="O1902" s="12">
        <f>N1902-M1902</f>
        <v>1234.05</v>
      </c>
      <c r="P1902" s="2" t="s">
        <v>30</v>
      </c>
      <c r="Q1902" s="2" t="s">
        <v>18</v>
      </c>
      <c r="R1902" s="2">
        <v>60</v>
      </c>
      <c r="S1902" s="20">
        <f>Table1[[#This Row],[Net_revenue]]/Table1[[#This Row],[Gross_revenue]]*100%</f>
        <v>0.95</v>
      </c>
      <c r="T1902" s="18">
        <f>COUNTIFS(Table1[Customer ID], "&gt;1", Table1[Customer ID], 1)</f>
        <v>0</v>
      </c>
    </row>
    <row r="1903" spans="1:20" hidden="1" x14ac:dyDescent="0.3">
      <c r="A1903" s="2" t="s">
        <v>2618</v>
      </c>
      <c r="B1903" s="5">
        <v>45742</v>
      </c>
      <c r="C1903" s="5" t="str">
        <f>TEXT(B1903,"mmm")</f>
        <v>Mar</v>
      </c>
      <c r="D1903" s="2" t="s">
        <v>1510</v>
      </c>
      <c r="E1903" s="2" t="s">
        <v>40</v>
      </c>
      <c r="F1903" s="2" t="str" cm="1">
        <f t="array" ref="F190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03" s="2" t="str" cm="1">
        <f t="array" ref="G190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03" s="2" t="s">
        <v>217</v>
      </c>
      <c r="I1903" s="2" t="s">
        <v>29</v>
      </c>
      <c r="J1903" s="2">
        <v>1</v>
      </c>
      <c r="K1903" s="8">
        <v>3299</v>
      </c>
      <c r="L1903" s="3">
        <v>0.2</v>
      </c>
      <c r="M1903" s="12">
        <f>K1903*L1903</f>
        <v>659.80000000000007</v>
      </c>
      <c r="N1903" s="12">
        <f>K1903*J1903</f>
        <v>3299</v>
      </c>
      <c r="O1903" s="12">
        <f>N1903-M1903</f>
        <v>2639.2</v>
      </c>
      <c r="P1903" s="2" t="s">
        <v>17</v>
      </c>
      <c r="Q1903" s="2" t="s">
        <v>18</v>
      </c>
      <c r="R1903" s="2">
        <v>0</v>
      </c>
      <c r="S1903" s="20">
        <f>Table1[[#This Row],[Net_revenue]]/Table1[[#This Row],[Gross_revenue]]*100%</f>
        <v>0.79999999999999993</v>
      </c>
      <c r="T1903" s="18">
        <f>COUNTIFS(Table1[Customer ID], "&gt;1", Table1[Customer ID], 1)</f>
        <v>0</v>
      </c>
    </row>
    <row r="1904" spans="1:20" hidden="1" x14ac:dyDescent="0.3">
      <c r="A1904" s="2" t="s">
        <v>2619</v>
      </c>
      <c r="B1904" s="5">
        <v>45982</v>
      </c>
      <c r="C1904" s="5" t="str">
        <f>TEXT(B1904,"mmm")</f>
        <v>Nov</v>
      </c>
      <c r="D1904" s="2" t="s">
        <v>1206</v>
      </c>
      <c r="E1904" s="2" t="s">
        <v>195</v>
      </c>
      <c r="F1904" s="2" t="str" cm="1">
        <f t="array" ref="F190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04" s="2" t="str" cm="1">
        <f t="array" ref="G190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04" s="2" t="s">
        <v>117</v>
      </c>
      <c r="I1904" s="2" t="s">
        <v>23</v>
      </c>
      <c r="J1904" s="2">
        <v>1</v>
      </c>
      <c r="K1904" s="8">
        <v>2199</v>
      </c>
      <c r="L1904" s="3">
        <v>0.15</v>
      </c>
      <c r="M1904" s="12">
        <f>K1904*L1904</f>
        <v>329.84999999999997</v>
      </c>
      <c r="N1904" s="12">
        <f>K1904*J1904</f>
        <v>2199</v>
      </c>
      <c r="O1904" s="12">
        <f>N1904-M1904</f>
        <v>1869.15</v>
      </c>
      <c r="P1904" s="2" t="s">
        <v>45</v>
      </c>
      <c r="Q1904" s="2" t="s">
        <v>18</v>
      </c>
      <c r="R1904" s="2">
        <v>40</v>
      </c>
      <c r="S1904" s="20">
        <f>Table1[[#This Row],[Net_revenue]]/Table1[[#This Row],[Gross_revenue]]*100%</f>
        <v>0.85000000000000009</v>
      </c>
      <c r="T1904" s="18">
        <f>COUNTIFS(Table1[Customer ID], "&gt;1", Table1[Customer ID], 1)</f>
        <v>0</v>
      </c>
    </row>
    <row r="1905" spans="1:20" hidden="1" x14ac:dyDescent="0.3">
      <c r="A1905" s="2" t="s">
        <v>2620</v>
      </c>
      <c r="B1905" s="5">
        <v>45986</v>
      </c>
      <c r="C1905" s="5" t="str">
        <f>TEXT(B1905,"mmm")</f>
        <v>Nov</v>
      </c>
      <c r="D1905" s="2" t="s">
        <v>942</v>
      </c>
      <c r="E1905" s="2" t="s">
        <v>56</v>
      </c>
      <c r="F1905" s="2" t="str" cm="1">
        <f t="array" ref="F190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05" s="2" t="str" cm="1">
        <f t="array" ref="G190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05" s="2" t="s">
        <v>33</v>
      </c>
      <c r="I1905" s="2" t="s">
        <v>16</v>
      </c>
      <c r="J1905" s="2">
        <v>1</v>
      </c>
      <c r="K1905" s="8">
        <v>899</v>
      </c>
      <c r="L1905" s="3">
        <v>0.1</v>
      </c>
      <c r="M1905" s="12">
        <f>K1905*L1905</f>
        <v>89.9</v>
      </c>
      <c r="N1905" s="12">
        <f>K1905*J1905</f>
        <v>899</v>
      </c>
      <c r="O1905" s="12">
        <f>N1905-M1905</f>
        <v>809.1</v>
      </c>
      <c r="P1905" s="2" t="s">
        <v>45</v>
      </c>
      <c r="Q1905" s="2" t="s">
        <v>18</v>
      </c>
      <c r="R1905" s="2">
        <v>60</v>
      </c>
      <c r="S1905" s="20">
        <f>Table1[[#This Row],[Net_revenue]]/Table1[[#This Row],[Gross_revenue]]*100%</f>
        <v>0.9</v>
      </c>
      <c r="T1905" s="18">
        <f>COUNTIFS(Table1[Customer ID], "&gt;1", Table1[Customer ID], 1)</f>
        <v>0</v>
      </c>
    </row>
    <row r="1906" spans="1:20" hidden="1" x14ac:dyDescent="0.3">
      <c r="A1906" s="2" t="s">
        <v>2621</v>
      </c>
      <c r="B1906" s="5">
        <v>45926</v>
      </c>
      <c r="C1906" s="5" t="str">
        <f>TEXT(B1906,"mmm")</f>
        <v>Sep</v>
      </c>
      <c r="D1906" s="2" t="s">
        <v>720</v>
      </c>
      <c r="E1906" s="2" t="s">
        <v>40</v>
      </c>
      <c r="F1906" s="2" t="str" cm="1">
        <f t="array" ref="F190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06" s="2" t="str" cm="1">
        <f t="array" ref="G190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06" s="2" t="s">
        <v>117</v>
      </c>
      <c r="I1906" s="2" t="s">
        <v>23</v>
      </c>
      <c r="J1906" s="2">
        <v>1</v>
      </c>
      <c r="K1906" s="8">
        <v>2199</v>
      </c>
      <c r="L1906" s="3">
        <v>0.1</v>
      </c>
      <c r="M1906" s="12">
        <f>K1906*L1906</f>
        <v>219.9</v>
      </c>
      <c r="N1906" s="12">
        <f>K1906*J1906</f>
        <v>2199</v>
      </c>
      <c r="O1906" s="12">
        <f>N1906-M1906</f>
        <v>1979.1</v>
      </c>
      <c r="P1906" s="2" t="s">
        <v>24</v>
      </c>
      <c r="Q1906" s="2" t="s">
        <v>50</v>
      </c>
      <c r="R1906" s="2">
        <v>40</v>
      </c>
      <c r="S1906" s="20">
        <f>Table1[[#This Row],[Net_revenue]]/Table1[[#This Row],[Gross_revenue]]*100%</f>
        <v>0.89999999999999991</v>
      </c>
      <c r="T1906" s="18">
        <f>COUNTIFS(Table1[Customer ID], "&gt;1", Table1[Customer ID], 1)</f>
        <v>0</v>
      </c>
    </row>
    <row r="1907" spans="1:20" hidden="1" x14ac:dyDescent="0.3">
      <c r="A1907" s="2" t="s">
        <v>2622</v>
      </c>
      <c r="B1907" s="5">
        <v>45774</v>
      </c>
      <c r="C1907" s="5" t="str">
        <f>TEXT(B1907,"mmm")</f>
        <v>Apr</v>
      </c>
      <c r="D1907" s="2" t="s">
        <v>55</v>
      </c>
      <c r="E1907" s="2" t="s">
        <v>14</v>
      </c>
      <c r="F1907" s="2" t="str" cm="1">
        <f t="array" ref="F190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1907" s="2" t="str" cm="1">
        <f t="array" ref="G190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1907" s="2" t="s">
        <v>49</v>
      </c>
      <c r="I1907" s="2" t="s">
        <v>23</v>
      </c>
      <c r="J1907" s="2">
        <v>1</v>
      </c>
      <c r="K1907" s="8">
        <v>1299</v>
      </c>
      <c r="L1907" s="3">
        <v>0.1</v>
      </c>
      <c r="M1907" s="12">
        <f>K1907*L1907</f>
        <v>129.9</v>
      </c>
      <c r="N1907" s="12">
        <f>K1907*J1907</f>
        <v>1299</v>
      </c>
      <c r="O1907" s="12">
        <f>N1907-M1907</f>
        <v>1169.0999999999999</v>
      </c>
      <c r="P1907" s="2" t="s">
        <v>17</v>
      </c>
      <c r="Q1907" s="2" t="s">
        <v>50</v>
      </c>
      <c r="R1907" s="2">
        <v>80</v>
      </c>
      <c r="S1907" s="20">
        <f>Table1[[#This Row],[Net_revenue]]/Table1[[#This Row],[Gross_revenue]]*100%</f>
        <v>0.89999999999999991</v>
      </c>
      <c r="T1907" s="18">
        <f>COUNTIFS(Table1[Customer ID], "&gt;1", Table1[Customer ID], 1)</f>
        <v>0</v>
      </c>
    </row>
    <row r="1908" spans="1:20" hidden="1" x14ac:dyDescent="0.3">
      <c r="A1908" s="2" t="s">
        <v>2623</v>
      </c>
      <c r="B1908" s="5">
        <v>45863</v>
      </c>
      <c r="C1908" s="5" t="str">
        <f>TEXT(B1908,"mmm")</f>
        <v>Jul</v>
      </c>
      <c r="D1908" s="2" t="s">
        <v>522</v>
      </c>
      <c r="E1908" s="2" t="s">
        <v>48</v>
      </c>
      <c r="F1908" s="2" t="str" cm="1">
        <f t="array" ref="F190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08" s="2" t="str" cm="1">
        <f t="array" ref="G190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08" s="2" t="s">
        <v>68</v>
      </c>
      <c r="I1908" s="2" t="s">
        <v>16</v>
      </c>
      <c r="J1908" s="2">
        <v>1</v>
      </c>
      <c r="K1908" s="8">
        <v>599</v>
      </c>
      <c r="L1908" s="3">
        <v>0.25</v>
      </c>
      <c r="M1908" s="12">
        <f>K1908*L1908</f>
        <v>149.75</v>
      </c>
      <c r="N1908" s="12">
        <f>K1908*J1908</f>
        <v>599</v>
      </c>
      <c r="O1908" s="12">
        <f>N1908-M1908</f>
        <v>449.25</v>
      </c>
      <c r="P1908" s="2" t="s">
        <v>24</v>
      </c>
      <c r="Q1908" s="2" t="s">
        <v>50</v>
      </c>
      <c r="R1908" s="2">
        <v>60</v>
      </c>
      <c r="S1908" s="20">
        <f>Table1[[#This Row],[Net_revenue]]/Table1[[#This Row],[Gross_revenue]]*100%</f>
        <v>0.75</v>
      </c>
      <c r="T1908" s="18">
        <f>COUNTIFS(Table1[Customer ID], "&gt;1", Table1[Customer ID], 1)</f>
        <v>0</v>
      </c>
    </row>
    <row r="1909" spans="1:20" hidden="1" x14ac:dyDescent="0.3">
      <c r="A1909" s="2" t="s">
        <v>2624</v>
      </c>
      <c r="B1909" s="5">
        <v>45854</v>
      </c>
      <c r="C1909" s="5" t="str">
        <f>TEXT(B1909,"mmm")</f>
        <v>Jul</v>
      </c>
      <c r="D1909" s="2" t="s">
        <v>2201</v>
      </c>
      <c r="E1909" s="2" t="s">
        <v>56</v>
      </c>
      <c r="F1909" s="2" t="str" cm="1">
        <f t="array" ref="F190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09" s="2" t="str" cm="1">
        <f t="array" ref="G190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09" s="2" t="s">
        <v>28</v>
      </c>
      <c r="I1909" s="2" t="s">
        <v>29</v>
      </c>
      <c r="J1909" s="2">
        <v>1</v>
      </c>
      <c r="K1909" s="8">
        <v>2799</v>
      </c>
      <c r="L1909" s="3">
        <v>0</v>
      </c>
      <c r="M1909" s="12">
        <f>K1909*L1909</f>
        <v>0</v>
      </c>
      <c r="N1909" s="12">
        <f>K1909*J1909</f>
        <v>2799</v>
      </c>
      <c r="O1909" s="12">
        <f>N1909-M1909</f>
        <v>2799</v>
      </c>
      <c r="P1909" s="2" t="s">
        <v>45</v>
      </c>
      <c r="Q1909" s="2" t="s">
        <v>50</v>
      </c>
      <c r="R1909" s="2">
        <v>60</v>
      </c>
      <c r="S1909" s="20">
        <f>Table1[[#This Row],[Net_revenue]]/Table1[[#This Row],[Gross_revenue]]*100%</f>
        <v>1</v>
      </c>
      <c r="T1909" s="18">
        <f>COUNTIFS(Table1[Customer ID], "&gt;1", Table1[Customer ID], 1)</f>
        <v>0</v>
      </c>
    </row>
    <row r="1910" spans="1:20" hidden="1" x14ac:dyDescent="0.3">
      <c r="A1910" s="2" t="s">
        <v>2625</v>
      </c>
      <c r="B1910" s="5">
        <v>45742</v>
      </c>
      <c r="C1910" s="5" t="str">
        <f>TEXT(B1910,"mmm")</f>
        <v>Mar</v>
      </c>
      <c r="D1910" s="2" t="s">
        <v>791</v>
      </c>
      <c r="E1910" s="2" t="s">
        <v>21</v>
      </c>
      <c r="F1910" s="2" t="str" cm="1">
        <f t="array" ref="F191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10" s="2" t="str" cm="1">
        <f t="array" ref="G191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0" s="2" t="s">
        <v>89</v>
      </c>
      <c r="I1910" s="2" t="s">
        <v>29</v>
      </c>
      <c r="J1910" s="2">
        <v>1</v>
      </c>
      <c r="K1910" s="8">
        <v>449</v>
      </c>
      <c r="L1910" s="3">
        <v>0.15</v>
      </c>
      <c r="M1910" s="12">
        <f>K1910*L1910</f>
        <v>67.349999999999994</v>
      </c>
      <c r="N1910" s="12">
        <f>K1910*J1910</f>
        <v>449</v>
      </c>
      <c r="O1910" s="12">
        <f>N1910-M1910</f>
        <v>381.65</v>
      </c>
      <c r="P1910" s="2" t="s">
        <v>17</v>
      </c>
      <c r="Q1910" s="2" t="s">
        <v>18</v>
      </c>
      <c r="R1910" s="2">
        <v>60</v>
      </c>
      <c r="S1910" s="20">
        <f>Table1[[#This Row],[Net_revenue]]/Table1[[#This Row],[Gross_revenue]]*100%</f>
        <v>0.85</v>
      </c>
      <c r="T1910" s="18">
        <f>COUNTIFS(Table1[Customer ID], "&gt;1", Table1[Customer ID], 1)</f>
        <v>0</v>
      </c>
    </row>
    <row r="1911" spans="1:20" hidden="1" x14ac:dyDescent="0.3">
      <c r="A1911" s="2" t="s">
        <v>2626</v>
      </c>
      <c r="B1911" s="5">
        <v>45779</v>
      </c>
      <c r="C1911" s="5" t="str">
        <f>TEXT(B1911,"mmm")</f>
        <v>May</v>
      </c>
      <c r="D1911" s="2" t="s">
        <v>114</v>
      </c>
      <c r="E1911" s="2" t="s">
        <v>120</v>
      </c>
      <c r="F1911" s="2" t="str" cm="1">
        <f t="array" ref="F191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11" s="2" t="str" cm="1">
        <f t="array" ref="G191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1" s="2" t="s">
        <v>80</v>
      </c>
      <c r="I1911" s="2" t="s">
        <v>23</v>
      </c>
      <c r="J1911" s="2">
        <v>1</v>
      </c>
      <c r="K1911" s="8">
        <v>799</v>
      </c>
      <c r="L1911" s="3">
        <v>0.1</v>
      </c>
      <c r="M1911" s="12">
        <f>K1911*L1911</f>
        <v>79.900000000000006</v>
      </c>
      <c r="N1911" s="12">
        <f>K1911*J1911</f>
        <v>799</v>
      </c>
      <c r="O1911" s="12">
        <f>N1911-M1911</f>
        <v>719.1</v>
      </c>
      <c r="P1911" s="2" t="s">
        <v>17</v>
      </c>
      <c r="Q1911" s="2" t="s">
        <v>18</v>
      </c>
      <c r="R1911" s="2">
        <v>40</v>
      </c>
      <c r="S1911" s="20">
        <f>Table1[[#This Row],[Net_revenue]]/Table1[[#This Row],[Gross_revenue]]*100%</f>
        <v>0.9</v>
      </c>
      <c r="T1911" s="18">
        <f>COUNTIFS(Table1[Customer ID], "&gt;1", Table1[Customer ID], 1)</f>
        <v>0</v>
      </c>
    </row>
    <row r="1912" spans="1:20" hidden="1" x14ac:dyDescent="0.3">
      <c r="A1912" s="2" t="s">
        <v>2627</v>
      </c>
      <c r="B1912" s="5">
        <v>45713</v>
      </c>
      <c r="C1912" s="5" t="str">
        <f>TEXT(B1912,"mmm")</f>
        <v>Feb</v>
      </c>
      <c r="D1912" s="2" t="s">
        <v>661</v>
      </c>
      <c r="E1912" s="2" t="s">
        <v>195</v>
      </c>
      <c r="F1912" s="2" t="str" cm="1">
        <f t="array" ref="F191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12" s="2" t="str" cm="1">
        <f t="array" ref="G191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2" s="2" t="s">
        <v>44</v>
      </c>
      <c r="I1912" s="2" t="s">
        <v>16</v>
      </c>
      <c r="J1912" s="2">
        <v>1</v>
      </c>
      <c r="K1912" s="8">
        <v>1599</v>
      </c>
      <c r="L1912" s="3">
        <v>0.1</v>
      </c>
      <c r="M1912" s="12">
        <f>K1912*L1912</f>
        <v>159.9</v>
      </c>
      <c r="N1912" s="12">
        <f>K1912*J1912</f>
        <v>1599</v>
      </c>
      <c r="O1912" s="12">
        <f>N1912-M1912</f>
        <v>1439.1</v>
      </c>
      <c r="P1912" s="2" t="s">
        <v>30</v>
      </c>
      <c r="Q1912" s="2" t="s">
        <v>18</v>
      </c>
      <c r="R1912" s="2">
        <v>80</v>
      </c>
      <c r="S1912" s="20">
        <f>Table1[[#This Row],[Net_revenue]]/Table1[[#This Row],[Gross_revenue]]*100%</f>
        <v>0.89999999999999991</v>
      </c>
      <c r="T1912" s="18">
        <f>COUNTIFS(Table1[Customer ID], "&gt;1", Table1[Customer ID], 1)</f>
        <v>0</v>
      </c>
    </row>
    <row r="1913" spans="1:20" hidden="1" x14ac:dyDescent="0.3">
      <c r="A1913" s="2" t="s">
        <v>2628</v>
      </c>
      <c r="B1913" s="5">
        <v>45685</v>
      </c>
      <c r="C1913" s="5" t="str">
        <f>TEXT(B1913,"mmm")</f>
        <v>Jan</v>
      </c>
      <c r="D1913" s="2" t="s">
        <v>946</v>
      </c>
      <c r="E1913" s="2" t="s">
        <v>48</v>
      </c>
      <c r="F1913" s="2" t="str" cm="1">
        <f t="array" ref="F191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13" s="2" t="str" cm="1">
        <f t="array" ref="G191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13" s="2" t="s">
        <v>71</v>
      </c>
      <c r="I1913" s="2" t="s">
        <v>29</v>
      </c>
      <c r="J1913" s="2">
        <v>4</v>
      </c>
      <c r="K1913" s="8">
        <v>5499</v>
      </c>
      <c r="L1913" s="3">
        <v>0.1</v>
      </c>
      <c r="M1913" s="12">
        <f>K1913*L1913</f>
        <v>549.9</v>
      </c>
      <c r="N1913" s="12">
        <f>K1913*J1913</f>
        <v>21996</v>
      </c>
      <c r="O1913" s="12">
        <f>N1913-M1913</f>
        <v>21446.1</v>
      </c>
      <c r="P1913" s="2" t="s">
        <v>30</v>
      </c>
      <c r="Q1913" s="2" t="s">
        <v>50</v>
      </c>
      <c r="R1913" s="2">
        <v>40</v>
      </c>
      <c r="S1913" s="20">
        <f>Table1[[#This Row],[Net_revenue]]/Table1[[#This Row],[Gross_revenue]]*100%</f>
        <v>0.97499999999999998</v>
      </c>
      <c r="T1913" s="18">
        <f>COUNTIFS(Table1[Customer ID], "&gt;1", Table1[Customer ID], 1)</f>
        <v>0</v>
      </c>
    </row>
    <row r="1914" spans="1:20" hidden="1" x14ac:dyDescent="0.3">
      <c r="A1914" s="2" t="s">
        <v>2629</v>
      </c>
      <c r="B1914" s="5">
        <v>45931</v>
      </c>
      <c r="C1914" s="5" t="str">
        <f>TEXT(B1914,"mmm")</f>
        <v>Oct</v>
      </c>
      <c r="D1914" s="2" t="s">
        <v>479</v>
      </c>
      <c r="E1914" s="2" t="s">
        <v>56</v>
      </c>
      <c r="F1914" s="2" t="str" cm="1">
        <f t="array" ref="F191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14" s="2" t="str" cm="1">
        <f t="array" ref="G191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14" s="2" t="s">
        <v>63</v>
      </c>
      <c r="I1914" s="2" t="s">
        <v>23</v>
      </c>
      <c r="J1914" s="2">
        <v>3</v>
      </c>
      <c r="K1914" s="8">
        <v>2499</v>
      </c>
      <c r="L1914" s="3">
        <v>0.2</v>
      </c>
      <c r="M1914" s="12">
        <f>K1914*L1914</f>
        <v>499.8</v>
      </c>
      <c r="N1914" s="12">
        <f>K1914*J1914</f>
        <v>7497</v>
      </c>
      <c r="O1914" s="12">
        <f>N1914-M1914</f>
        <v>6997.2</v>
      </c>
      <c r="P1914" s="2" t="s">
        <v>45</v>
      </c>
      <c r="Q1914" s="2" t="s">
        <v>18</v>
      </c>
      <c r="R1914" s="2">
        <v>60</v>
      </c>
      <c r="S1914" s="20">
        <f>Table1[[#This Row],[Net_revenue]]/Table1[[#This Row],[Gross_revenue]]*100%</f>
        <v>0.93333333333333335</v>
      </c>
      <c r="T1914" s="18">
        <f>COUNTIFS(Table1[Customer ID], "&gt;1", Table1[Customer ID], 1)</f>
        <v>0</v>
      </c>
    </row>
    <row r="1915" spans="1:20" hidden="1" x14ac:dyDescent="0.3">
      <c r="A1915" s="2" t="s">
        <v>2630</v>
      </c>
      <c r="B1915" s="5">
        <v>45742</v>
      </c>
      <c r="C1915" s="5" t="str">
        <f>TEXT(B1915,"mmm")</f>
        <v>Mar</v>
      </c>
      <c r="D1915" s="2" t="s">
        <v>494</v>
      </c>
      <c r="E1915" s="2" t="s">
        <v>21</v>
      </c>
      <c r="F1915" s="2" t="str" cm="1">
        <f t="array" ref="F191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15" s="2" t="str" cm="1">
        <f t="array" ref="G191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5" s="2" t="s">
        <v>65</v>
      </c>
      <c r="I1915" s="2" t="s">
        <v>23</v>
      </c>
      <c r="J1915" s="2">
        <v>2</v>
      </c>
      <c r="K1915" s="8">
        <v>1899</v>
      </c>
      <c r="L1915" s="3">
        <v>0.25</v>
      </c>
      <c r="M1915" s="12">
        <f>K1915*L1915</f>
        <v>474.75</v>
      </c>
      <c r="N1915" s="12">
        <f>K1915*J1915</f>
        <v>3798</v>
      </c>
      <c r="O1915" s="12">
        <f>N1915-M1915</f>
        <v>3323.25</v>
      </c>
      <c r="P1915" s="2" t="s">
        <v>17</v>
      </c>
      <c r="Q1915" s="2" t="s">
        <v>72</v>
      </c>
      <c r="R1915" s="2">
        <v>0</v>
      </c>
      <c r="S1915" s="20">
        <f>Table1[[#This Row],[Net_revenue]]/Table1[[#This Row],[Gross_revenue]]*100%</f>
        <v>0.875</v>
      </c>
      <c r="T1915" s="18">
        <f>COUNTIFS(Table1[Customer ID], "&gt;1", Table1[Customer ID], 1)</f>
        <v>0</v>
      </c>
    </row>
    <row r="1916" spans="1:20" hidden="1" x14ac:dyDescent="0.3">
      <c r="A1916" s="2" t="s">
        <v>2631</v>
      </c>
      <c r="B1916" s="5">
        <v>45679</v>
      </c>
      <c r="C1916" s="5" t="str">
        <f>TEXT(B1916,"mmm")</f>
        <v>Jan</v>
      </c>
      <c r="D1916" s="2" t="s">
        <v>1439</v>
      </c>
      <c r="E1916" s="2" t="s">
        <v>21</v>
      </c>
      <c r="F1916" s="2" t="str" cm="1">
        <f t="array" ref="F191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16" s="2" t="str" cm="1">
        <f t="array" ref="G191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6" s="2" t="s">
        <v>33</v>
      </c>
      <c r="I1916" s="2" t="s">
        <v>16</v>
      </c>
      <c r="J1916" s="2">
        <v>1</v>
      </c>
      <c r="K1916" s="8">
        <v>899</v>
      </c>
      <c r="L1916" s="3">
        <v>0.1</v>
      </c>
      <c r="M1916" s="12">
        <f>K1916*L1916</f>
        <v>89.9</v>
      </c>
      <c r="N1916" s="12">
        <f>K1916*J1916</f>
        <v>899</v>
      </c>
      <c r="O1916" s="12">
        <f>N1916-M1916</f>
        <v>809.1</v>
      </c>
      <c r="P1916" s="2" t="s">
        <v>45</v>
      </c>
      <c r="Q1916" s="2" t="s">
        <v>50</v>
      </c>
      <c r="R1916" s="2">
        <v>0</v>
      </c>
      <c r="S1916" s="20">
        <f>Table1[[#This Row],[Net_revenue]]/Table1[[#This Row],[Gross_revenue]]*100%</f>
        <v>0.9</v>
      </c>
      <c r="T1916" s="18">
        <f>COUNTIFS(Table1[Customer ID], "&gt;1", Table1[Customer ID], 1)</f>
        <v>0</v>
      </c>
    </row>
    <row r="1917" spans="1:20" hidden="1" x14ac:dyDescent="0.3">
      <c r="A1917" s="2" t="s">
        <v>2632</v>
      </c>
      <c r="B1917" s="5">
        <v>45911</v>
      </c>
      <c r="C1917" s="5" t="str">
        <f>TEXT(B1917,"mmm")</f>
        <v>Sep</v>
      </c>
      <c r="D1917" s="2" t="s">
        <v>759</v>
      </c>
      <c r="E1917" s="2" t="s">
        <v>21</v>
      </c>
      <c r="F1917" s="2" t="str" cm="1">
        <f t="array" ref="F191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17" s="2" t="str" cm="1">
        <f t="array" ref="G191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7" s="2" t="s">
        <v>89</v>
      </c>
      <c r="I1917" s="2" t="s">
        <v>29</v>
      </c>
      <c r="J1917" s="2">
        <v>3</v>
      </c>
      <c r="K1917" s="8">
        <v>449</v>
      </c>
      <c r="L1917" s="3">
        <v>0.25</v>
      </c>
      <c r="M1917" s="12">
        <f>K1917*L1917</f>
        <v>112.25</v>
      </c>
      <c r="N1917" s="12">
        <f>K1917*J1917</f>
        <v>1347</v>
      </c>
      <c r="O1917" s="12">
        <f>N1917-M1917</f>
        <v>1234.75</v>
      </c>
      <c r="P1917" s="2" t="s">
        <v>45</v>
      </c>
      <c r="Q1917" s="2" t="s">
        <v>18</v>
      </c>
      <c r="R1917" s="2">
        <v>40</v>
      </c>
      <c r="S1917" s="20">
        <f>Table1[[#This Row],[Net_revenue]]/Table1[[#This Row],[Gross_revenue]]*100%</f>
        <v>0.91666666666666663</v>
      </c>
      <c r="T1917" s="18">
        <f>COUNTIFS(Table1[Customer ID], "&gt;1", Table1[Customer ID], 1)</f>
        <v>0</v>
      </c>
    </row>
    <row r="1918" spans="1:20" hidden="1" x14ac:dyDescent="0.3">
      <c r="A1918" s="2" t="s">
        <v>2633</v>
      </c>
      <c r="B1918" s="5">
        <v>45879</v>
      </c>
      <c r="C1918" s="5" t="str">
        <f>TEXT(B1918,"mmm")</f>
        <v>Aug</v>
      </c>
      <c r="D1918" s="2" t="s">
        <v>215</v>
      </c>
      <c r="E1918" s="2" t="s">
        <v>120</v>
      </c>
      <c r="F1918" s="2" t="str" cm="1">
        <f t="array" ref="F191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18" s="2" t="str" cm="1">
        <f t="array" ref="G191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18" s="2" t="s">
        <v>134</v>
      </c>
      <c r="I1918" s="2" t="s">
        <v>29</v>
      </c>
      <c r="J1918" s="2">
        <v>1</v>
      </c>
      <c r="K1918" s="8">
        <v>1499</v>
      </c>
      <c r="L1918" s="3">
        <v>0.2</v>
      </c>
      <c r="M1918" s="12">
        <f>K1918*L1918</f>
        <v>299.8</v>
      </c>
      <c r="N1918" s="12">
        <f>K1918*J1918</f>
        <v>1499</v>
      </c>
      <c r="O1918" s="12">
        <f>N1918-M1918</f>
        <v>1199.2</v>
      </c>
      <c r="P1918" s="2" t="s">
        <v>17</v>
      </c>
      <c r="Q1918" s="2" t="s">
        <v>18</v>
      </c>
      <c r="R1918" s="2">
        <v>80</v>
      </c>
      <c r="S1918" s="20">
        <f>Table1[[#This Row],[Net_revenue]]/Table1[[#This Row],[Gross_revenue]]*100%</f>
        <v>0.8</v>
      </c>
      <c r="T1918" s="18">
        <f>COUNTIFS(Table1[Customer ID], "&gt;1", Table1[Customer ID], 1)</f>
        <v>0</v>
      </c>
    </row>
    <row r="1919" spans="1:20" hidden="1" x14ac:dyDescent="0.3">
      <c r="A1919" s="2" t="s">
        <v>2634</v>
      </c>
      <c r="B1919" s="5">
        <v>45742</v>
      </c>
      <c r="C1919" s="5" t="str">
        <f>TEXT(B1919,"mmm")</f>
        <v>Mar</v>
      </c>
      <c r="D1919" s="2" t="s">
        <v>663</v>
      </c>
      <c r="E1919" s="2" t="s">
        <v>48</v>
      </c>
      <c r="F1919" s="2" t="str" cm="1">
        <f t="array" ref="F191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19" s="2" t="str" cm="1">
        <f t="array" ref="G191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19" s="2" t="s">
        <v>71</v>
      </c>
      <c r="I1919" s="2" t="s">
        <v>29</v>
      </c>
      <c r="J1919" s="2">
        <v>1</v>
      </c>
      <c r="K1919" s="8">
        <v>5499</v>
      </c>
      <c r="L1919" s="3">
        <v>0</v>
      </c>
      <c r="M1919" s="12">
        <f>K1919*L1919</f>
        <v>0</v>
      </c>
      <c r="N1919" s="12">
        <f>K1919*J1919</f>
        <v>5499</v>
      </c>
      <c r="O1919" s="12">
        <f>N1919-M1919</f>
        <v>5499</v>
      </c>
      <c r="P1919" s="2" t="s">
        <v>30</v>
      </c>
      <c r="Q1919" s="2" t="s">
        <v>18</v>
      </c>
      <c r="R1919" s="2">
        <v>60</v>
      </c>
      <c r="S1919" s="20">
        <f>Table1[[#This Row],[Net_revenue]]/Table1[[#This Row],[Gross_revenue]]*100%</f>
        <v>1</v>
      </c>
      <c r="T1919" s="18">
        <f>COUNTIFS(Table1[Customer ID], "&gt;1", Table1[Customer ID], 1)</f>
        <v>0</v>
      </c>
    </row>
    <row r="1920" spans="1:20" hidden="1" x14ac:dyDescent="0.3">
      <c r="A1920" s="2" t="s">
        <v>2635</v>
      </c>
      <c r="B1920" s="5">
        <v>45851</v>
      </c>
      <c r="C1920" s="5" t="str">
        <f>TEXT(B1920,"mmm")</f>
        <v>Jul</v>
      </c>
      <c r="D1920" s="2" t="s">
        <v>785</v>
      </c>
      <c r="E1920" s="2" t="s">
        <v>75</v>
      </c>
      <c r="F1920" s="2" t="str" cm="1">
        <f t="array" ref="F192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920" s="2" t="str" cm="1">
        <f t="array" ref="G192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20" s="2" t="s">
        <v>65</v>
      </c>
      <c r="I1920" s="2" t="s">
        <v>23</v>
      </c>
      <c r="J1920" s="2">
        <v>2</v>
      </c>
      <c r="K1920" s="8">
        <v>1899</v>
      </c>
      <c r="L1920" s="3">
        <v>0.1</v>
      </c>
      <c r="M1920" s="12">
        <f>K1920*L1920</f>
        <v>189.9</v>
      </c>
      <c r="N1920" s="12">
        <f>K1920*J1920</f>
        <v>3798</v>
      </c>
      <c r="O1920" s="12">
        <f>N1920-M1920</f>
        <v>3608.1</v>
      </c>
      <c r="P1920" s="2" t="s">
        <v>24</v>
      </c>
      <c r="Q1920" s="2" t="s">
        <v>18</v>
      </c>
      <c r="R1920" s="2">
        <v>60</v>
      </c>
      <c r="S1920" s="20">
        <f>Table1[[#This Row],[Net_revenue]]/Table1[[#This Row],[Gross_revenue]]*100%</f>
        <v>0.95</v>
      </c>
      <c r="T1920" s="18">
        <f>COUNTIFS(Table1[Customer ID], "&gt;1", Table1[Customer ID], 1)</f>
        <v>0</v>
      </c>
    </row>
    <row r="1921" spans="1:20" hidden="1" x14ac:dyDescent="0.3">
      <c r="A1921" s="2" t="s">
        <v>2636</v>
      </c>
      <c r="B1921" s="5">
        <v>45915</v>
      </c>
      <c r="C1921" s="5" t="str">
        <f>TEXT(B1921,"mmm")</f>
        <v>Sep</v>
      </c>
      <c r="D1921" s="2" t="s">
        <v>160</v>
      </c>
      <c r="E1921" s="2" t="s">
        <v>56</v>
      </c>
      <c r="F1921" s="2" t="str" cm="1">
        <f t="array" ref="F192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21" s="2" t="str" cm="1">
        <f t="array" ref="G192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21" s="2" t="s">
        <v>33</v>
      </c>
      <c r="I1921" s="2" t="s">
        <v>16</v>
      </c>
      <c r="J1921" s="2">
        <v>1</v>
      </c>
      <c r="K1921" s="8">
        <v>899</v>
      </c>
      <c r="L1921" s="3">
        <v>0</v>
      </c>
      <c r="M1921" s="12">
        <f>K1921*L1921</f>
        <v>0</v>
      </c>
      <c r="N1921" s="12">
        <f>K1921*J1921</f>
        <v>899</v>
      </c>
      <c r="O1921" s="12">
        <f>N1921-M1921</f>
        <v>899</v>
      </c>
      <c r="P1921" s="2" t="s">
        <v>45</v>
      </c>
      <c r="Q1921" s="2" t="s">
        <v>18</v>
      </c>
      <c r="R1921" s="2">
        <v>60</v>
      </c>
      <c r="S1921" s="20">
        <f>Table1[[#This Row],[Net_revenue]]/Table1[[#This Row],[Gross_revenue]]*100%</f>
        <v>1</v>
      </c>
      <c r="T1921" s="18">
        <f>COUNTIFS(Table1[Customer ID], "&gt;1", Table1[Customer ID], 1)</f>
        <v>0</v>
      </c>
    </row>
    <row r="1922" spans="1:20" hidden="1" x14ac:dyDescent="0.3">
      <c r="A1922" s="2" t="s">
        <v>2637</v>
      </c>
      <c r="B1922" s="5">
        <v>45684</v>
      </c>
      <c r="C1922" s="5" t="str">
        <f>TEXT(B1922,"mmm")</f>
        <v>Jan</v>
      </c>
      <c r="D1922" s="2" t="s">
        <v>442</v>
      </c>
      <c r="E1922" s="2" t="s">
        <v>120</v>
      </c>
      <c r="F1922" s="2" t="str" cm="1">
        <f t="array" ref="F192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22" s="2" t="str" cm="1">
        <f t="array" ref="G192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22" s="2" t="s">
        <v>33</v>
      </c>
      <c r="I1922" s="2" t="s">
        <v>16</v>
      </c>
      <c r="J1922" s="2">
        <v>1</v>
      </c>
      <c r="K1922" s="8">
        <v>899</v>
      </c>
      <c r="L1922" s="3">
        <v>0.15</v>
      </c>
      <c r="M1922" s="12">
        <f>K1922*L1922</f>
        <v>134.85</v>
      </c>
      <c r="N1922" s="12">
        <f>K1922*J1922</f>
        <v>899</v>
      </c>
      <c r="O1922" s="12">
        <f>N1922-M1922</f>
        <v>764.15</v>
      </c>
      <c r="P1922" s="2" t="s">
        <v>45</v>
      </c>
      <c r="Q1922" s="2" t="s">
        <v>72</v>
      </c>
      <c r="R1922" s="2">
        <v>60</v>
      </c>
      <c r="S1922" s="20">
        <f>Table1[[#This Row],[Net_revenue]]/Table1[[#This Row],[Gross_revenue]]*100%</f>
        <v>0.85</v>
      </c>
      <c r="T1922" s="18">
        <f>COUNTIFS(Table1[Customer ID], "&gt;1", Table1[Customer ID], 1)</f>
        <v>0</v>
      </c>
    </row>
    <row r="1923" spans="1:20" hidden="1" x14ac:dyDescent="0.3">
      <c r="A1923" s="2" t="s">
        <v>2638</v>
      </c>
      <c r="B1923" s="5">
        <v>45681</v>
      </c>
      <c r="C1923" s="5" t="str">
        <f>TEXT(B1923,"mmm")</f>
        <v>Jan</v>
      </c>
      <c r="D1923" s="2" t="s">
        <v>942</v>
      </c>
      <c r="E1923" s="2" t="s">
        <v>40</v>
      </c>
      <c r="F1923" s="2" t="str" cm="1">
        <f t="array" ref="F192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23" s="2" t="str" cm="1">
        <f t="array" ref="G192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23" s="2" t="s">
        <v>65</v>
      </c>
      <c r="I1923" s="2" t="s">
        <v>23</v>
      </c>
      <c r="J1923" s="2">
        <v>1</v>
      </c>
      <c r="K1923" s="8">
        <v>1899</v>
      </c>
      <c r="L1923" s="3">
        <v>0.25</v>
      </c>
      <c r="M1923" s="12">
        <f>K1923*L1923</f>
        <v>474.75</v>
      </c>
      <c r="N1923" s="12">
        <f>K1923*J1923</f>
        <v>1899</v>
      </c>
      <c r="O1923" s="12">
        <f>N1923-M1923</f>
        <v>1424.25</v>
      </c>
      <c r="P1923" s="2" t="s">
        <v>45</v>
      </c>
      <c r="Q1923" s="2" t="s">
        <v>18</v>
      </c>
      <c r="R1923" s="2">
        <v>60</v>
      </c>
      <c r="S1923" s="20">
        <f>Table1[[#This Row],[Net_revenue]]/Table1[[#This Row],[Gross_revenue]]*100%</f>
        <v>0.75</v>
      </c>
      <c r="T1923" s="18">
        <f>COUNTIFS(Table1[Customer ID], "&gt;1", Table1[Customer ID], 1)</f>
        <v>0</v>
      </c>
    </row>
    <row r="1924" spans="1:20" hidden="1" x14ac:dyDescent="0.3">
      <c r="A1924" s="2" t="s">
        <v>2639</v>
      </c>
      <c r="B1924" s="5">
        <v>45878</v>
      </c>
      <c r="C1924" s="5" t="str">
        <f>TEXT(B1924,"mmm")</f>
        <v>Aug</v>
      </c>
      <c r="D1924" s="2" t="s">
        <v>1238</v>
      </c>
      <c r="E1924" s="2" t="s">
        <v>75</v>
      </c>
      <c r="F1924" s="2" t="str" cm="1">
        <f t="array" ref="F192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924" s="2" t="str" cm="1">
        <f t="array" ref="G192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24" s="2" t="s">
        <v>98</v>
      </c>
      <c r="I1924" s="2" t="s">
        <v>37</v>
      </c>
      <c r="J1924" s="2">
        <v>1</v>
      </c>
      <c r="K1924" s="8">
        <v>299</v>
      </c>
      <c r="L1924" s="3">
        <v>0.05</v>
      </c>
      <c r="M1924" s="12">
        <f>K1924*L1924</f>
        <v>14.950000000000001</v>
      </c>
      <c r="N1924" s="12">
        <f>K1924*J1924</f>
        <v>299</v>
      </c>
      <c r="O1924" s="12">
        <f>N1924-M1924</f>
        <v>284.05</v>
      </c>
      <c r="P1924" s="2" t="s">
        <v>30</v>
      </c>
      <c r="Q1924" s="2" t="s">
        <v>18</v>
      </c>
      <c r="R1924" s="2">
        <v>40</v>
      </c>
      <c r="S1924" s="20">
        <f>Table1[[#This Row],[Net_revenue]]/Table1[[#This Row],[Gross_revenue]]*100%</f>
        <v>0.95000000000000007</v>
      </c>
      <c r="T1924" s="18">
        <f>COUNTIFS(Table1[Customer ID], "&gt;1", Table1[Customer ID], 1)</f>
        <v>0</v>
      </c>
    </row>
    <row r="1925" spans="1:20" hidden="1" x14ac:dyDescent="0.3">
      <c r="A1925" s="2" t="s">
        <v>2640</v>
      </c>
      <c r="B1925" s="5">
        <v>45752</v>
      </c>
      <c r="C1925" s="5" t="str">
        <f>TEXT(B1925,"mmm")</f>
        <v>Apr</v>
      </c>
      <c r="D1925" s="2" t="s">
        <v>1265</v>
      </c>
      <c r="E1925" s="2" t="s">
        <v>40</v>
      </c>
      <c r="F1925" s="2" t="str" cm="1">
        <f t="array" ref="F192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25" s="2" t="str" cm="1">
        <f t="array" ref="G192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25" s="2" t="s">
        <v>107</v>
      </c>
      <c r="I1925" s="2" t="s">
        <v>95</v>
      </c>
      <c r="J1925" s="2">
        <v>2</v>
      </c>
      <c r="K1925" s="8">
        <v>1599</v>
      </c>
      <c r="L1925" s="3">
        <v>0</v>
      </c>
      <c r="M1925" s="12">
        <f>K1925*L1925</f>
        <v>0</v>
      </c>
      <c r="N1925" s="12">
        <f>K1925*J1925</f>
        <v>3198</v>
      </c>
      <c r="O1925" s="12">
        <f>N1925-M1925</f>
        <v>3198</v>
      </c>
      <c r="P1925" s="2" t="s">
        <v>30</v>
      </c>
      <c r="Q1925" s="2" t="s">
        <v>18</v>
      </c>
      <c r="R1925" s="2">
        <v>40</v>
      </c>
      <c r="S1925" s="20">
        <f>Table1[[#This Row],[Net_revenue]]/Table1[[#This Row],[Gross_revenue]]*100%</f>
        <v>1</v>
      </c>
      <c r="T1925" s="18">
        <f>COUNTIFS(Table1[Customer ID], "&gt;1", Table1[Customer ID], 1)</f>
        <v>0</v>
      </c>
    </row>
    <row r="1926" spans="1:20" hidden="1" x14ac:dyDescent="0.3">
      <c r="A1926" s="2" t="s">
        <v>2641</v>
      </c>
      <c r="B1926" s="5">
        <v>45747</v>
      </c>
      <c r="C1926" s="5" t="str">
        <f>TEXT(B1926,"mmm")</f>
        <v>Mar</v>
      </c>
      <c r="D1926" s="2" t="s">
        <v>867</v>
      </c>
      <c r="E1926" s="2" t="s">
        <v>21</v>
      </c>
      <c r="F1926" s="2" t="str" cm="1">
        <f t="array" ref="F192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26" s="2" t="str" cm="1">
        <f t="array" ref="G192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26" s="2" t="s">
        <v>94</v>
      </c>
      <c r="I1926" s="2" t="s">
        <v>95</v>
      </c>
      <c r="J1926" s="2">
        <v>2</v>
      </c>
      <c r="K1926" s="8">
        <v>399</v>
      </c>
      <c r="L1926" s="3">
        <v>0</v>
      </c>
      <c r="M1926" s="12">
        <f>K1926*L1926</f>
        <v>0</v>
      </c>
      <c r="N1926" s="12">
        <f>K1926*J1926</f>
        <v>798</v>
      </c>
      <c r="O1926" s="12">
        <f>N1926-M1926</f>
        <v>798</v>
      </c>
      <c r="P1926" s="2" t="s">
        <v>45</v>
      </c>
      <c r="Q1926" s="2" t="s">
        <v>18</v>
      </c>
      <c r="R1926" s="2">
        <v>80</v>
      </c>
      <c r="S1926" s="20">
        <f>Table1[[#This Row],[Net_revenue]]/Table1[[#This Row],[Gross_revenue]]*100%</f>
        <v>1</v>
      </c>
      <c r="T1926" s="18">
        <f>COUNTIFS(Table1[Customer ID], "&gt;1", Table1[Customer ID], 1)</f>
        <v>0</v>
      </c>
    </row>
    <row r="1927" spans="1:20" hidden="1" x14ac:dyDescent="0.3">
      <c r="A1927" s="2" t="s">
        <v>2642</v>
      </c>
      <c r="B1927" s="5">
        <v>45755</v>
      </c>
      <c r="C1927" s="5" t="str">
        <f>TEXT(B1927,"mmm")</f>
        <v>Apr</v>
      </c>
      <c r="D1927" s="2" t="s">
        <v>473</v>
      </c>
      <c r="E1927" s="2" t="s">
        <v>195</v>
      </c>
      <c r="F1927" s="2" t="str" cm="1">
        <f t="array" ref="F192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27" s="2" t="str" cm="1">
        <f t="array" ref="G192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27" s="2" t="s">
        <v>98</v>
      </c>
      <c r="I1927" s="2" t="s">
        <v>37</v>
      </c>
      <c r="J1927" s="2">
        <v>1</v>
      </c>
      <c r="K1927" s="8">
        <v>299</v>
      </c>
      <c r="L1927" s="3">
        <v>0.1</v>
      </c>
      <c r="M1927" s="12">
        <f>K1927*L1927</f>
        <v>29.900000000000002</v>
      </c>
      <c r="N1927" s="12">
        <f>K1927*J1927</f>
        <v>299</v>
      </c>
      <c r="O1927" s="12">
        <f>N1927-M1927</f>
        <v>269.10000000000002</v>
      </c>
      <c r="P1927" s="2" t="s">
        <v>17</v>
      </c>
      <c r="Q1927" s="2" t="s">
        <v>18</v>
      </c>
      <c r="R1927" s="2">
        <v>60</v>
      </c>
      <c r="S1927" s="20">
        <f>Table1[[#This Row],[Net_revenue]]/Table1[[#This Row],[Gross_revenue]]*100%</f>
        <v>0.9</v>
      </c>
      <c r="T1927" s="18">
        <f>COUNTIFS(Table1[Customer ID], "&gt;1", Table1[Customer ID], 1)</f>
        <v>0</v>
      </c>
    </row>
    <row r="1928" spans="1:20" hidden="1" x14ac:dyDescent="0.3">
      <c r="A1928" s="2" t="s">
        <v>2643</v>
      </c>
      <c r="B1928" s="5">
        <v>45761</v>
      </c>
      <c r="C1928" s="5" t="str">
        <f>TEXT(B1928,"mmm")</f>
        <v>Apr</v>
      </c>
      <c r="D1928" s="2" t="s">
        <v>1125</v>
      </c>
      <c r="E1928" s="2" t="s">
        <v>40</v>
      </c>
      <c r="F1928" s="2" t="str" cm="1">
        <f t="array" ref="F192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28" s="2" t="str" cm="1">
        <f t="array" ref="G192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28" s="2" t="s">
        <v>71</v>
      </c>
      <c r="I1928" s="2" t="s">
        <v>29</v>
      </c>
      <c r="J1928" s="2">
        <v>5</v>
      </c>
      <c r="K1928" s="8">
        <v>5499</v>
      </c>
      <c r="L1928" s="3">
        <v>0.15</v>
      </c>
      <c r="M1928" s="12">
        <f>K1928*L1928</f>
        <v>824.85</v>
      </c>
      <c r="N1928" s="12">
        <f>K1928*J1928</f>
        <v>27495</v>
      </c>
      <c r="O1928" s="12">
        <f>N1928-M1928</f>
        <v>26670.15</v>
      </c>
      <c r="P1928" s="2" t="s">
        <v>17</v>
      </c>
      <c r="Q1928" s="2" t="s">
        <v>18</v>
      </c>
      <c r="R1928" s="2">
        <v>40</v>
      </c>
      <c r="S1928" s="20">
        <f>Table1[[#This Row],[Net_revenue]]/Table1[[#This Row],[Gross_revenue]]*100%</f>
        <v>0.97000000000000008</v>
      </c>
      <c r="T1928" s="18">
        <f>COUNTIFS(Table1[Customer ID], "&gt;1", Table1[Customer ID], 1)</f>
        <v>0</v>
      </c>
    </row>
    <row r="1929" spans="1:20" hidden="1" x14ac:dyDescent="0.3">
      <c r="A1929" s="2" t="s">
        <v>2644</v>
      </c>
      <c r="B1929" s="5">
        <v>45863</v>
      </c>
      <c r="C1929" s="5" t="str">
        <f>TEXT(B1929,"mmm")</f>
        <v>Jul</v>
      </c>
      <c r="D1929" s="2" t="s">
        <v>918</v>
      </c>
      <c r="E1929" s="2" t="s">
        <v>40</v>
      </c>
      <c r="F1929" s="2" t="str" cm="1">
        <f t="array" ref="F192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29" s="2" t="str" cm="1">
        <f t="array" ref="G192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29" s="2" t="s">
        <v>121</v>
      </c>
      <c r="I1929" s="2" t="s">
        <v>95</v>
      </c>
      <c r="J1929" s="2">
        <v>1</v>
      </c>
      <c r="K1929" s="8">
        <v>1299</v>
      </c>
      <c r="L1929" s="3">
        <v>0.1</v>
      </c>
      <c r="M1929" s="12">
        <f>K1929*L1929</f>
        <v>129.9</v>
      </c>
      <c r="N1929" s="12">
        <f>K1929*J1929</f>
        <v>1299</v>
      </c>
      <c r="O1929" s="12">
        <f>N1929-M1929</f>
        <v>1169.0999999999999</v>
      </c>
      <c r="P1929" s="2" t="s">
        <v>30</v>
      </c>
      <c r="Q1929" s="2" t="s">
        <v>18</v>
      </c>
      <c r="R1929" s="2">
        <v>0</v>
      </c>
      <c r="S1929" s="20">
        <f>Table1[[#This Row],[Net_revenue]]/Table1[[#This Row],[Gross_revenue]]*100%</f>
        <v>0.89999999999999991</v>
      </c>
      <c r="T1929" s="18">
        <f>COUNTIFS(Table1[Customer ID], "&gt;1", Table1[Customer ID], 1)</f>
        <v>0</v>
      </c>
    </row>
    <row r="1930" spans="1:20" hidden="1" x14ac:dyDescent="0.3">
      <c r="A1930" s="2" t="s">
        <v>2645</v>
      </c>
      <c r="B1930" s="5">
        <v>45912</v>
      </c>
      <c r="C1930" s="5" t="str">
        <f>TEXT(B1930,"mmm")</f>
        <v>Sep</v>
      </c>
      <c r="D1930" s="2" t="s">
        <v>471</v>
      </c>
      <c r="E1930" s="2" t="s">
        <v>48</v>
      </c>
      <c r="F1930" s="2" t="str" cm="1">
        <f t="array" ref="F193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30" s="2" t="str" cm="1">
        <f t="array" ref="G193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30" s="2" t="s">
        <v>15</v>
      </c>
      <c r="I1930" s="2" t="s">
        <v>16</v>
      </c>
      <c r="J1930" s="2">
        <v>3</v>
      </c>
      <c r="K1930" s="8">
        <v>1799</v>
      </c>
      <c r="L1930" s="3">
        <v>0.1</v>
      </c>
      <c r="M1930" s="12">
        <f>K1930*L1930</f>
        <v>179.9</v>
      </c>
      <c r="N1930" s="12">
        <f>K1930*J1930</f>
        <v>5397</v>
      </c>
      <c r="O1930" s="12">
        <f>N1930-M1930</f>
        <v>5217.1000000000004</v>
      </c>
      <c r="P1930" s="2" t="s">
        <v>17</v>
      </c>
      <c r="Q1930" s="2" t="s">
        <v>18</v>
      </c>
      <c r="R1930" s="2">
        <v>0</v>
      </c>
      <c r="S1930" s="20">
        <f>Table1[[#This Row],[Net_revenue]]/Table1[[#This Row],[Gross_revenue]]*100%</f>
        <v>0.96666666666666679</v>
      </c>
      <c r="T1930" s="18">
        <f>COUNTIFS(Table1[Customer ID], "&gt;1", Table1[Customer ID], 1)</f>
        <v>0</v>
      </c>
    </row>
    <row r="1931" spans="1:20" hidden="1" x14ac:dyDescent="0.3">
      <c r="A1931" s="2" t="s">
        <v>2646</v>
      </c>
      <c r="B1931" s="5">
        <v>45932</v>
      </c>
      <c r="C1931" s="5" t="str">
        <f>TEXT(B1931,"mmm")</f>
        <v>Oct</v>
      </c>
      <c r="D1931" s="2" t="s">
        <v>392</v>
      </c>
      <c r="E1931" s="2" t="s">
        <v>40</v>
      </c>
      <c r="F1931" s="2" t="str" cm="1">
        <f t="array" ref="F193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31" s="2" t="str" cm="1">
        <f t="array" ref="G193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31" s="2" t="s">
        <v>68</v>
      </c>
      <c r="I1931" s="2" t="s">
        <v>16</v>
      </c>
      <c r="J1931" s="2">
        <v>1</v>
      </c>
      <c r="K1931" s="8">
        <v>599</v>
      </c>
      <c r="L1931" s="3">
        <v>0.25</v>
      </c>
      <c r="M1931" s="12">
        <f>K1931*L1931</f>
        <v>149.75</v>
      </c>
      <c r="N1931" s="12">
        <f>K1931*J1931</f>
        <v>599</v>
      </c>
      <c r="O1931" s="12">
        <f>N1931-M1931</f>
        <v>449.25</v>
      </c>
      <c r="P1931" s="2" t="s">
        <v>45</v>
      </c>
      <c r="Q1931" s="2" t="s">
        <v>18</v>
      </c>
      <c r="R1931" s="2">
        <v>80</v>
      </c>
      <c r="S1931" s="20">
        <f>Table1[[#This Row],[Net_revenue]]/Table1[[#This Row],[Gross_revenue]]*100%</f>
        <v>0.75</v>
      </c>
      <c r="T1931" s="18">
        <f>COUNTIFS(Table1[Customer ID], "&gt;1", Table1[Customer ID], 1)</f>
        <v>0</v>
      </c>
    </row>
    <row r="1932" spans="1:20" hidden="1" x14ac:dyDescent="0.3">
      <c r="A1932" s="2" t="s">
        <v>2647</v>
      </c>
      <c r="B1932" s="5">
        <v>46009</v>
      </c>
      <c r="C1932" s="5" t="str">
        <f>TEXT(B1932,"mmm")</f>
        <v>Dec</v>
      </c>
      <c r="D1932" s="2" t="s">
        <v>377</v>
      </c>
      <c r="E1932" s="2" t="s">
        <v>48</v>
      </c>
      <c r="F1932" s="2" t="str" cm="1">
        <f t="array" ref="F193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32" s="2" t="str" cm="1">
        <f t="array" ref="G193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32" s="2" t="s">
        <v>98</v>
      </c>
      <c r="I1932" s="2" t="s">
        <v>37</v>
      </c>
      <c r="J1932" s="2">
        <v>1</v>
      </c>
      <c r="K1932" s="8">
        <v>299</v>
      </c>
      <c r="L1932" s="3">
        <v>0</v>
      </c>
      <c r="M1932" s="12">
        <f>K1932*L1932</f>
        <v>0</v>
      </c>
      <c r="N1932" s="12">
        <f>K1932*J1932</f>
        <v>299</v>
      </c>
      <c r="O1932" s="12">
        <f>N1932-M1932</f>
        <v>299</v>
      </c>
      <c r="P1932" s="2" t="s">
        <v>30</v>
      </c>
      <c r="Q1932" s="2" t="s">
        <v>72</v>
      </c>
      <c r="R1932" s="2">
        <v>80</v>
      </c>
      <c r="S1932" s="20">
        <f>Table1[[#This Row],[Net_revenue]]/Table1[[#This Row],[Gross_revenue]]*100%</f>
        <v>1</v>
      </c>
      <c r="T1932" s="18">
        <f>COUNTIFS(Table1[Customer ID], "&gt;1", Table1[Customer ID], 1)</f>
        <v>0</v>
      </c>
    </row>
    <row r="1933" spans="1:20" hidden="1" x14ac:dyDescent="0.3">
      <c r="A1933" s="2" t="s">
        <v>2648</v>
      </c>
      <c r="B1933" s="5">
        <v>45973</v>
      </c>
      <c r="C1933" s="5" t="str">
        <f>TEXT(B1933,"mmm")</f>
        <v>Nov</v>
      </c>
      <c r="D1933" s="2" t="s">
        <v>496</v>
      </c>
      <c r="E1933" s="2" t="s">
        <v>21</v>
      </c>
      <c r="F1933" s="2" t="str" cm="1">
        <f t="array" ref="F193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33" s="2" t="str" cm="1">
        <f t="array" ref="G193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33" s="2" t="s">
        <v>89</v>
      </c>
      <c r="I1933" s="2" t="s">
        <v>29</v>
      </c>
      <c r="J1933" s="2">
        <v>3</v>
      </c>
      <c r="K1933" s="8">
        <v>449</v>
      </c>
      <c r="L1933" s="3">
        <v>0</v>
      </c>
      <c r="M1933" s="12">
        <f>K1933*L1933</f>
        <v>0</v>
      </c>
      <c r="N1933" s="12">
        <f>K1933*J1933</f>
        <v>1347</v>
      </c>
      <c r="O1933" s="12">
        <f>N1933-M1933</f>
        <v>1347</v>
      </c>
      <c r="P1933" s="2" t="s">
        <v>30</v>
      </c>
      <c r="Q1933" s="2" t="s">
        <v>18</v>
      </c>
      <c r="R1933" s="2">
        <v>80</v>
      </c>
      <c r="S1933" s="20">
        <f>Table1[[#This Row],[Net_revenue]]/Table1[[#This Row],[Gross_revenue]]*100%</f>
        <v>1</v>
      </c>
      <c r="T1933" s="18">
        <f>COUNTIFS(Table1[Customer ID], "&gt;1", Table1[Customer ID], 1)</f>
        <v>0</v>
      </c>
    </row>
    <row r="1934" spans="1:20" hidden="1" x14ac:dyDescent="0.3">
      <c r="A1934" s="2" t="s">
        <v>2649</v>
      </c>
      <c r="B1934" s="5">
        <v>45824</v>
      </c>
      <c r="C1934" s="5" t="str">
        <f>TEXT(B1934,"mmm")</f>
        <v>Jun</v>
      </c>
      <c r="D1934" s="2" t="s">
        <v>923</v>
      </c>
      <c r="E1934" s="2" t="s">
        <v>21</v>
      </c>
      <c r="F1934" s="2" t="str" cm="1">
        <f t="array" ref="F193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34" s="2" t="str" cm="1">
        <f t="array" ref="G193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34" s="2" t="s">
        <v>33</v>
      </c>
      <c r="I1934" s="2" t="s">
        <v>16</v>
      </c>
      <c r="J1934" s="2">
        <v>1</v>
      </c>
      <c r="K1934" s="8">
        <v>899</v>
      </c>
      <c r="L1934" s="3">
        <v>0.25</v>
      </c>
      <c r="M1934" s="12">
        <f>K1934*L1934</f>
        <v>224.75</v>
      </c>
      <c r="N1934" s="12">
        <f>K1934*J1934</f>
        <v>899</v>
      </c>
      <c r="O1934" s="12">
        <f>N1934-M1934</f>
        <v>674.25</v>
      </c>
      <c r="P1934" s="2" t="s">
        <v>45</v>
      </c>
      <c r="Q1934" s="2" t="s">
        <v>18</v>
      </c>
      <c r="R1934" s="2">
        <v>80</v>
      </c>
      <c r="S1934" s="20">
        <f>Table1[[#This Row],[Net_revenue]]/Table1[[#This Row],[Gross_revenue]]*100%</f>
        <v>0.75</v>
      </c>
      <c r="T1934" s="18">
        <f>COUNTIFS(Table1[Customer ID], "&gt;1", Table1[Customer ID], 1)</f>
        <v>0</v>
      </c>
    </row>
    <row r="1935" spans="1:20" hidden="1" x14ac:dyDescent="0.3">
      <c r="A1935" s="2" t="s">
        <v>2650</v>
      </c>
      <c r="B1935" s="5">
        <v>46009</v>
      </c>
      <c r="C1935" s="5" t="str">
        <f>TEXT(B1935,"mmm")</f>
        <v>Dec</v>
      </c>
      <c r="D1935" s="2" t="s">
        <v>313</v>
      </c>
      <c r="E1935" s="2" t="s">
        <v>48</v>
      </c>
      <c r="F1935" s="2" t="str" cm="1">
        <f t="array" ref="F193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35" s="2" t="str" cm="1">
        <f t="array" ref="G193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35" s="2" t="s">
        <v>68</v>
      </c>
      <c r="I1935" s="2" t="s">
        <v>16</v>
      </c>
      <c r="J1935" s="2">
        <v>2</v>
      </c>
      <c r="K1935" s="8">
        <v>599</v>
      </c>
      <c r="L1935" s="3">
        <v>0.25</v>
      </c>
      <c r="M1935" s="12">
        <f>K1935*L1935</f>
        <v>149.75</v>
      </c>
      <c r="N1935" s="12">
        <f>K1935*J1935</f>
        <v>1198</v>
      </c>
      <c r="O1935" s="12">
        <f>N1935-M1935</f>
        <v>1048.25</v>
      </c>
      <c r="P1935" s="2" t="s">
        <v>45</v>
      </c>
      <c r="Q1935" s="2" t="s">
        <v>18</v>
      </c>
      <c r="R1935" s="2">
        <v>0</v>
      </c>
      <c r="S1935" s="20">
        <f>Table1[[#This Row],[Net_revenue]]/Table1[[#This Row],[Gross_revenue]]*100%</f>
        <v>0.875</v>
      </c>
      <c r="T1935" s="18">
        <f>COUNTIFS(Table1[Customer ID], "&gt;1", Table1[Customer ID], 1)</f>
        <v>0</v>
      </c>
    </row>
    <row r="1936" spans="1:20" hidden="1" x14ac:dyDescent="0.3">
      <c r="A1936" s="2" t="s">
        <v>2651</v>
      </c>
      <c r="B1936" s="5">
        <v>45846</v>
      </c>
      <c r="C1936" s="5" t="str">
        <f>TEXT(B1936,"mmm")</f>
        <v>Jul</v>
      </c>
      <c r="D1936" s="2" t="s">
        <v>1387</v>
      </c>
      <c r="E1936" s="2" t="s">
        <v>27</v>
      </c>
      <c r="F1936" s="2" t="str" cm="1">
        <f t="array" ref="F193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36" s="2" t="str" cm="1">
        <f t="array" ref="G193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36" s="2" t="s">
        <v>15</v>
      </c>
      <c r="I1936" s="2" t="s">
        <v>16</v>
      </c>
      <c r="J1936" s="2">
        <v>1</v>
      </c>
      <c r="K1936" s="8">
        <v>1799</v>
      </c>
      <c r="L1936" s="3">
        <v>0.05</v>
      </c>
      <c r="M1936" s="12">
        <f>K1936*L1936</f>
        <v>89.95</v>
      </c>
      <c r="N1936" s="12">
        <f>K1936*J1936</f>
        <v>1799</v>
      </c>
      <c r="O1936" s="12">
        <f>N1936-M1936</f>
        <v>1709.05</v>
      </c>
      <c r="P1936" s="2" t="s">
        <v>24</v>
      </c>
      <c r="Q1936" s="2" t="s">
        <v>18</v>
      </c>
      <c r="R1936" s="2">
        <v>80</v>
      </c>
      <c r="S1936" s="20">
        <f>Table1[[#This Row],[Net_revenue]]/Table1[[#This Row],[Gross_revenue]]*100%</f>
        <v>0.95</v>
      </c>
      <c r="T1936" s="18">
        <f>COUNTIFS(Table1[Customer ID], "&gt;1", Table1[Customer ID], 1)</f>
        <v>0</v>
      </c>
    </row>
    <row r="1937" spans="1:20" hidden="1" x14ac:dyDescent="0.3">
      <c r="A1937" s="2" t="s">
        <v>2652</v>
      </c>
      <c r="B1937" s="5">
        <v>45987</v>
      </c>
      <c r="C1937" s="5" t="str">
        <f>TEXT(B1937,"mmm")</f>
        <v>Nov</v>
      </c>
      <c r="D1937" s="2" t="s">
        <v>387</v>
      </c>
      <c r="E1937" s="2" t="s">
        <v>21</v>
      </c>
      <c r="F1937" s="2" t="str" cm="1">
        <f t="array" ref="F193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37" s="2" t="str" cm="1">
        <f t="array" ref="G193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37" s="2" t="s">
        <v>89</v>
      </c>
      <c r="I1937" s="2" t="s">
        <v>29</v>
      </c>
      <c r="J1937" s="2">
        <v>2</v>
      </c>
      <c r="K1937" s="8">
        <v>449</v>
      </c>
      <c r="L1937" s="3">
        <v>0.2</v>
      </c>
      <c r="M1937" s="12">
        <f>K1937*L1937</f>
        <v>89.800000000000011</v>
      </c>
      <c r="N1937" s="12">
        <f>K1937*J1937</f>
        <v>898</v>
      </c>
      <c r="O1937" s="12">
        <f>N1937-M1937</f>
        <v>808.2</v>
      </c>
      <c r="P1937" s="2" t="s">
        <v>45</v>
      </c>
      <c r="Q1937" s="2" t="s">
        <v>18</v>
      </c>
      <c r="R1937" s="2">
        <v>0</v>
      </c>
      <c r="S1937" s="20">
        <f>Table1[[#This Row],[Net_revenue]]/Table1[[#This Row],[Gross_revenue]]*100%</f>
        <v>0.9</v>
      </c>
      <c r="T1937" s="18">
        <f>COUNTIFS(Table1[Customer ID], "&gt;1", Table1[Customer ID], 1)</f>
        <v>0</v>
      </c>
    </row>
    <row r="1938" spans="1:20" hidden="1" x14ac:dyDescent="0.3">
      <c r="A1938" s="2" t="s">
        <v>2653</v>
      </c>
      <c r="B1938" s="5">
        <v>45762</v>
      </c>
      <c r="C1938" s="5" t="str">
        <f>TEXT(B1938,"mmm")</f>
        <v>Apr</v>
      </c>
      <c r="D1938" s="2" t="s">
        <v>1335</v>
      </c>
      <c r="E1938" s="2" t="s">
        <v>40</v>
      </c>
      <c r="F1938" s="2" t="str" cm="1">
        <f t="array" ref="F193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38" s="2" t="str" cm="1">
        <f t="array" ref="G193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38" s="2" t="s">
        <v>41</v>
      </c>
      <c r="I1938" s="2" t="s">
        <v>16</v>
      </c>
      <c r="J1938" s="2">
        <v>2</v>
      </c>
      <c r="K1938" s="8">
        <v>2299</v>
      </c>
      <c r="L1938" s="3">
        <v>0.25</v>
      </c>
      <c r="M1938" s="12">
        <f>K1938*L1938</f>
        <v>574.75</v>
      </c>
      <c r="N1938" s="12">
        <f>K1938*J1938</f>
        <v>4598</v>
      </c>
      <c r="O1938" s="12">
        <f>N1938-M1938</f>
        <v>4023.25</v>
      </c>
      <c r="P1938" s="2" t="s">
        <v>45</v>
      </c>
      <c r="Q1938" s="2" t="s">
        <v>18</v>
      </c>
      <c r="R1938" s="2">
        <v>80</v>
      </c>
      <c r="S1938" s="20">
        <f>Table1[[#This Row],[Net_revenue]]/Table1[[#This Row],[Gross_revenue]]*100%</f>
        <v>0.875</v>
      </c>
      <c r="T1938" s="18">
        <f>COUNTIFS(Table1[Customer ID], "&gt;1", Table1[Customer ID], 1)</f>
        <v>0</v>
      </c>
    </row>
    <row r="1939" spans="1:20" hidden="1" x14ac:dyDescent="0.3">
      <c r="A1939" s="2" t="s">
        <v>2654</v>
      </c>
      <c r="B1939" s="5">
        <v>45760</v>
      </c>
      <c r="C1939" s="5" t="str">
        <f>TEXT(B1939,"mmm")</f>
        <v>Apr</v>
      </c>
      <c r="D1939" s="2" t="s">
        <v>879</v>
      </c>
      <c r="E1939" s="2" t="s">
        <v>48</v>
      </c>
      <c r="F1939" s="2" t="str" cm="1">
        <f t="array" ref="F193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39" s="2" t="str" cm="1">
        <f t="array" ref="G193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39" s="2" t="s">
        <v>121</v>
      </c>
      <c r="I1939" s="2" t="s">
        <v>95</v>
      </c>
      <c r="J1939" s="2">
        <v>1</v>
      </c>
      <c r="K1939" s="8">
        <v>1299</v>
      </c>
      <c r="L1939" s="3">
        <v>0</v>
      </c>
      <c r="M1939" s="12">
        <f>K1939*L1939</f>
        <v>0</v>
      </c>
      <c r="N1939" s="12">
        <f>K1939*J1939</f>
        <v>1299</v>
      </c>
      <c r="O1939" s="12">
        <f>N1939-M1939</f>
        <v>1299</v>
      </c>
      <c r="P1939" s="2" t="s">
        <v>45</v>
      </c>
      <c r="Q1939" s="2" t="s">
        <v>18</v>
      </c>
      <c r="R1939" s="2">
        <v>40</v>
      </c>
      <c r="S1939" s="20">
        <f>Table1[[#This Row],[Net_revenue]]/Table1[[#This Row],[Gross_revenue]]*100%</f>
        <v>1</v>
      </c>
      <c r="T1939" s="18">
        <f>COUNTIFS(Table1[Customer ID], "&gt;1", Table1[Customer ID], 1)</f>
        <v>0</v>
      </c>
    </row>
    <row r="1940" spans="1:20" hidden="1" x14ac:dyDescent="0.3">
      <c r="A1940" s="2" t="s">
        <v>2655</v>
      </c>
      <c r="B1940" s="5">
        <v>45890</v>
      </c>
      <c r="C1940" s="5" t="str">
        <f>TEXT(B1940,"mmm")</f>
        <v>Aug</v>
      </c>
      <c r="D1940" s="2" t="s">
        <v>2382</v>
      </c>
      <c r="E1940" s="2" t="s">
        <v>48</v>
      </c>
      <c r="F1940" s="2" t="str" cm="1">
        <f t="array" ref="F194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40" s="2" t="str" cm="1">
        <f t="array" ref="G194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0" s="2" t="s">
        <v>134</v>
      </c>
      <c r="I1940" s="2" t="s">
        <v>29</v>
      </c>
      <c r="J1940" s="2">
        <v>3</v>
      </c>
      <c r="K1940" s="8">
        <v>1499</v>
      </c>
      <c r="L1940" s="3">
        <v>0.05</v>
      </c>
      <c r="M1940" s="12">
        <f>K1940*L1940</f>
        <v>74.95</v>
      </c>
      <c r="N1940" s="12">
        <f>K1940*J1940</f>
        <v>4497</v>
      </c>
      <c r="O1940" s="12">
        <f>N1940-M1940</f>
        <v>4422.05</v>
      </c>
      <c r="P1940" s="2" t="s">
        <v>45</v>
      </c>
      <c r="Q1940" s="2" t="s">
        <v>18</v>
      </c>
      <c r="R1940" s="2">
        <v>60</v>
      </c>
      <c r="S1940" s="20">
        <f>Table1[[#This Row],[Net_revenue]]/Table1[[#This Row],[Gross_revenue]]*100%</f>
        <v>0.98333333333333339</v>
      </c>
      <c r="T1940" s="18">
        <f>COUNTIFS(Table1[Customer ID], "&gt;1", Table1[Customer ID], 1)</f>
        <v>0</v>
      </c>
    </row>
    <row r="1941" spans="1:20" hidden="1" x14ac:dyDescent="0.3">
      <c r="A1941" s="2" t="s">
        <v>2656</v>
      </c>
      <c r="B1941" s="5">
        <v>45761</v>
      </c>
      <c r="C1941" s="5" t="str">
        <f>TEXT(B1941,"mmm")</f>
        <v>Apr</v>
      </c>
      <c r="D1941" s="2" t="s">
        <v>1788</v>
      </c>
      <c r="E1941" s="2" t="s">
        <v>48</v>
      </c>
      <c r="F1941" s="2" t="str" cm="1">
        <f t="array" ref="F194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41" s="2" t="str" cm="1">
        <f t="array" ref="G194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1" s="2" t="s">
        <v>49</v>
      </c>
      <c r="I1941" s="2" t="s">
        <v>23</v>
      </c>
      <c r="J1941" s="2">
        <v>2</v>
      </c>
      <c r="K1941" s="8">
        <v>1299</v>
      </c>
      <c r="L1941" s="3">
        <v>0.05</v>
      </c>
      <c r="M1941" s="12">
        <f>K1941*L1941</f>
        <v>64.95</v>
      </c>
      <c r="N1941" s="12">
        <f>K1941*J1941</f>
        <v>2598</v>
      </c>
      <c r="O1941" s="12">
        <f>N1941-M1941</f>
        <v>2533.0500000000002</v>
      </c>
      <c r="P1941" s="2" t="s">
        <v>24</v>
      </c>
      <c r="Q1941" s="2" t="s">
        <v>50</v>
      </c>
      <c r="R1941" s="2">
        <v>40</v>
      </c>
      <c r="S1941" s="20">
        <f>Table1[[#This Row],[Net_revenue]]/Table1[[#This Row],[Gross_revenue]]*100%</f>
        <v>0.97500000000000009</v>
      </c>
      <c r="T1941" s="18">
        <f>COUNTIFS(Table1[Customer ID], "&gt;1", Table1[Customer ID], 1)</f>
        <v>0</v>
      </c>
    </row>
    <row r="1942" spans="1:20" hidden="1" x14ac:dyDescent="0.3">
      <c r="A1942" s="2" t="s">
        <v>2657</v>
      </c>
      <c r="B1942" s="5">
        <v>46014</v>
      </c>
      <c r="C1942" s="5" t="str">
        <f>TEXT(B1942,"mmm")</f>
        <v>Dec</v>
      </c>
      <c r="D1942" s="2" t="s">
        <v>1233</v>
      </c>
      <c r="E1942" s="2" t="s">
        <v>27</v>
      </c>
      <c r="F1942" s="2" t="str" cm="1">
        <f t="array" ref="F194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42" s="2" t="str" cm="1">
        <f t="array" ref="G194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2" s="2" t="s">
        <v>22</v>
      </c>
      <c r="I1942" s="2" t="s">
        <v>23</v>
      </c>
      <c r="J1942" s="2">
        <v>3</v>
      </c>
      <c r="K1942" s="8">
        <v>3999</v>
      </c>
      <c r="L1942" s="3">
        <v>0.25</v>
      </c>
      <c r="M1942" s="12">
        <f>K1942*L1942</f>
        <v>999.75</v>
      </c>
      <c r="N1942" s="12">
        <f>K1942*J1942</f>
        <v>11997</v>
      </c>
      <c r="O1942" s="12">
        <f>N1942-M1942</f>
        <v>10997.25</v>
      </c>
      <c r="P1942" s="2" t="s">
        <v>45</v>
      </c>
      <c r="Q1942" s="2" t="s">
        <v>50</v>
      </c>
      <c r="R1942" s="2">
        <v>0</v>
      </c>
      <c r="S1942" s="20">
        <f>Table1[[#This Row],[Net_revenue]]/Table1[[#This Row],[Gross_revenue]]*100%</f>
        <v>0.91666666666666663</v>
      </c>
      <c r="T1942" s="18">
        <f>COUNTIFS(Table1[Customer ID], "&gt;1", Table1[Customer ID], 1)</f>
        <v>0</v>
      </c>
    </row>
    <row r="1943" spans="1:20" hidden="1" x14ac:dyDescent="0.3">
      <c r="A1943" s="2" t="s">
        <v>2658</v>
      </c>
      <c r="B1943" s="5">
        <v>45708</v>
      </c>
      <c r="C1943" s="5" t="str">
        <f>TEXT(B1943,"mmm")</f>
        <v>Feb</v>
      </c>
      <c r="D1943" s="2" t="s">
        <v>2659</v>
      </c>
      <c r="E1943" s="2" t="s">
        <v>56</v>
      </c>
      <c r="F1943" s="2" t="str" cm="1">
        <f t="array" ref="F194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43" s="2" t="str" cm="1">
        <f t="array" ref="G194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3" s="2" t="s">
        <v>22</v>
      </c>
      <c r="I1943" s="2" t="s">
        <v>23</v>
      </c>
      <c r="J1943" s="2">
        <v>1</v>
      </c>
      <c r="K1943" s="8">
        <v>3999</v>
      </c>
      <c r="L1943" s="3">
        <v>0</v>
      </c>
      <c r="M1943" s="12">
        <f>K1943*L1943</f>
        <v>0</v>
      </c>
      <c r="N1943" s="12">
        <f>K1943*J1943</f>
        <v>3999</v>
      </c>
      <c r="O1943" s="12">
        <f>N1943-M1943</f>
        <v>3999</v>
      </c>
      <c r="P1943" s="2" t="s">
        <v>45</v>
      </c>
      <c r="Q1943" s="2" t="s">
        <v>18</v>
      </c>
      <c r="R1943" s="2">
        <v>80</v>
      </c>
      <c r="S1943" s="20">
        <f>Table1[[#This Row],[Net_revenue]]/Table1[[#This Row],[Gross_revenue]]*100%</f>
        <v>1</v>
      </c>
      <c r="T1943" s="18">
        <f>COUNTIFS(Table1[Customer ID], "&gt;1", Table1[Customer ID], 1)</f>
        <v>0</v>
      </c>
    </row>
    <row r="1944" spans="1:20" hidden="1" x14ac:dyDescent="0.3">
      <c r="A1944" s="2" t="s">
        <v>2660</v>
      </c>
      <c r="B1944" s="5">
        <v>45926</v>
      </c>
      <c r="C1944" s="5" t="str">
        <f>TEXT(B1944,"mmm")</f>
        <v>Sep</v>
      </c>
      <c r="D1944" s="2" t="s">
        <v>1050</v>
      </c>
      <c r="E1944" s="2" t="s">
        <v>195</v>
      </c>
      <c r="F1944" s="2" t="str" cm="1">
        <f t="array" ref="F194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44" s="2" t="str" cm="1">
        <f t="array" ref="G194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44" s="2" t="s">
        <v>94</v>
      </c>
      <c r="I1944" s="2" t="s">
        <v>95</v>
      </c>
      <c r="J1944" s="2">
        <v>1</v>
      </c>
      <c r="K1944" s="8">
        <v>399</v>
      </c>
      <c r="L1944" s="3">
        <v>0.1</v>
      </c>
      <c r="M1944" s="12">
        <f>K1944*L1944</f>
        <v>39.900000000000006</v>
      </c>
      <c r="N1944" s="12">
        <f>K1944*J1944</f>
        <v>399</v>
      </c>
      <c r="O1944" s="12">
        <f>N1944-M1944</f>
        <v>359.1</v>
      </c>
      <c r="P1944" s="2" t="s">
        <v>45</v>
      </c>
      <c r="Q1944" s="2" t="s">
        <v>72</v>
      </c>
      <c r="R1944" s="2">
        <v>60</v>
      </c>
      <c r="S1944" s="20">
        <f>Table1[[#This Row],[Net_revenue]]/Table1[[#This Row],[Gross_revenue]]*100%</f>
        <v>0.9</v>
      </c>
      <c r="T1944" s="18">
        <f>COUNTIFS(Table1[Customer ID], "&gt;1", Table1[Customer ID], 1)</f>
        <v>0</v>
      </c>
    </row>
    <row r="1945" spans="1:20" hidden="1" x14ac:dyDescent="0.3">
      <c r="A1945" s="2" t="s">
        <v>2661</v>
      </c>
      <c r="B1945" s="5">
        <v>45850</v>
      </c>
      <c r="C1945" s="5" t="str">
        <f>TEXT(B1945,"mmm")</f>
        <v>Jul</v>
      </c>
      <c r="D1945" s="2" t="s">
        <v>2356</v>
      </c>
      <c r="E1945" s="2" t="s">
        <v>27</v>
      </c>
      <c r="F1945" s="2" t="str" cm="1">
        <f t="array" ref="F194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45" s="2" t="str" cm="1">
        <f t="array" ref="G194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5" s="2" t="s">
        <v>71</v>
      </c>
      <c r="I1945" s="2" t="s">
        <v>29</v>
      </c>
      <c r="J1945" s="2">
        <v>1</v>
      </c>
      <c r="K1945" s="8">
        <v>5499</v>
      </c>
      <c r="L1945" s="3">
        <v>0.15</v>
      </c>
      <c r="M1945" s="12">
        <f>K1945*L1945</f>
        <v>824.85</v>
      </c>
      <c r="N1945" s="12">
        <f>K1945*J1945</f>
        <v>5499</v>
      </c>
      <c r="O1945" s="12">
        <f>N1945-M1945</f>
        <v>4674.1499999999996</v>
      </c>
      <c r="P1945" s="2" t="s">
        <v>17</v>
      </c>
      <c r="Q1945" s="2" t="s">
        <v>18</v>
      </c>
      <c r="R1945" s="2">
        <v>60</v>
      </c>
      <c r="S1945" s="20">
        <f>Table1[[#This Row],[Net_revenue]]/Table1[[#This Row],[Gross_revenue]]*100%</f>
        <v>0.85</v>
      </c>
      <c r="T1945" s="18">
        <f>COUNTIFS(Table1[Customer ID], "&gt;1", Table1[Customer ID], 1)</f>
        <v>0</v>
      </c>
    </row>
    <row r="1946" spans="1:20" hidden="1" x14ac:dyDescent="0.3">
      <c r="A1946" s="2" t="s">
        <v>2662</v>
      </c>
      <c r="B1946" s="5">
        <v>45908</v>
      </c>
      <c r="C1946" s="5" t="str">
        <f>TEXT(B1946,"mmm")</f>
        <v>Sep</v>
      </c>
      <c r="D1946" s="2" t="s">
        <v>1081</v>
      </c>
      <c r="E1946" s="2" t="s">
        <v>21</v>
      </c>
      <c r="F1946" s="2" t="str" cm="1">
        <f t="array" ref="F194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46" s="2" t="str" cm="1">
        <f t="array" ref="G194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46" s="2" t="s">
        <v>49</v>
      </c>
      <c r="I1946" s="2" t="s">
        <v>23</v>
      </c>
      <c r="J1946" s="2">
        <v>1</v>
      </c>
      <c r="K1946" s="8">
        <v>1299</v>
      </c>
      <c r="L1946" s="3">
        <v>0.15</v>
      </c>
      <c r="M1946" s="12">
        <f>K1946*L1946</f>
        <v>194.85</v>
      </c>
      <c r="N1946" s="12">
        <f>K1946*J1946</f>
        <v>1299</v>
      </c>
      <c r="O1946" s="12">
        <f>N1946-M1946</f>
        <v>1104.1500000000001</v>
      </c>
      <c r="P1946" s="2" t="s">
        <v>30</v>
      </c>
      <c r="Q1946" s="2" t="s">
        <v>18</v>
      </c>
      <c r="R1946" s="2">
        <v>80</v>
      </c>
      <c r="S1946" s="20">
        <f>Table1[[#This Row],[Net_revenue]]/Table1[[#This Row],[Gross_revenue]]*100%</f>
        <v>0.85000000000000009</v>
      </c>
      <c r="T1946" s="18">
        <f>COUNTIFS(Table1[Customer ID], "&gt;1", Table1[Customer ID], 1)</f>
        <v>0</v>
      </c>
    </row>
    <row r="1947" spans="1:20" hidden="1" x14ac:dyDescent="0.3">
      <c r="A1947" s="2" t="s">
        <v>2663</v>
      </c>
      <c r="B1947" s="5">
        <v>46002</v>
      </c>
      <c r="C1947" s="5" t="str">
        <f>TEXT(B1947,"mmm")</f>
        <v>Dec</v>
      </c>
      <c r="D1947" s="2" t="s">
        <v>385</v>
      </c>
      <c r="E1947" s="2" t="s">
        <v>56</v>
      </c>
      <c r="F1947" s="2" t="str" cm="1">
        <f t="array" ref="F194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47" s="2" t="str" cm="1">
        <f t="array" ref="G194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7" s="2" t="s">
        <v>65</v>
      </c>
      <c r="I1947" s="2" t="s">
        <v>23</v>
      </c>
      <c r="J1947" s="2">
        <v>2</v>
      </c>
      <c r="K1947" s="8">
        <v>1899</v>
      </c>
      <c r="L1947" s="3">
        <v>0.15</v>
      </c>
      <c r="M1947" s="12">
        <f>K1947*L1947</f>
        <v>284.84999999999997</v>
      </c>
      <c r="N1947" s="12">
        <f>K1947*J1947</f>
        <v>3798</v>
      </c>
      <c r="O1947" s="12">
        <f>N1947-M1947</f>
        <v>3513.15</v>
      </c>
      <c r="P1947" s="2" t="s">
        <v>30</v>
      </c>
      <c r="Q1947" s="2" t="s">
        <v>18</v>
      </c>
      <c r="R1947" s="2">
        <v>40</v>
      </c>
      <c r="S1947" s="20">
        <f>Table1[[#This Row],[Net_revenue]]/Table1[[#This Row],[Gross_revenue]]*100%</f>
        <v>0.92500000000000004</v>
      </c>
      <c r="T1947" s="18">
        <f>COUNTIFS(Table1[Customer ID], "&gt;1", Table1[Customer ID], 1)</f>
        <v>0</v>
      </c>
    </row>
    <row r="1948" spans="1:20" hidden="1" x14ac:dyDescent="0.3">
      <c r="A1948" s="2" t="s">
        <v>2664</v>
      </c>
      <c r="B1948" s="5">
        <v>45723</v>
      </c>
      <c r="C1948" s="5" t="str">
        <f>TEXT(B1948,"mmm")</f>
        <v>Mar</v>
      </c>
      <c r="D1948" s="2" t="s">
        <v>2099</v>
      </c>
      <c r="E1948" s="2" t="s">
        <v>48</v>
      </c>
      <c r="F1948" s="2" t="str" cm="1">
        <f t="array" ref="F194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48" s="2" t="str" cm="1">
        <f t="array" ref="G194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48" s="2" t="s">
        <v>33</v>
      </c>
      <c r="I1948" s="2" t="s">
        <v>16</v>
      </c>
      <c r="J1948" s="2">
        <v>1</v>
      </c>
      <c r="K1948" s="8">
        <v>899</v>
      </c>
      <c r="L1948" s="3">
        <v>0.1</v>
      </c>
      <c r="M1948" s="12">
        <f>K1948*L1948</f>
        <v>89.9</v>
      </c>
      <c r="N1948" s="12">
        <f>K1948*J1948</f>
        <v>899</v>
      </c>
      <c r="O1948" s="12">
        <f>N1948-M1948</f>
        <v>809.1</v>
      </c>
      <c r="P1948" s="2" t="s">
        <v>30</v>
      </c>
      <c r="Q1948" s="2" t="s">
        <v>18</v>
      </c>
      <c r="R1948" s="2">
        <v>60</v>
      </c>
      <c r="S1948" s="20">
        <f>Table1[[#This Row],[Net_revenue]]/Table1[[#This Row],[Gross_revenue]]*100%</f>
        <v>0.9</v>
      </c>
      <c r="T1948" s="18">
        <f>COUNTIFS(Table1[Customer ID], "&gt;1", Table1[Customer ID], 1)</f>
        <v>0</v>
      </c>
    </row>
    <row r="1949" spans="1:20" hidden="1" x14ac:dyDescent="0.3">
      <c r="A1949" s="2" t="s">
        <v>2665</v>
      </c>
      <c r="B1949" s="5">
        <v>45958</v>
      </c>
      <c r="C1949" s="5" t="str">
        <f>TEXT(B1949,"mmm")</f>
        <v>Oct</v>
      </c>
      <c r="D1949" s="2" t="s">
        <v>886</v>
      </c>
      <c r="E1949" s="2" t="s">
        <v>40</v>
      </c>
      <c r="F1949" s="2" t="str" cm="1">
        <f t="array" ref="F194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49" s="2" t="str" cm="1">
        <f t="array" ref="G194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49" s="2" t="s">
        <v>22</v>
      </c>
      <c r="I1949" s="2" t="s">
        <v>23</v>
      </c>
      <c r="J1949" s="2">
        <v>3</v>
      </c>
      <c r="K1949" s="8">
        <v>3999</v>
      </c>
      <c r="L1949" s="3">
        <v>0</v>
      </c>
      <c r="M1949" s="12">
        <f>K1949*L1949</f>
        <v>0</v>
      </c>
      <c r="N1949" s="12">
        <f>K1949*J1949</f>
        <v>11997</v>
      </c>
      <c r="O1949" s="12">
        <f>N1949-M1949</f>
        <v>11997</v>
      </c>
      <c r="P1949" s="2" t="s">
        <v>45</v>
      </c>
      <c r="Q1949" s="2" t="s">
        <v>18</v>
      </c>
      <c r="R1949" s="2">
        <v>0</v>
      </c>
      <c r="S1949" s="20">
        <f>Table1[[#This Row],[Net_revenue]]/Table1[[#This Row],[Gross_revenue]]*100%</f>
        <v>1</v>
      </c>
      <c r="T1949" s="18">
        <f>COUNTIFS(Table1[Customer ID], "&gt;1", Table1[Customer ID], 1)</f>
        <v>0</v>
      </c>
    </row>
    <row r="1950" spans="1:20" hidden="1" x14ac:dyDescent="0.3">
      <c r="A1950" s="2" t="s">
        <v>2666</v>
      </c>
      <c r="B1950" s="5">
        <v>45835</v>
      </c>
      <c r="C1950" s="5" t="str">
        <f>TEXT(B1950,"mmm")</f>
        <v>Jun</v>
      </c>
      <c r="D1950" s="2" t="s">
        <v>539</v>
      </c>
      <c r="E1950" s="2" t="s">
        <v>120</v>
      </c>
      <c r="F1950" s="2" t="str" cm="1">
        <f t="array" ref="F195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50" s="2" t="str" cm="1">
        <f t="array" ref="G195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50" s="2" t="s">
        <v>22</v>
      </c>
      <c r="I1950" s="2" t="s">
        <v>23</v>
      </c>
      <c r="J1950" s="2">
        <v>1</v>
      </c>
      <c r="K1950" s="8">
        <v>3999</v>
      </c>
      <c r="L1950" s="3">
        <v>0.05</v>
      </c>
      <c r="M1950" s="12">
        <f>K1950*L1950</f>
        <v>199.95000000000002</v>
      </c>
      <c r="N1950" s="12">
        <f>K1950*J1950</f>
        <v>3999</v>
      </c>
      <c r="O1950" s="12">
        <f>N1950-M1950</f>
        <v>3799.05</v>
      </c>
      <c r="P1950" s="2" t="s">
        <v>45</v>
      </c>
      <c r="Q1950" s="2" t="s">
        <v>18</v>
      </c>
      <c r="R1950" s="2">
        <v>80</v>
      </c>
      <c r="S1950" s="20">
        <f>Table1[[#This Row],[Net_revenue]]/Table1[[#This Row],[Gross_revenue]]*100%</f>
        <v>0.95000000000000007</v>
      </c>
      <c r="T1950" s="18">
        <f>COUNTIFS(Table1[Customer ID], "&gt;1", Table1[Customer ID], 1)</f>
        <v>0</v>
      </c>
    </row>
    <row r="1951" spans="1:20" hidden="1" x14ac:dyDescent="0.3">
      <c r="A1951" s="2" t="s">
        <v>2667</v>
      </c>
      <c r="B1951" s="5">
        <v>45719</v>
      </c>
      <c r="C1951" s="5" t="str">
        <f>TEXT(B1951,"mmm")</f>
        <v>Mar</v>
      </c>
      <c r="D1951" s="2" t="s">
        <v>136</v>
      </c>
      <c r="E1951" s="2" t="s">
        <v>27</v>
      </c>
      <c r="F1951" s="2" t="str" cm="1">
        <f t="array" ref="F195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51" s="2" t="str" cm="1">
        <f t="array" ref="G195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51" s="2" t="s">
        <v>65</v>
      </c>
      <c r="I1951" s="2" t="s">
        <v>23</v>
      </c>
      <c r="J1951" s="2">
        <v>2</v>
      </c>
      <c r="K1951" s="8">
        <v>1899</v>
      </c>
      <c r="L1951" s="3">
        <v>0.25</v>
      </c>
      <c r="M1951" s="12">
        <f>K1951*L1951</f>
        <v>474.75</v>
      </c>
      <c r="N1951" s="12">
        <f>K1951*J1951</f>
        <v>3798</v>
      </c>
      <c r="O1951" s="12">
        <f>N1951-M1951</f>
        <v>3323.25</v>
      </c>
      <c r="P1951" s="2" t="s">
        <v>45</v>
      </c>
      <c r="Q1951" s="2" t="s">
        <v>18</v>
      </c>
      <c r="R1951" s="2">
        <v>60</v>
      </c>
      <c r="S1951" s="20">
        <f>Table1[[#This Row],[Net_revenue]]/Table1[[#This Row],[Gross_revenue]]*100%</f>
        <v>0.875</v>
      </c>
      <c r="T1951" s="18">
        <f>COUNTIFS(Table1[Customer ID], "&gt;1", Table1[Customer ID], 1)</f>
        <v>0</v>
      </c>
    </row>
    <row r="1952" spans="1:20" hidden="1" x14ac:dyDescent="0.3">
      <c r="A1952" s="2" t="s">
        <v>2668</v>
      </c>
      <c r="B1952" s="5">
        <v>45676</v>
      </c>
      <c r="C1952" s="5" t="str">
        <f>TEXT(B1952,"mmm")</f>
        <v>Jan</v>
      </c>
      <c r="D1952" s="2" t="s">
        <v>1156</v>
      </c>
      <c r="E1952" s="2" t="s">
        <v>56</v>
      </c>
      <c r="F1952" s="2" t="str" cm="1">
        <f t="array" ref="F195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52" s="2" t="str" cm="1">
        <f t="array" ref="G195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52" s="2" t="s">
        <v>68</v>
      </c>
      <c r="I1952" s="2" t="s">
        <v>16</v>
      </c>
      <c r="J1952" s="2">
        <v>1</v>
      </c>
      <c r="K1952" s="8">
        <v>599</v>
      </c>
      <c r="L1952" s="3">
        <v>0.25</v>
      </c>
      <c r="M1952" s="12">
        <f>K1952*L1952</f>
        <v>149.75</v>
      </c>
      <c r="N1952" s="12">
        <f>K1952*J1952</f>
        <v>599</v>
      </c>
      <c r="O1952" s="12">
        <f>N1952-M1952</f>
        <v>449.25</v>
      </c>
      <c r="P1952" s="2" t="s">
        <v>45</v>
      </c>
      <c r="Q1952" s="2" t="s">
        <v>18</v>
      </c>
      <c r="R1952" s="2">
        <v>0</v>
      </c>
      <c r="S1952" s="20">
        <f>Table1[[#This Row],[Net_revenue]]/Table1[[#This Row],[Gross_revenue]]*100%</f>
        <v>0.75</v>
      </c>
      <c r="T1952" s="18">
        <f>COUNTIFS(Table1[Customer ID], "&gt;1", Table1[Customer ID], 1)</f>
        <v>0</v>
      </c>
    </row>
    <row r="1953" spans="1:20" hidden="1" x14ac:dyDescent="0.3">
      <c r="A1953" s="2" t="s">
        <v>2669</v>
      </c>
      <c r="B1953" s="5">
        <v>45910</v>
      </c>
      <c r="C1953" s="5" t="str">
        <f>TEXT(B1953,"mmm")</f>
        <v>Sep</v>
      </c>
      <c r="D1953" s="2" t="s">
        <v>192</v>
      </c>
      <c r="E1953" s="2" t="s">
        <v>27</v>
      </c>
      <c r="F1953" s="2" t="str" cm="1">
        <f t="array" ref="F195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53" s="2" t="str" cm="1">
        <f t="array" ref="G195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53" s="2" t="s">
        <v>107</v>
      </c>
      <c r="I1953" s="2" t="s">
        <v>95</v>
      </c>
      <c r="J1953" s="2">
        <v>4</v>
      </c>
      <c r="K1953" s="8">
        <v>1599</v>
      </c>
      <c r="L1953" s="3">
        <v>0.15</v>
      </c>
      <c r="M1953" s="12">
        <f>K1953*L1953</f>
        <v>239.85</v>
      </c>
      <c r="N1953" s="12">
        <f>K1953*J1953</f>
        <v>6396</v>
      </c>
      <c r="O1953" s="12">
        <f>N1953-M1953</f>
        <v>6156.15</v>
      </c>
      <c r="P1953" s="2" t="s">
        <v>45</v>
      </c>
      <c r="Q1953" s="2" t="s">
        <v>18</v>
      </c>
      <c r="R1953" s="2">
        <v>60</v>
      </c>
      <c r="S1953" s="20">
        <f>Table1[[#This Row],[Net_revenue]]/Table1[[#This Row],[Gross_revenue]]*100%</f>
        <v>0.96249999999999991</v>
      </c>
      <c r="T1953" s="18">
        <f>COUNTIFS(Table1[Customer ID], "&gt;1", Table1[Customer ID], 1)</f>
        <v>0</v>
      </c>
    </row>
    <row r="1954" spans="1:20" hidden="1" x14ac:dyDescent="0.3">
      <c r="A1954" s="2" t="s">
        <v>2670</v>
      </c>
      <c r="B1954" s="5">
        <v>45869</v>
      </c>
      <c r="C1954" s="5" t="str">
        <f>TEXT(B1954,"mmm")</f>
        <v>Jul</v>
      </c>
      <c r="D1954" s="2" t="s">
        <v>367</v>
      </c>
      <c r="E1954" s="2" t="s">
        <v>120</v>
      </c>
      <c r="F1954" s="2" t="str" cm="1">
        <f t="array" ref="F195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54" s="2" t="str" cm="1">
        <f t="array" ref="G195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54" s="2" t="s">
        <v>15</v>
      </c>
      <c r="I1954" s="2" t="s">
        <v>16</v>
      </c>
      <c r="J1954" s="2">
        <v>3</v>
      </c>
      <c r="K1954" s="8">
        <v>1799</v>
      </c>
      <c r="L1954" s="3">
        <v>0.1</v>
      </c>
      <c r="M1954" s="12">
        <f>K1954*L1954</f>
        <v>179.9</v>
      </c>
      <c r="N1954" s="12">
        <f>K1954*J1954</f>
        <v>5397</v>
      </c>
      <c r="O1954" s="12">
        <f>N1954-M1954</f>
        <v>5217.1000000000004</v>
      </c>
      <c r="P1954" s="2" t="s">
        <v>45</v>
      </c>
      <c r="Q1954" s="2" t="s">
        <v>18</v>
      </c>
      <c r="R1954" s="2">
        <v>40</v>
      </c>
      <c r="S1954" s="20">
        <f>Table1[[#This Row],[Net_revenue]]/Table1[[#This Row],[Gross_revenue]]*100%</f>
        <v>0.96666666666666679</v>
      </c>
      <c r="T1954" s="18">
        <f>COUNTIFS(Table1[Customer ID], "&gt;1", Table1[Customer ID], 1)</f>
        <v>0</v>
      </c>
    </row>
    <row r="1955" spans="1:20" hidden="1" x14ac:dyDescent="0.3">
      <c r="A1955" s="2" t="s">
        <v>2671</v>
      </c>
      <c r="B1955" s="5">
        <v>45740</v>
      </c>
      <c r="C1955" s="5" t="str">
        <f>TEXT(B1955,"mmm")</f>
        <v>Mar</v>
      </c>
      <c r="D1955" s="2" t="s">
        <v>754</v>
      </c>
      <c r="E1955" s="2" t="s">
        <v>40</v>
      </c>
      <c r="F1955" s="2" t="str" cm="1">
        <f t="array" ref="F195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55" s="2" t="str" cm="1">
        <f t="array" ref="G195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55" s="2" t="s">
        <v>36</v>
      </c>
      <c r="I1955" s="2" t="s">
        <v>37</v>
      </c>
      <c r="J1955" s="2">
        <v>1</v>
      </c>
      <c r="K1955" s="8">
        <v>349</v>
      </c>
      <c r="L1955" s="3">
        <v>0.1</v>
      </c>
      <c r="M1955" s="12">
        <f>K1955*L1955</f>
        <v>34.9</v>
      </c>
      <c r="N1955" s="12">
        <f>K1955*J1955</f>
        <v>349</v>
      </c>
      <c r="O1955" s="12">
        <f>N1955-M1955</f>
        <v>314.10000000000002</v>
      </c>
      <c r="P1955" s="2" t="s">
        <v>24</v>
      </c>
      <c r="Q1955" s="2" t="s">
        <v>18</v>
      </c>
      <c r="R1955" s="2">
        <v>80</v>
      </c>
      <c r="S1955" s="20">
        <f>Table1[[#This Row],[Net_revenue]]/Table1[[#This Row],[Gross_revenue]]*100%</f>
        <v>0.9</v>
      </c>
      <c r="T1955" s="18">
        <f>COUNTIFS(Table1[Customer ID], "&gt;1", Table1[Customer ID], 1)</f>
        <v>0</v>
      </c>
    </row>
    <row r="1956" spans="1:20" hidden="1" x14ac:dyDescent="0.3">
      <c r="A1956" s="2" t="s">
        <v>2672</v>
      </c>
      <c r="B1956" s="5">
        <v>45916</v>
      </c>
      <c r="C1956" s="5" t="str">
        <f>TEXT(B1956,"mmm")</f>
        <v>Sep</v>
      </c>
      <c r="D1956" s="2" t="s">
        <v>102</v>
      </c>
      <c r="E1956" s="2" t="s">
        <v>48</v>
      </c>
      <c r="F1956" s="2" t="str" cm="1">
        <f t="array" ref="F195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56" s="2" t="str" cm="1">
        <f t="array" ref="G195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56" s="2" t="s">
        <v>68</v>
      </c>
      <c r="I1956" s="2" t="s">
        <v>16</v>
      </c>
      <c r="J1956" s="2">
        <v>5</v>
      </c>
      <c r="K1956" s="8">
        <v>599</v>
      </c>
      <c r="L1956" s="3">
        <v>0</v>
      </c>
      <c r="M1956" s="12">
        <f>K1956*L1956</f>
        <v>0</v>
      </c>
      <c r="N1956" s="12">
        <f>K1956*J1956</f>
        <v>2995</v>
      </c>
      <c r="O1956" s="12">
        <f>N1956-M1956</f>
        <v>2995</v>
      </c>
      <c r="P1956" s="2" t="s">
        <v>17</v>
      </c>
      <c r="Q1956" s="2" t="s">
        <v>18</v>
      </c>
      <c r="R1956" s="2">
        <v>40</v>
      </c>
      <c r="S1956" s="20">
        <f>Table1[[#This Row],[Net_revenue]]/Table1[[#This Row],[Gross_revenue]]*100%</f>
        <v>1</v>
      </c>
      <c r="T1956" s="18">
        <f>COUNTIFS(Table1[Customer ID], "&gt;1", Table1[Customer ID], 1)</f>
        <v>0</v>
      </c>
    </row>
    <row r="1957" spans="1:20" hidden="1" x14ac:dyDescent="0.3">
      <c r="A1957" s="2" t="s">
        <v>2673</v>
      </c>
      <c r="B1957" s="5">
        <v>45682</v>
      </c>
      <c r="C1957" s="5" t="str">
        <f>TEXT(B1957,"mmm")</f>
        <v>Jan</v>
      </c>
      <c r="D1957" s="2" t="s">
        <v>2384</v>
      </c>
      <c r="E1957" s="2" t="s">
        <v>120</v>
      </c>
      <c r="F1957" s="2" t="str" cm="1">
        <f t="array" ref="F195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57" s="2" t="str" cm="1">
        <f t="array" ref="G195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57" s="2" t="s">
        <v>71</v>
      </c>
      <c r="I1957" s="2" t="s">
        <v>29</v>
      </c>
      <c r="J1957" s="2">
        <v>1</v>
      </c>
      <c r="K1957" s="8">
        <v>5499</v>
      </c>
      <c r="L1957" s="3">
        <v>0</v>
      </c>
      <c r="M1957" s="12">
        <f>K1957*L1957</f>
        <v>0</v>
      </c>
      <c r="N1957" s="12">
        <f>K1957*J1957</f>
        <v>5499</v>
      </c>
      <c r="O1957" s="12">
        <f>N1957-M1957</f>
        <v>5499</v>
      </c>
      <c r="P1957" s="2" t="s">
        <v>45</v>
      </c>
      <c r="Q1957" s="2" t="s">
        <v>18</v>
      </c>
      <c r="R1957" s="2">
        <v>40</v>
      </c>
      <c r="S1957" s="20">
        <f>Table1[[#This Row],[Net_revenue]]/Table1[[#This Row],[Gross_revenue]]*100%</f>
        <v>1</v>
      </c>
      <c r="T1957" s="18">
        <f>COUNTIFS(Table1[Customer ID], "&gt;1", Table1[Customer ID], 1)</f>
        <v>0</v>
      </c>
    </row>
    <row r="1958" spans="1:20" hidden="1" x14ac:dyDescent="0.3">
      <c r="A1958" s="2" t="s">
        <v>2674</v>
      </c>
      <c r="B1958" s="5">
        <v>45792</v>
      </c>
      <c r="C1958" s="5" t="str">
        <f>TEXT(B1958,"mmm")</f>
        <v>May</v>
      </c>
      <c r="D1958" s="2" t="s">
        <v>454</v>
      </c>
      <c r="E1958" s="2" t="s">
        <v>120</v>
      </c>
      <c r="F1958" s="2" t="str" cm="1">
        <f t="array" ref="F195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58" s="2" t="str" cm="1">
        <f t="array" ref="G195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58" s="2" t="s">
        <v>44</v>
      </c>
      <c r="I1958" s="2" t="s">
        <v>16</v>
      </c>
      <c r="J1958" s="2">
        <v>1</v>
      </c>
      <c r="K1958" s="8">
        <v>1599</v>
      </c>
      <c r="L1958" s="3">
        <v>0.25</v>
      </c>
      <c r="M1958" s="12">
        <f>K1958*L1958</f>
        <v>399.75</v>
      </c>
      <c r="N1958" s="12">
        <f>K1958*J1958</f>
        <v>1599</v>
      </c>
      <c r="O1958" s="12">
        <f>N1958-M1958</f>
        <v>1199.25</v>
      </c>
      <c r="P1958" s="2" t="s">
        <v>30</v>
      </c>
      <c r="Q1958" s="2" t="s">
        <v>18</v>
      </c>
      <c r="R1958" s="2">
        <v>0</v>
      </c>
      <c r="S1958" s="20">
        <f>Table1[[#This Row],[Net_revenue]]/Table1[[#This Row],[Gross_revenue]]*100%</f>
        <v>0.75</v>
      </c>
      <c r="T1958" s="18">
        <f>COUNTIFS(Table1[Customer ID], "&gt;1", Table1[Customer ID], 1)</f>
        <v>0</v>
      </c>
    </row>
    <row r="1959" spans="1:20" hidden="1" x14ac:dyDescent="0.3">
      <c r="A1959" s="2" t="s">
        <v>2675</v>
      </c>
      <c r="B1959" s="5">
        <v>45938</v>
      </c>
      <c r="C1959" s="5" t="str">
        <f>TEXT(B1959,"mmm")</f>
        <v>Oct</v>
      </c>
      <c r="D1959" s="2" t="s">
        <v>2676</v>
      </c>
      <c r="E1959" s="2" t="s">
        <v>56</v>
      </c>
      <c r="F1959" s="2" t="str" cm="1">
        <f t="array" ref="F195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59" s="2" t="str" cm="1">
        <f t="array" ref="G195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59" s="2" t="s">
        <v>98</v>
      </c>
      <c r="I1959" s="2" t="s">
        <v>37</v>
      </c>
      <c r="J1959" s="2">
        <v>2</v>
      </c>
      <c r="K1959" s="8">
        <v>299</v>
      </c>
      <c r="L1959" s="3">
        <v>0.1</v>
      </c>
      <c r="M1959" s="12">
        <f>K1959*L1959</f>
        <v>29.900000000000002</v>
      </c>
      <c r="N1959" s="12">
        <f>K1959*J1959</f>
        <v>598</v>
      </c>
      <c r="O1959" s="12">
        <f>N1959-M1959</f>
        <v>568.1</v>
      </c>
      <c r="P1959" s="2" t="s">
        <v>45</v>
      </c>
      <c r="Q1959" s="2" t="s">
        <v>18</v>
      </c>
      <c r="R1959" s="2">
        <v>60</v>
      </c>
      <c r="S1959" s="20">
        <f>Table1[[#This Row],[Net_revenue]]/Table1[[#This Row],[Gross_revenue]]*100%</f>
        <v>0.95000000000000007</v>
      </c>
      <c r="T1959" s="18">
        <f>COUNTIFS(Table1[Customer ID], "&gt;1", Table1[Customer ID], 1)</f>
        <v>0</v>
      </c>
    </row>
    <row r="1960" spans="1:20" hidden="1" x14ac:dyDescent="0.3">
      <c r="A1960" s="2" t="s">
        <v>2677</v>
      </c>
      <c r="B1960" s="5">
        <v>45820</v>
      </c>
      <c r="C1960" s="5" t="str">
        <f>TEXT(B1960,"mmm")</f>
        <v>Jun</v>
      </c>
      <c r="D1960" s="2" t="s">
        <v>1946</v>
      </c>
      <c r="E1960" s="2" t="s">
        <v>40</v>
      </c>
      <c r="F1960" s="2" t="str" cm="1">
        <f t="array" ref="F196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60" s="2" t="str" cm="1">
        <f t="array" ref="G196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60" s="2" t="s">
        <v>217</v>
      </c>
      <c r="I1960" s="2" t="s">
        <v>29</v>
      </c>
      <c r="J1960" s="2">
        <v>2</v>
      </c>
      <c r="K1960" s="8">
        <v>3299</v>
      </c>
      <c r="L1960" s="3">
        <v>0.1</v>
      </c>
      <c r="M1960" s="12">
        <f>K1960*L1960</f>
        <v>329.90000000000003</v>
      </c>
      <c r="N1960" s="12">
        <f>K1960*J1960</f>
        <v>6598</v>
      </c>
      <c r="O1960" s="12">
        <f>N1960-M1960</f>
        <v>6268.1</v>
      </c>
      <c r="P1960" s="2" t="s">
        <v>30</v>
      </c>
      <c r="Q1960" s="2" t="s">
        <v>18</v>
      </c>
      <c r="R1960" s="2">
        <v>0</v>
      </c>
      <c r="S1960" s="20">
        <f>Table1[[#This Row],[Net_revenue]]/Table1[[#This Row],[Gross_revenue]]*100%</f>
        <v>0.95000000000000007</v>
      </c>
      <c r="T1960" s="18">
        <f>COUNTIFS(Table1[Customer ID], "&gt;1", Table1[Customer ID], 1)</f>
        <v>0</v>
      </c>
    </row>
    <row r="1961" spans="1:20" hidden="1" x14ac:dyDescent="0.3">
      <c r="A1961" s="2" t="s">
        <v>2678</v>
      </c>
      <c r="B1961" s="5">
        <v>45812</v>
      </c>
      <c r="C1961" s="5" t="str">
        <f>TEXT(B1961,"mmm")</f>
        <v>Jun</v>
      </c>
      <c r="D1961" s="2" t="s">
        <v>114</v>
      </c>
      <c r="E1961" s="2" t="s">
        <v>27</v>
      </c>
      <c r="F1961" s="2" t="str" cm="1">
        <f t="array" ref="F196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61" s="2" t="str" cm="1">
        <f t="array" ref="G196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61" s="2" t="s">
        <v>121</v>
      </c>
      <c r="I1961" s="2" t="s">
        <v>95</v>
      </c>
      <c r="J1961" s="2">
        <v>1</v>
      </c>
      <c r="K1961" s="8">
        <v>1299</v>
      </c>
      <c r="L1961" s="3">
        <v>0.15</v>
      </c>
      <c r="M1961" s="12">
        <f>K1961*L1961</f>
        <v>194.85</v>
      </c>
      <c r="N1961" s="12">
        <f>K1961*J1961</f>
        <v>1299</v>
      </c>
      <c r="O1961" s="12">
        <f>N1961-M1961</f>
        <v>1104.1500000000001</v>
      </c>
      <c r="P1961" s="2" t="s">
        <v>45</v>
      </c>
      <c r="Q1961" s="2" t="s">
        <v>18</v>
      </c>
      <c r="R1961" s="2">
        <v>40</v>
      </c>
      <c r="S1961" s="20">
        <f>Table1[[#This Row],[Net_revenue]]/Table1[[#This Row],[Gross_revenue]]*100%</f>
        <v>0.85000000000000009</v>
      </c>
      <c r="T1961" s="18">
        <f>COUNTIFS(Table1[Customer ID], "&gt;1", Table1[Customer ID], 1)</f>
        <v>0</v>
      </c>
    </row>
    <row r="1962" spans="1:20" hidden="1" x14ac:dyDescent="0.3">
      <c r="A1962" s="2" t="s">
        <v>2679</v>
      </c>
      <c r="B1962" s="5">
        <v>45709</v>
      </c>
      <c r="C1962" s="5" t="str">
        <f>TEXT(B1962,"mmm")</f>
        <v>Feb</v>
      </c>
      <c r="D1962" s="2" t="s">
        <v>313</v>
      </c>
      <c r="E1962" s="2" t="s">
        <v>195</v>
      </c>
      <c r="F1962" s="2" t="str" cm="1">
        <f t="array" ref="F196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62" s="2" t="str" cm="1">
        <f t="array" ref="G196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62" s="2" t="s">
        <v>22</v>
      </c>
      <c r="I1962" s="2" t="s">
        <v>23</v>
      </c>
      <c r="J1962" s="2">
        <v>1</v>
      </c>
      <c r="K1962" s="8">
        <v>3999</v>
      </c>
      <c r="L1962" s="3">
        <v>0.05</v>
      </c>
      <c r="M1962" s="12">
        <f>K1962*L1962</f>
        <v>199.95000000000002</v>
      </c>
      <c r="N1962" s="12">
        <f>K1962*J1962</f>
        <v>3999</v>
      </c>
      <c r="O1962" s="12">
        <f>N1962-M1962</f>
        <v>3799.05</v>
      </c>
      <c r="P1962" s="2" t="s">
        <v>45</v>
      </c>
      <c r="Q1962" s="2" t="s">
        <v>18</v>
      </c>
      <c r="R1962" s="2">
        <v>60</v>
      </c>
      <c r="S1962" s="20">
        <f>Table1[[#This Row],[Net_revenue]]/Table1[[#This Row],[Gross_revenue]]*100%</f>
        <v>0.95000000000000007</v>
      </c>
      <c r="T1962" s="18">
        <f>COUNTIFS(Table1[Customer ID], "&gt;1", Table1[Customer ID], 1)</f>
        <v>0</v>
      </c>
    </row>
    <row r="1963" spans="1:20" hidden="1" x14ac:dyDescent="0.3">
      <c r="A1963" s="2" t="s">
        <v>2680</v>
      </c>
      <c r="B1963" s="5">
        <v>45786</v>
      </c>
      <c r="C1963" s="5" t="str">
        <f>TEXT(B1963,"mmm")</f>
        <v>May</v>
      </c>
      <c r="D1963" s="2" t="s">
        <v>1627</v>
      </c>
      <c r="E1963" s="2" t="s">
        <v>195</v>
      </c>
      <c r="F1963" s="2" t="str" cm="1">
        <f t="array" ref="F196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63" s="2" t="str" cm="1">
        <f t="array" ref="G196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63" s="2" t="s">
        <v>183</v>
      </c>
      <c r="I1963" s="2" t="s">
        <v>37</v>
      </c>
      <c r="J1963" s="2">
        <v>1</v>
      </c>
      <c r="K1963" s="8">
        <v>499</v>
      </c>
      <c r="L1963" s="3">
        <v>0.2</v>
      </c>
      <c r="M1963" s="12">
        <f>K1963*L1963</f>
        <v>99.800000000000011</v>
      </c>
      <c r="N1963" s="12">
        <f>K1963*J1963</f>
        <v>499</v>
      </c>
      <c r="O1963" s="12">
        <f>N1963-M1963</f>
        <v>399.2</v>
      </c>
      <c r="P1963" s="2" t="s">
        <v>30</v>
      </c>
      <c r="Q1963" s="2" t="s">
        <v>18</v>
      </c>
      <c r="R1963" s="2">
        <v>40</v>
      </c>
      <c r="S1963" s="20">
        <f>Table1[[#This Row],[Net_revenue]]/Table1[[#This Row],[Gross_revenue]]*100%</f>
        <v>0.79999999999999993</v>
      </c>
      <c r="T1963" s="18">
        <f>COUNTIFS(Table1[Customer ID], "&gt;1", Table1[Customer ID], 1)</f>
        <v>0</v>
      </c>
    </row>
    <row r="1964" spans="1:20" hidden="1" x14ac:dyDescent="0.3">
      <c r="A1964" s="2" t="s">
        <v>2681</v>
      </c>
      <c r="B1964" s="5">
        <v>46005</v>
      </c>
      <c r="C1964" s="5" t="str">
        <f>TEXT(B1964,"mmm")</f>
        <v>Dec</v>
      </c>
      <c r="D1964" s="2" t="s">
        <v>1825</v>
      </c>
      <c r="E1964" s="2" t="s">
        <v>48</v>
      </c>
      <c r="F1964" s="2" t="str" cm="1">
        <f t="array" ref="F196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64" s="2" t="str" cm="1">
        <f t="array" ref="G196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64" s="2" t="s">
        <v>117</v>
      </c>
      <c r="I1964" s="2" t="s">
        <v>23</v>
      </c>
      <c r="J1964" s="2">
        <v>3</v>
      </c>
      <c r="K1964" s="8">
        <v>2199</v>
      </c>
      <c r="L1964" s="3">
        <v>0.1</v>
      </c>
      <c r="M1964" s="12">
        <f>K1964*L1964</f>
        <v>219.9</v>
      </c>
      <c r="N1964" s="12">
        <f>K1964*J1964</f>
        <v>6597</v>
      </c>
      <c r="O1964" s="12">
        <f>N1964-M1964</f>
        <v>6377.1</v>
      </c>
      <c r="P1964" s="2" t="s">
        <v>45</v>
      </c>
      <c r="Q1964" s="2" t="s">
        <v>18</v>
      </c>
      <c r="R1964" s="2">
        <v>80</v>
      </c>
      <c r="S1964" s="20">
        <f>Table1[[#This Row],[Net_revenue]]/Table1[[#This Row],[Gross_revenue]]*100%</f>
        <v>0.96666666666666667</v>
      </c>
      <c r="T1964" s="18">
        <f>COUNTIFS(Table1[Customer ID], "&gt;1", Table1[Customer ID], 1)</f>
        <v>0</v>
      </c>
    </row>
    <row r="1965" spans="1:20" hidden="1" x14ac:dyDescent="0.3">
      <c r="A1965" s="2" t="s">
        <v>2682</v>
      </c>
      <c r="B1965" s="5">
        <v>45960</v>
      </c>
      <c r="C1965" s="5" t="str">
        <f>TEXT(B1965,"mmm")</f>
        <v>Oct</v>
      </c>
      <c r="D1965" s="2" t="s">
        <v>241</v>
      </c>
      <c r="E1965" s="2" t="s">
        <v>21</v>
      </c>
      <c r="F1965" s="2" t="str" cm="1">
        <f t="array" ref="F196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65" s="2" t="str" cm="1">
        <f t="array" ref="G196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65" s="2" t="s">
        <v>65</v>
      </c>
      <c r="I1965" s="2" t="s">
        <v>23</v>
      </c>
      <c r="J1965" s="2">
        <v>1</v>
      </c>
      <c r="K1965" s="8">
        <v>1899</v>
      </c>
      <c r="L1965" s="3">
        <v>0.25</v>
      </c>
      <c r="M1965" s="12">
        <f>K1965*L1965</f>
        <v>474.75</v>
      </c>
      <c r="N1965" s="12">
        <f>K1965*J1965</f>
        <v>1899</v>
      </c>
      <c r="O1965" s="12">
        <f>N1965-M1965</f>
        <v>1424.25</v>
      </c>
      <c r="P1965" s="2" t="s">
        <v>17</v>
      </c>
      <c r="Q1965" s="2" t="s">
        <v>18</v>
      </c>
      <c r="R1965" s="2">
        <v>40</v>
      </c>
      <c r="S1965" s="20">
        <f>Table1[[#This Row],[Net_revenue]]/Table1[[#This Row],[Gross_revenue]]*100%</f>
        <v>0.75</v>
      </c>
      <c r="T1965" s="18">
        <f>COUNTIFS(Table1[Customer ID], "&gt;1", Table1[Customer ID], 1)</f>
        <v>0</v>
      </c>
    </row>
    <row r="1966" spans="1:20" hidden="1" x14ac:dyDescent="0.3">
      <c r="A1966" s="2" t="s">
        <v>2683</v>
      </c>
      <c r="B1966" s="5">
        <v>45749</v>
      </c>
      <c r="C1966" s="5" t="str">
        <f>TEXT(B1966,"mmm")</f>
        <v>Apr</v>
      </c>
      <c r="D1966" s="2" t="s">
        <v>542</v>
      </c>
      <c r="E1966" s="2" t="s">
        <v>27</v>
      </c>
      <c r="F1966" s="2" t="str" cm="1">
        <f t="array" ref="F196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66" s="2" t="str" cm="1">
        <f t="array" ref="G196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66" s="2" t="s">
        <v>71</v>
      </c>
      <c r="I1966" s="2" t="s">
        <v>29</v>
      </c>
      <c r="J1966" s="2">
        <v>1</v>
      </c>
      <c r="K1966" s="8">
        <v>5499</v>
      </c>
      <c r="L1966" s="3">
        <v>0.05</v>
      </c>
      <c r="M1966" s="12">
        <f>K1966*L1966</f>
        <v>274.95</v>
      </c>
      <c r="N1966" s="12">
        <f>K1966*J1966</f>
        <v>5499</v>
      </c>
      <c r="O1966" s="12">
        <f>N1966-M1966</f>
        <v>5224.05</v>
      </c>
      <c r="P1966" s="2" t="s">
        <v>17</v>
      </c>
      <c r="Q1966" s="2" t="s">
        <v>72</v>
      </c>
      <c r="R1966" s="2">
        <v>60</v>
      </c>
      <c r="S1966" s="20">
        <f>Table1[[#This Row],[Net_revenue]]/Table1[[#This Row],[Gross_revenue]]*100%</f>
        <v>0.95000000000000007</v>
      </c>
      <c r="T1966" s="18">
        <f>COUNTIFS(Table1[Customer ID], "&gt;1", Table1[Customer ID], 1)</f>
        <v>0</v>
      </c>
    </row>
    <row r="1967" spans="1:20" hidden="1" x14ac:dyDescent="0.3">
      <c r="A1967" s="2" t="s">
        <v>2684</v>
      </c>
      <c r="B1967" s="5">
        <v>45967</v>
      </c>
      <c r="C1967" s="5" t="str">
        <f>TEXT(B1967,"mmm")</f>
        <v>Nov</v>
      </c>
      <c r="D1967" s="2" t="s">
        <v>373</v>
      </c>
      <c r="E1967" s="2" t="s">
        <v>56</v>
      </c>
      <c r="F1967" s="2" t="str" cm="1">
        <f t="array" ref="F196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67" s="2" t="str" cm="1">
        <f t="array" ref="G196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67" s="2" t="s">
        <v>44</v>
      </c>
      <c r="I1967" s="2" t="s">
        <v>16</v>
      </c>
      <c r="J1967" s="2">
        <v>1</v>
      </c>
      <c r="K1967" s="8">
        <v>1599</v>
      </c>
      <c r="L1967" s="3">
        <v>0.1</v>
      </c>
      <c r="M1967" s="12">
        <f>K1967*L1967</f>
        <v>159.9</v>
      </c>
      <c r="N1967" s="12">
        <f>K1967*J1967</f>
        <v>1599</v>
      </c>
      <c r="O1967" s="12">
        <f>N1967-M1967</f>
        <v>1439.1</v>
      </c>
      <c r="P1967" s="2" t="s">
        <v>45</v>
      </c>
      <c r="Q1967" s="2" t="s">
        <v>50</v>
      </c>
      <c r="R1967" s="2">
        <v>40</v>
      </c>
      <c r="S1967" s="20">
        <f>Table1[[#This Row],[Net_revenue]]/Table1[[#This Row],[Gross_revenue]]*100%</f>
        <v>0.89999999999999991</v>
      </c>
      <c r="T1967" s="18">
        <f>COUNTIFS(Table1[Customer ID], "&gt;1", Table1[Customer ID], 1)</f>
        <v>0</v>
      </c>
    </row>
    <row r="1968" spans="1:20" hidden="1" x14ac:dyDescent="0.3">
      <c r="A1968" s="2" t="s">
        <v>2685</v>
      </c>
      <c r="B1968" s="5">
        <v>45992</v>
      </c>
      <c r="C1968" s="5" t="str">
        <f>TEXT(B1968,"mmm")</f>
        <v>Dec</v>
      </c>
      <c r="D1968" s="2" t="s">
        <v>1222</v>
      </c>
      <c r="E1968" s="2" t="s">
        <v>21</v>
      </c>
      <c r="F1968" s="2" t="str" cm="1">
        <f t="array" ref="F196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68" s="2" t="str" cm="1">
        <f t="array" ref="G196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68" s="2" t="s">
        <v>15</v>
      </c>
      <c r="I1968" s="2" t="s">
        <v>16</v>
      </c>
      <c r="J1968" s="2">
        <v>2</v>
      </c>
      <c r="K1968" s="8">
        <v>1799</v>
      </c>
      <c r="L1968" s="3">
        <v>0.05</v>
      </c>
      <c r="M1968" s="12">
        <f>K1968*L1968</f>
        <v>89.95</v>
      </c>
      <c r="N1968" s="12">
        <f>K1968*J1968</f>
        <v>3598</v>
      </c>
      <c r="O1968" s="12">
        <f>N1968-M1968</f>
        <v>3508.05</v>
      </c>
      <c r="P1968" s="2" t="s">
        <v>17</v>
      </c>
      <c r="Q1968" s="2" t="s">
        <v>18</v>
      </c>
      <c r="R1968" s="2">
        <v>40</v>
      </c>
      <c r="S1968" s="20">
        <f>Table1[[#This Row],[Net_revenue]]/Table1[[#This Row],[Gross_revenue]]*100%</f>
        <v>0.97500000000000009</v>
      </c>
      <c r="T1968" s="18">
        <f>COUNTIFS(Table1[Customer ID], "&gt;1", Table1[Customer ID], 1)</f>
        <v>0</v>
      </c>
    </row>
    <row r="1969" spans="1:20" hidden="1" x14ac:dyDescent="0.3">
      <c r="A1969" s="2" t="s">
        <v>2686</v>
      </c>
      <c r="B1969" s="5">
        <v>45896</v>
      </c>
      <c r="C1969" s="5" t="str">
        <f>TEXT(B1969,"mmm")</f>
        <v>Aug</v>
      </c>
      <c r="D1969" s="2" t="s">
        <v>402</v>
      </c>
      <c r="E1969" s="2" t="s">
        <v>56</v>
      </c>
      <c r="F1969" s="2" t="str" cm="1">
        <f t="array" ref="F196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69" s="2" t="str" cm="1">
        <f t="array" ref="G196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69" s="2" t="s">
        <v>89</v>
      </c>
      <c r="I1969" s="2" t="s">
        <v>29</v>
      </c>
      <c r="J1969" s="2">
        <v>1</v>
      </c>
      <c r="K1969" s="8">
        <v>449</v>
      </c>
      <c r="L1969" s="3">
        <v>0.25</v>
      </c>
      <c r="M1969" s="12">
        <f>K1969*L1969</f>
        <v>112.25</v>
      </c>
      <c r="N1969" s="12">
        <f>K1969*J1969</f>
        <v>449</v>
      </c>
      <c r="O1969" s="12">
        <f>N1969-M1969</f>
        <v>336.75</v>
      </c>
      <c r="P1969" s="2" t="s">
        <v>24</v>
      </c>
      <c r="Q1969" s="2" t="s">
        <v>18</v>
      </c>
      <c r="R1969" s="2">
        <v>0</v>
      </c>
      <c r="S1969" s="20">
        <f>Table1[[#This Row],[Net_revenue]]/Table1[[#This Row],[Gross_revenue]]*100%</f>
        <v>0.75</v>
      </c>
      <c r="T1969" s="18">
        <f>COUNTIFS(Table1[Customer ID], "&gt;1", Table1[Customer ID], 1)</f>
        <v>0</v>
      </c>
    </row>
    <row r="1970" spans="1:20" hidden="1" x14ac:dyDescent="0.3">
      <c r="A1970" s="2" t="s">
        <v>2687</v>
      </c>
      <c r="B1970" s="5">
        <v>45790</v>
      </c>
      <c r="C1970" s="5" t="str">
        <f>TEXT(B1970,"mmm")</f>
        <v>May</v>
      </c>
      <c r="D1970" s="2" t="s">
        <v>307</v>
      </c>
      <c r="E1970" s="2" t="s">
        <v>56</v>
      </c>
      <c r="F1970" s="2" t="str" cm="1">
        <f t="array" ref="F197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70" s="2" t="str" cm="1">
        <f t="array" ref="G197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70" s="2" t="s">
        <v>183</v>
      </c>
      <c r="I1970" s="2" t="s">
        <v>37</v>
      </c>
      <c r="J1970" s="2">
        <v>1</v>
      </c>
      <c r="K1970" s="8">
        <v>499</v>
      </c>
      <c r="L1970" s="3">
        <v>0.25</v>
      </c>
      <c r="M1970" s="12">
        <f>K1970*L1970</f>
        <v>124.75</v>
      </c>
      <c r="N1970" s="12">
        <f>K1970*J1970</f>
        <v>499</v>
      </c>
      <c r="O1970" s="12">
        <f>N1970-M1970</f>
        <v>374.25</v>
      </c>
      <c r="P1970" s="2" t="s">
        <v>45</v>
      </c>
      <c r="Q1970" s="2" t="s">
        <v>18</v>
      </c>
      <c r="R1970" s="2">
        <v>80</v>
      </c>
      <c r="S1970" s="20">
        <f>Table1[[#This Row],[Net_revenue]]/Table1[[#This Row],[Gross_revenue]]*100%</f>
        <v>0.75</v>
      </c>
      <c r="T1970" s="18">
        <f>COUNTIFS(Table1[Customer ID], "&gt;1", Table1[Customer ID], 1)</f>
        <v>0</v>
      </c>
    </row>
    <row r="1971" spans="1:20" hidden="1" x14ac:dyDescent="0.3">
      <c r="A1971" s="2" t="s">
        <v>2688</v>
      </c>
      <c r="B1971" s="5">
        <v>45794</v>
      </c>
      <c r="C1971" s="5" t="str">
        <f>TEXT(B1971,"mmm")</f>
        <v>May</v>
      </c>
      <c r="D1971" s="2" t="s">
        <v>2689</v>
      </c>
      <c r="E1971" s="2" t="s">
        <v>27</v>
      </c>
      <c r="F1971" s="2" t="str" cm="1">
        <f t="array" ref="F197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Tamilnadu</v>
      </c>
      <c r="G1971" s="2" t="str" cm="1">
        <f t="array" ref="G197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71" s="2" t="s">
        <v>134</v>
      </c>
      <c r="I1971" s="2" t="s">
        <v>29</v>
      </c>
      <c r="J1971" s="2">
        <v>1</v>
      </c>
      <c r="K1971" s="8">
        <v>1499</v>
      </c>
      <c r="L1971" s="3">
        <v>0.1</v>
      </c>
      <c r="M1971" s="12">
        <f>K1971*L1971</f>
        <v>149.9</v>
      </c>
      <c r="N1971" s="12">
        <f>K1971*J1971</f>
        <v>1499</v>
      </c>
      <c r="O1971" s="12">
        <f>N1971-M1971</f>
        <v>1349.1</v>
      </c>
      <c r="P1971" s="2" t="s">
        <v>24</v>
      </c>
      <c r="Q1971" s="2" t="s">
        <v>18</v>
      </c>
      <c r="R1971" s="2">
        <v>80</v>
      </c>
      <c r="S1971" s="20">
        <f>Table1[[#This Row],[Net_revenue]]/Table1[[#This Row],[Gross_revenue]]*100%</f>
        <v>0.89999999999999991</v>
      </c>
      <c r="T1971" s="18">
        <f>COUNTIFS(Table1[Customer ID], "&gt;1", Table1[Customer ID], 1)</f>
        <v>0</v>
      </c>
    </row>
    <row r="1972" spans="1:20" hidden="1" x14ac:dyDescent="0.3">
      <c r="A1972" s="2" t="s">
        <v>2690</v>
      </c>
      <c r="B1972" s="5">
        <v>45961</v>
      </c>
      <c r="C1972" s="5" t="str">
        <f>TEXT(B1972,"mmm")</f>
        <v>Oct</v>
      </c>
      <c r="D1972" s="2" t="s">
        <v>2659</v>
      </c>
      <c r="E1972" s="2" t="s">
        <v>21</v>
      </c>
      <c r="F1972" s="2" t="str" cm="1">
        <f t="array" ref="F197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72" s="2" t="str" cm="1">
        <f t="array" ref="G197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72" s="2" t="s">
        <v>65</v>
      </c>
      <c r="I1972" s="2" t="s">
        <v>23</v>
      </c>
      <c r="J1972" s="2">
        <v>1</v>
      </c>
      <c r="K1972" s="8">
        <v>1899</v>
      </c>
      <c r="L1972" s="3">
        <v>0</v>
      </c>
      <c r="M1972" s="12">
        <f>K1972*L1972</f>
        <v>0</v>
      </c>
      <c r="N1972" s="12">
        <f>K1972*J1972</f>
        <v>1899</v>
      </c>
      <c r="O1972" s="12">
        <f>N1972-M1972</f>
        <v>1899</v>
      </c>
      <c r="P1972" s="2" t="s">
        <v>30</v>
      </c>
      <c r="Q1972" s="2" t="s">
        <v>18</v>
      </c>
      <c r="R1972" s="2">
        <v>80</v>
      </c>
      <c r="S1972" s="20">
        <f>Table1[[#This Row],[Net_revenue]]/Table1[[#This Row],[Gross_revenue]]*100%</f>
        <v>1</v>
      </c>
      <c r="T1972" s="18">
        <f>COUNTIFS(Table1[Customer ID], "&gt;1", Table1[Customer ID], 1)</f>
        <v>0</v>
      </c>
    </row>
    <row r="1973" spans="1:20" hidden="1" x14ac:dyDescent="0.3">
      <c r="A1973" s="2" t="s">
        <v>2691</v>
      </c>
      <c r="B1973" s="5">
        <v>45772</v>
      </c>
      <c r="C1973" s="5" t="str">
        <f>TEXT(B1973,"mmm")</f>
        <v>Apr</v>
      </c>
      <c r="D1973" s="2" t="s">
        <v>1825</v>
      </c>
      <c r="E1973" s="2" t="s">
        <v>40</v>
      </c>
      <c r="F1973" s="2" t="str" cm="1">
        <f t="array" ref="F197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73" s="2" t="str" cm="1">
        <f t="array" ref="G197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73" s="2" t="s">
        <v>98</v>
      </c>
      <c r="I1973" s="2" t="s">
        <v>37</v>
      </c>
      <c r="J1973" s="2">
        <v>3</v>
      </c>
      <c r="K1973" s="8">
        <v>299</v>
      </c>
      <c r="L1973" s="3">
        <v>0.2</v>
      </c>
      <c r="M1973" s="12">
        <f>K1973*L1973</f>
        <v>59.800000000000004</v>
      </c>
      <c r="N1973" s="12">
        <f>K1973*J1973</f>
        <v>897</v>
      </c>
      <c r="O1973" s="12">
        <f>N1973-M1973</f>
        <v>837.2</v>
      </c>
      <c r="P1973" s="2" t="s">
        <v>30</v>
      </c>
      <c r="Q1973" s="2" t="s">
        <v>18</v>
      </c>
      <c r="R1973" s="2">
        <v>60</v>
      </c>
      <c r="S1973" s="20">
        <f>Table1[[#This Row],[Net_revenue]]/Table1[[#This Row],[Gross_revenue]]*100%</f>
        <v>0.93333333333333335</v>
      </c>
      <c r="T1973" s="18">
        <f>COUNTIFS(Table1[Customer ID], "&gt;1", Table1[Customer ID], 1)</f>
        <v>0</v>
      </c>
    </row>
    <row r="1974" spans="1:20" hidden="1" x14ac:dyDescent="0.3">
      <c r="A1974" s="2" t="s">
        <v>2692</v>
      </c>
      <c r="B1974" s="5">
        <v>45892</v>
      </c>
      <c r="C1974" s="5" t="str">
        <f>TEXT(B1974,"mmm")</f>
        <v>Aug</v>
      </c>
      <c r="D1974" s="2" t="s">
        <v>557</v>
      </c>
      <c r="E1974" s="2" t="s">
        <v>48</v>
      </c>
      <c r="F1974" s="2" t="str" cm="1">
        <f t="array" ref="F197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74" s="2" t="str" cm="1">
        <f t="array" ref="G197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74" s="2" t="s">
        <v>183</v>
      </c>
      <c r="I1974" s="2" t="s">
        <v>37</v>
      </c>
      <c r="J1974" s="2">
        <v>1</v>
      </c>
      <c r="K1974" s="8">
        <v>499</v>
      </c>
      <c r="L1974" s="3">
        <v>0</v>
      </c>
      <c r="M1974" s="12">
        <f>K1974*L1974</f>
        <v>0</v>
      </c>
      <c r="N1974" s="12">
        <f>K1974*J1974</f>
        <v>499</v>
      </c>
      <c r="O1974" s="12">
        <f>N1974-M1974</f>
        <v>499</v>
      </c>
      <c r="P1974" s="2" t="s">
        <v>45</v>
      </c>
      <c r="Q1974" s="2" t="s">
        <v>18</v>
      </c>
      <c r="R1974" s="2">
        <v>40</v>
      </c>
      <c r="S1974" s="20">
        <f>Table1[[#This Row],[Net_revenue]]/Table1[[#This Row],[Gross_revenue]]*100%</f>
        <v>1</v>
      </c>
      <c r="T1974" s="18">
        <f>COUNTIFS(Table1[Customer ID], "&gt;1", Table1[Customer ID], 1)</f>
        <v>0</v>
      </c>
    </row>
    <row r="1975" spans="1:20" hidden="1" x14ac:dyDescent="0.3">
      <c r="A1975" s="2" t="s">
        <v>2693</v>
      </c>
      <c r="B1975" s="5">
        <v>45679</v>
      </c>
      <c r="C1975" s="5" t="str">
        <f>TEXT(B1975,"mmm")</f>
        <v>Jan</v>
      </c>
      <c r="D1975" s="2" t="s">
        <v>1973</v>
      </c>
      <c r="E1975" s="2" t="s">
        <v>21</v>
      </c>
      <c r="F1975" s="2" t="str" cm="1">
        <f t="array" ref="F197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75" s="2" t="str" cm="1">
        <f t="array" ref="G197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75" s="2" t="s">
        <v>121</v>
      </c>
      <c r="I1975" s="2" t="s">
        <v>95</v>
      </c>
      <c r="J1975" s="2">
        <v>3</v>
      </c>
      <c r="K1975" s="8">
        <v>1299</v>
      </c>
      <c r="L1975" s="3">
        <v>0.15</v>
      </c>
      <c r="M1975" s="12">
        <f>K1975*L1975</f>
        <v>194.85</v>
      </c>
      <c r="N1975" s="12">
        <f>K1975*J1975</f>
        <v>3897</v>
      </c>
      <c r="O1975" s="12">
        <f>N1975-M1975</f>
        <v>3702.15</v>
      </c>
      <c r="P1975" s="2" t="s">
        <v>45</v>
      </c>
      <c r="Q1975" s="2" t="s">
        <v>18</v>
      </c>
      <c r="R1975" s="2">
        <v>60</v>
      </c>
      <c r="S1975" s="20">
        <f>Table1[[#This Row],[Net_revenue]]/Table1[[#This Row],[Gross_revenue]]*100%</f>
        <v>0.95000000000000007</v>
      </c>
      <c r="T1975" s="18">
        <f>COUNTIFS(Table1[Customer ID], "&gt;1", Table1[Customer ID], 1)</f>
        <v>0</v>
      </c>
    </row>
    <row r="1976" spans="1:20" hidden="1" x14ac:dyDescent="0.3">
      <c r="A1976" s="2" t="s">
        <v>2694</v>
      </c>
      <c r="B1976" s="5">
        <v>45887</v>
      </c>
      <c r="C1976" s="5" t="str">
        <f>TEXT(B1976,"mmm")</f>
        <v>Aug</v>
      </c>
      <c r="D1976" s="2" t="s">
        <v>278</v>
      </c>
      <c r="E1976" s="2" t="s">
        <v>120</v>
      </c>
      <c r="F1976" s="2" t="str" cm="1">
        <f t="array" ref="F197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76" s="2" t="str" cm="1">
        <f t="array" ref="G197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76" s="2" t="s">
        <v>121</v>
      </c>
      <c r="I1976" s="2" t="s">
        <v>95</v>
      </c>
      <c r="J1976" s="2">
        <v>2</v>
      </c>
      <c r="K1976" s="8">
        <v>1299</v>
      </c>
      <c r="L1976" s="3">
        <v>0</v>
      </c>
      <c r="M1976" s="12">
        <f>K1976*L1976</f>
        <v>0</v>
      </c>
      <c r="N1976" s="12">
        <f>K1976*J1976</f>
        <v>2598</v>
      </c>
      <c r="O1976" s="12">
        <f>N1976-M1976</f>
        <v>2598</v>
      </c>
      <c r="P1976" s="2" t="s">
        <v>24</v>
      </c>
      <c r="Q1976" s="2" t="s">
        <v>18</v>
      </c>
      <c r="R1976" s="2">
        <v>40</v>
      </c>
      <c r="S1976" s="20">
        <f>Table1[[#This Row],[Net_revenue]]/Table1[[#This Row],[Gross_revenue]]*100%</f>
        <v>1</v>
      </c>
      <c r="T1976" s="18">
        <f>COUNTIFS(Table1[Customer ID], "&gt;1", Table1[Customer ID], 1)</f>
        <v>0</v>
      </c>
    </row>
    <row r="1977" spans="1:20" hidden="1" x14ac:dyDescent="0.3">
      <c r="A1977" s="2" t="s">
        <v>2695</v>
      </c>
      <c r="B1977" s="5">
        <v>45879</v>
      </c>
      <c r="C1977" s="5" t="str">
        <f>TEXT(B1977,"mmm")</f>
        <v>Aug</v>
      </c>
      <c r="D1977" s="2" t="s">
        <v>1105</v>
      </c>
      <c r="E1977" s="2" t="s">
        <v>120</v>
      </c>
      <c r="F1977" s="2" t="str" cm="1">
        <f t="array" ref="F197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77" s="2" t="str" cm="1">
        <f t="array" ref="G197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77" s="2" t="s">
        <v>117</v>
      </c>
      <c r="I1977" s="2" t="s">
        <v>23</v>
      </c>
      <c r="J1977" s="2">
        <v>4</v>
      </c>
      <c r="K1977" s="8">
        <v>2199</v>
      </c>
      <c r="L1977" s="3">
        <v>0.1</v>
      </c>
      <c r="M1977" s="12">
        <f>K1977*L1977</f>
        <v>219.9</v>
      </c>
      <c r="N1977" s="12">
        <f>K1977*J1977</f>
        <v>8796</v>
      </c>
      <c r="O1977" s="12">
        <f>N1977-M1977</f>
        <v>8576.1</v>
      </c>
      <c r="P1977" s="2" t="s">
        <v>45</v>
      </c>
      <c r="Q1977" s="2" t="s">
        <v>18</v>
      </c>
      <c r="R1977" s="2">
        <v>40</v>
      </c>
      <c r="S1977" s="20">
        <f>Table1[[#This Row],[Net_revenue]]/Table1[[#This Row],[Gross_revenue]]*100%</f>
        <v>0.97500000000000009</v>
      </c>
      <c r="T1977" s="18">
        <f>COUNTIFS(Table1[Customer ID], "&gt;1", Table1[Customer ID], 1)</f>
        <v>0</v>
      </c>
    </row>
    <row r="1978" spans="1:20" hidden="1" x14ac:dyDescent="0.3">
      <c r="A1978" s="2" t="s">
        <v>2696</v>
      </c>
      <c r="B1978" s="5">
        <v>45693</v>
      </c>
      <c r="C1978" s="5" t="str">
        <f>TEXT(B1978,"mmm")</f>
        <v>Feb</v>
      </c>
      <c r="D1978" s="2" t="s">
        <v>1240</v>
      </c>
      <c r="E1978" s="2" t="s">
        <v>75</v>
      </c>
      <c r="F1978" s="2" t="str" cm="1">
        <f t="array" ref="F197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978" s="2" t="str" cm="1">
        <f t="array" ref="G197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78" s="2" t="s">
        <v>80</v>
      </c>
      <c r="I1978" s="2" t="s">
        <v>23</v>
      </c>
      <c r="J1978" s="2">
        <v>1</v>
      </c>
      <c r="K1978" s="8">
        <v>799</v>
      </c>
      <c r="L1978" s="3">
        <v>0</v>
      </c>
      <c r="M1978" s="12">
        <f>K1978*L1978</f>
        <v>0</v>
      </c>
      <c r="N1978" s="12">
        <f>K1978*J1978</f>
        <v>799</v>
      </c>
      <c r="O1978" s="12">
        <f>N1978-M1978</f>
        <v>799</v>
      </c>
      <c r="P1978" s="2" t="s">
        <v>45</v>
      </c>
      <c r="Q1978" s="2" t="s">
        <v>18</v>
      </c>
      <c r="R1978" s="2">
        <v>80</v>
      </c>
      <c r="S1978" s="20">
        <f>Table1[[#This Row],[Net_revenue]]/Table1[[#This Row],[Gross_revenue]]*100%</f>
        <v>1</v>
      </c>
      <c r="T1978" s="18">
        <f>COUNTIFS(Table1[Customer ID], "&gt;1", Table1[Customer ID], 1)</f>
        <v>0</v>
      </c>
    </row>
    <row r="1979" spans="1:20" hidden="1" x14ac:dyDescent="0.3">
      <c r="A1979" s="2" t="s">
        <v>2697</v>
      </c>
      <c r="B1979" s="5">
        <v>45764</v>
      </c>
      <c r="C1979" s="5" t="str">
        <f>TEXT(B1979,"mmm")</f>
        <v>Apr</v>
      </c>
      <c r="D1979" s="2" t="s">
        <v>653</v>
      </c>
      <c r="E1979" s="2" t="s">
        <v>40</v>
      </c>
      <c r="F1979" s="2" t="str" cm="1">
        <f t="array" ref="F197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79" s="2" t="str" cm="1">
        <f t="array" ref="G197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79" s="2" t="s">
        <v>71</v>
      </c>
      <c r="I1979" s="2" t="s">
        <v>29</v>
      </c>
      <c r="J1979" s="2">
        <v>1</v>
      </c>
      <c r="K1979" s="8">
        <v>5499</v>
      </c>
      <c r="L1979" s="3">
        <v>0.1</v>
      </c>
      <c r="M1979" s="12">
        <f>K1979*L1979</f>
        <v>549.9</v>
      </c>
      <c r="N1979" s="12">
        <f>K1979*J1979</f>
        <v>5499</v>
      </c>
      <c r="O1979" s="12">
        <f>N1979-M1979</f>
        <v>4949.1000000000004</v>
      </c>
      <c r="P1979" s="2" t="s">
        <v>45</v>
      </c>
      <c r="Q1979" s="2" t="s">
        <v>50</v>
      </c>
      <c r="R1979" s="2">
        <v>60</v>
      </c>
      <c r="S1979" s="20">
        <f>Table1[[#This Row],[Net_revenue]]/Table1[[#This Row],[Gross_revenue]]*100%</f>
        <v>0.9</v>
      </c>
      <c r="T1979" s="18">
        <f>COUNTIFS(Table1[Customer ID], "&gt;1", Table1[Customer ID], 1)</f>
        <v>0</v>
      </c>
    </row>
    <row r="1980" spans="1:20" hidden="1" x14ac:dyDescent="0.3">
      <c r="A1980" s="2" t="s">
        <v>2698</v>
      </c>
      <c r="B1980" s="5">
        <v>46010</v>
      </c>
      <c r="C1980" s="5" t="str">
        <f>TEXT(B1980,"mmm")</f>
        <v>Dec</v>
      </c>
      <c r="D1980" s="2" t="s">
        <v>84</v>
      </c>
      <c r="E1980" s="2" t="s">
        <v>40</v>
      </c>
      <c r="F1980" s="2" t="str" cm="1">
        <f t="array" ref="F198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80" s="2" t="str" cm="1">
        <f t="array" ref="G198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80" s="2" t="s">
        <v>41</v>
      </c>
      <c r="I1980" s="2" t="s">
        <v>16</v>
      </c>
      <c r="J1980" s="2">
        <v>1</v>
      </c>
      <c r="K1980" s="8">
        <v>2299</v>
      </c>
      <c r="L1980" s="3">
        <v>0.25</v>
      </c>
      <c r="M1980" s="12">
        <f>K1980*L1980</f>
        <v>574.75</v>
      </c>
      <c r="N1980" s="12">
        <f>K1980*J1980</f>
        <v>2299</v>
      </c>
      <c r="O1980" s="12">
        <f>N1980-M1980</f>
        <v>1724.25</v>
      </c>
      <c r="P1980" s="2" t="s">
        <v>45</v>
      </c>
      <c r="Q1980" s="2" t="s">
        <v>18</v>
      </c>
      <c r="R1980" s="2">
        <v>80</v>
      </c>
      <c r="S1980" s="20">
        <f>Table1[[#This Row],[Net_revenue]]/Table1[[#This Row],[Gross_revenue]]*100%</f>
        <v>0.75</v>
      </c>
      <c r="T1980" s="18">
        <f>COUNTIFS(Table1[Customer ID], "&gt;1", Table1[Customer ID], 1)</f>
        <v>0</v>
      </c>
    </row>
    <row r="1981" spans="1:20" hidden="1" x14ac:dyDescent="0.3">
      <c r="A1981" s="2" t="s">
        <v>2699</v>
      </c>
      <c r="B1981" s="5">
        <v>45804</v>
      </c>
      <c r="C1981" s="5" t="str">
        <f>TEXT(B1981,"mmm")</f>
        <v>May</v>
      </c>
      <c r="D1981" s="2" t="s">
        <v>442</v>
      </c>
      <c r="E1981" s="2" t="s">
        <v>21</v>
      </c>
      <c r="F1981" s="2" t="str" cm="1">
        <f t="array" ref="F198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81" s="2" t="str" cm="1">
        <f t="array" ref="G198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81" s="2" t="s">
        <v>80</v>
      </c>
      <c r="I1981" s="2" t="s">
        <v>23</v>
      </c>
      <c r="J1981" s="2">
        <v>1</v>
      </c>
      <c r="K1981" s="8">
        <v>799</v>
      </c>
      <c r="L1981" s="3">
        <v>0.1</v>
      </c>
      <c r="M1981" s="12">
        <f>K1981*L1981</f>
        <v>79.900000000000006</v>
      </c>
      <c r="N1981" s="12">
        <f>K1981*J1981</f>
        <v>799</v>
      </c>
      <c r="O1981" s="12">
        <f>N1981-M1981</f>
        <v>719.1</v>
      </c>
      <c r="P1981" s="2" t="s">
        <v>30</v>
      </c>
      <c r="Q1981" s="2" t="s">
        <v>50</v>
      </c>
      <c r="R1981" s="2">
        <v>60</v>
      </c>
      <c r="S1981" s="20">
        <f>Table1[[#This Row],[Net_revenue]]/Table1[[#This Row],[Gross_revenue]]*100%</f>
        <v>0.9</v>
      </c>
      <c r="T1981" s="18">
        <f>COUNTIFS(Table1[Customer ID], "&gt;1", Table1[Customer ID], 1)</f>
        <v>0</v>
      </c>
    </row>
    <row r="1982" spans="1:20" hidden="1" x14ac:dyDescent="0.3">
      <c r="A1982" s="2" t="s">
        <v>2700</v>
      </c>
      <c r="B1982" s="5">
        <v>45677</v>
      </c>
      <c r="C1982" s="5" t="str">
        <f>TEXT(B1982,"mmm")</f>
        <v>Jan</v>
      </c>
      <c r="D1982" s="2" t="s">
        <v>1775</v>
      </c>
      <c r="E1982" s="2" t="s">
        <v>75</v>
      </c>
      <c r="F1982" s="2" t="str" cm="1">
        <f t="array" ref="F198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Rajasthan</v>
      </c>
      <c r="G1982" s="2" t="str" cm="1">
        <f t="array" ref="G198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82" s="2" t="s">
        <v>22</v>
      </c>
      <c r="I1982" s="2" t="s">
        <v>23</v>
      </c>
      <c r="J1982" s="2">
        <v>1</v>
      </c>
      <c r="K1982" s="8">
        <v>3999</v>
      </c>
      <c r="L1982" s="3">
        <v>0.1</v>
      </c>
      <c r="M1982" s="12">
        <f>K1982*L1982</f>
        <v>399.90000000000003</v>
      </c>
      <c r="N1982" s="12">
        <f>K1982*J1982</f>
        <v>3999</v>
      </c>
      <c r="O1982" s="12">
        <f>N1982-M1982</f>
        <v>3599.1</v>
      </c>
      <c r="P1982" s="2" t="s">
        <v>24</v>
      </c>
      <c r="Q1982" s="2" t="s">
        <v>18</v>
      </c>
      <c r="R1982" s="2">
        <v>40</v>
      </c>
      <c r="S1982" s="20">
        <f>Table1[[#This Row],[Net_revenue]]/Table1[[#This Row],[Gross_revenue]]*100%</f>
        <v>0.9</v>
      </c>
      <c r="T1982" s="18">
        <f>COUNTIFS(Table1[Customer ID], "&gt;1", Table1[Customer ID], 1)</f>
        <v>0</v>
      </c>
    </row>
    <row r="1983" spans="1:20" hidden="1" x14ac:dyDescent="0.3">
      <c r="A1983" s="2" t="s">
        <v>2701</v>
      </c>
      <c r="B1983" s="5">
        <v>45828</v>
      </c>
      <c r="C1983" s="5" t="str">
        <f>TEXT(B1983,"mmm")</f>
        <v>Jun</v>
      </c>
      <c r="D1983" s="2" t="s">
        <v>298</v>
      </c>
      <c r="E1983" s="2" t="s">
        <v>56</v>
      </c>
      <c r="F1983" s="2" t="str" cm="1">
        <f t="array" ref="F198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83" s="2" t="str" cm="1">
        <f t="array" ref="G198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83" s="2" t="s">
        <v>89</v>
      </c>
      <c r="I1983" s="2" t="s">
        <v>29</v>
      </c>
      <c r="J1983" s="2">
        <v>2</v>
      </c>
      <c r="K1983" s="8">
        <v>449</v>
      </c>
      <c r="L1983" s="3">
        <v>0.25</v>
      </c>
      <c r="M1983" s="12">
        <f>K1983*L1983</f>
        <v>112.25</v>
      </c>
      <c r="N1983" s="12">
        <f>K1983*J1983</f>
        <v>898</v>
      </c>
      <c r="O1983" s="12">
        <f>N1983-M1983</f>
        <v>785.75</v>
      </c>
      <c r="P1983" s="2" t="s">
        <v>17</v>
      </c>
      <c r="Q1983" s="2" t="s">
        <v>18</v>
      </c>
      <c r="R1983" s="2">
        <v>80</v>
      </c>
      <c r="S1983" s="20">
        <f>Table1[[#This Row],[Net_revenue]]/Table1[[#This Row],[Gross_revenue]]*100%</f>
        <v>0.875</v>
      </c>
      <c r="T1983" s="18">
        <f>COUNTIFS(Table1[Customer ID], "&gt;1", Table1[Customer ID], 1)</f>
        <v>0</v>
      </c>
    </row>
    <row r="1984" spans="1:20" hidden="1" x14ac:dyDescent="0.3">
      <c r="A1984" s="2" t="s">
        <v>2702</v>
      </c>
      <c r="B1984" s="5">
        <v>45769</v>
      </c>
      <c r="C1984" s="5" t="str">
        <f>TEXT(B1984,"mmm")</f>
        <v>Apr</v>
      </c>
      <c r="D1984" s="2" t="s">
        <v>1158</v>
      </c>
      <c r="E1984" s="2" t="s">
        <v>195</v>
      </c>
      <c r="F1984" s="2" t="str" cm="1">
        <f t="array" ref="F198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Gujrat</v>
      </c>
      <c r="G1984" s="2" t="str" cm="1">
        <f t="array" ref="G198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84" s="2" t="s">
        <v>134</v>
      </c>
      <c r="I1984" s="2" t="s">
        <v>29</v>
      </c>
      <c r="J1984" s="2">
        <v>2</v>
      </c>
      <c r="K1984" s="8">
        <v>1499</v>
      </c>
      <c r="L1984" s="3">
        <v>0.15</v>
      </c>
      <c r="M1984" s="12">
        <f>K1984*L1984</f>
        <v>224.85</v>
      </c>
      <c r="N1984" s="12">
        <f>K1984*J1984</f>
        <v>2998</v>
      </c>
      <c r="O1984" s="12">
        <f>N1984-M1984</f>
        <v>2773.15</v>
      </c>
      <c r="P1984" s="2" t="s">
        <v>30</v>
      </c>
      <c r="Q1984" s="2" t="s">
        <v>18</v>
      </c>
      <c r="R1984" s="2">
        <v>40</v>
      </c>
      <c r="S1984" s="20">
        <f>Table1[[#This Row],[Net_revenue]]/Table1[[#This Row],[Gross_revenue]]*100%</f>
        <v>0.92500000000000004</v>
      </c>
      <c r="T1984" s="18">
        <f>COUNTIFS(Table1[Customer ID], "&gt;1", Table1[Customer ID], 1)</f>
        <v>0</v>
      </c>
    </row>
    <row r="1985" spans="1:20" hidden="1" x14ac:dyDescent="0.3">
      <c r="A1985" s="2" t="s">
        <v>2703</v>
      </c>
      <c r="B1985" s="5">
        <v>45668</v>
      </c>
      <c r="C1985" s="5" t="str">
        <f>TEXT(B1985,"mmm")</f>
        <v>Jan</v>
      </c>
      <c r="D1985" s="2" t="s">
        <v>432</v>
      </c>
      <c r="E1985" s="2" t="s">
        <v>40</v>
      </c>
      <c r="F1985" s="2" t="str" cm="1">
        <f t="array" ref="F198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85" s="2" t="str" cm="1">
        <f t="array" ref="G198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85" s="2" t="s">
        <v>68</v>
      </c>
      <c r="I1985" s="2" t="s">
        <v>16</v>
      </c>
      <c r="J1985" s="2">
        <v>1</v>
      </c>
      <c r="K1985" s="8">
        <v>599</v>
      </c>
      <c r="L1985" s="3">
        <v>0.1</v>
      </c>
      <c r="M1985" s="12">
        <f>K1985*L1985</f>
        <v>59.900000000000006</v>
      </c>
      <c r="N1985" s="12">
        <f>K1985*J1985</f>
        <v>599</v>
      </c>
      <c r="O1985" s="12">
        <f>N1985-M1985</f>
        <v>539.1</v>
      </c>
      <c r="P1985" s="2" t="s">
        <v>30</v>
      </c>
      <c r="Q1985" s="2" t="s">
        <v>18</v>
      </c>
      <c r="R1985" s="2">
        <v>80</v>
      </c>
      <c r="S1985" s="20">
        <f>Table1[[#This Row],[Net_revenue]]/Table1[[#This Row],[Gross_revenue]]*100%</f>
        <v>0.9</v>
      </c>
      <c r="T1985" s="18">
        <f>COUNTIFS(Table1[Customer ID], "&gt;1", Table1[Customer ID], 1)</f>
        <v>0</v>
      </c>
    </row>
    <row r="1986" spans="1:20" hidden="1" x14ac:dyDescent="0.3">
      <c r="A1986" s="2" t="s">
        <v>2704</v>
      </c>
      <c r="B1986" s="5">
        <v>45753</v>
      </c>
      <c r="C1986" s="5" t="str">
        <f>TEXT(B1986,"mmm")</f>
        <v>Apr</v>
      </c>
      <c r="D1986" s="2" t="s">
        <v>1363</v>
      </c>
      <c r="E1986" s="2" t="s">
        <v>56</v>
      </c>
      <c r="F1986" s="2" t="str" cm="1">
        <f t="array" ref="F198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86" s="2" t="str" cm="1">
        <f t="array" ref="G198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86" s="2" t="s">
        <v>49</v>
      </c>
      <c r="I1986" s="2" t="s">
        <v>23</v>
      </c>
      <c r="J1986" s="2">
        <v>1</v>
      </c>
      <c r="K1986" s="8">
        <v>1299</v>
      </c>
      <c r="L1986" s="3">
        <v>0.25</v>
      </c>
      <c r="M1986" s="12">
        <f>K1986*L1986</f>
        <v>324.75</v>
      </c>
      <c r="N1986" s="12">
        <f>K1986*J1986</f>
        <v>1299</v>
      </c>
      <c r="O1986" s="12">
        <f>N1986-M1986</f>
        <v>974.25</v>
      </c>
      <c r="P1986" s="2" t="s">
        <v>30</v>
      </c>
      <c r="Q1986" s="2" t="s">
        <v>18</v>
      </c>
      <c r="R1986" s="2">
        <v>80</v>
      </c>
      <c r="S1986" s="20">
        <f>Table1[[#This Row],[Net_revenue]]/Table1[[#This Row],[Gross_revenue]]*100%</f>
        <v>0.75</v>
      </c>
      <c r="T1986" s="18">
        <f>COUNTIFS(Table1[Customer ID], "&gt;1", Table1[Customer ID], 1)</f>
        <v>0</v>
      </c>
    </row>
    <row r="1987" spans="1:20" hidden="1" x14ac:dyDescent="0.3">
      <c r="A1987" s="2" t="s">
        <v>2705</v>
      </c>
      <c r="B1987" s="5">
        <v>45792</v>
      </c>
      <c r="C1987" s="5" t="str">
        <f>TEXT(B1987,"mmm")</f>
        <v>May</v>
      </c>
      <c r="D1987" s="2" t="s">
        <v>2060</v>
      </c>
      <c r="E1987" s="2" t="s">
        <v>56</v>
      </c>
      <c r="F1987" s="2" t="str" cm="1">
        <f t="array" ref="F198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87" s="2" t="str" cm="1">
        <f t="array" ref="G198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87" s="2" t="s">
        <v>15</v>
      </c>
      <c r="I1987" s="2" t="s">
        <v>16</v>
      </c>
      <c r="J1987" s="2">
        <v>1</v>
      </c>
      <c r="K1987" s="8">
        <v>1799</v>
      </c>
      <c r="L1987" s="3">
        <v>0</v>
      </c>
      <c r="M1987" s="12">
        <f>K1987*L1987</f>
        <v>0</v>
      </c>
      <c r="N1987" s="12">
        <f>K1987*J1987</f>
        <v>1799</v>
      </c>
      <c r="O1987" s="12">
        <f>N1987-M1987</f>
        <v>1799</v>
      </c>
      <c r="P1987" s="2" t="s">
        <v>24</v>
      </c>
      <c r="Q1987" s="2" t="s">
        <v>18</v>
      </c>
      <c r="R1987" s="2">
        <v>0</v>
      </c>
      <c r="S1987" s="20">
        <f>Table1[[#This Row],[Net_revenue]]/Table1[[#This Row],[Gross_revenue]]*100%</f>
        <v>1</v>
      </c>
      <c r="T1987" s="18">
        <f>COUNTIFS(Table1[Customer ID], "&gt;1", Table1[Customer ID], 1)</f>
        <v>0</v>
      </c>
    </row>
    <row r="1988" spans="1:20" hidden="1" x14ac:dyDescent="0.3">
      <c r="A1988" s="2" t="s">
        <v>2706</v>
      </c>
      <c r="B1988" s="5">
        <v>45760</v>
      </c>
      <c r="C1988" s="5" t="str">
        <f>TEXT(B1988,"mmm")</f>
        <v>Apr</v>
      </c>
      <c r="D1988" s="2" t="s">
        <v>1326</v>
      </c>
      <c r="E1988" s="2" t="s">
        <v>21</v>
      </c>
      <c r="F1988" s="2" t="str" cm="1">
        <f t="array" ref="F198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88" s="2" t="str" cm="1">
        <f t="array" ref="G198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88" s="2" t="s">
        <v>71</v>
      </c>
      <c r="I1988" s="2" t="s">
        <v>29</v>
      </c>
      <c r="J1988" s="2">
        <v>3</v>
      </c>
      <c r="K1988" s="8">
        <v>5499</v>
      </c>
      <c r="L1988" s="3">
        <v>0.2</v>
      </c>
      <c r="M1988" s="12">
        <f>K1988*L1988</f>
        <v>1099.8</v>
      </c>
      <c r="N1988" s="12">
        <f>K1988*J1988</f>
        <v>16497</v>
      </c>
      <c r="O1988" s="12">
        <f>N1988-M1988</f>
        <v>15397.2</v>
      </c>
      <c r="P1988" s="2" t="s">
        <v>45</v>
      </c>
      <c r="Q1988" s="2" t="s">
        <v>18</v>
      </c>
      <c r="R1988" s="2">
        <v>60</v>
      </c>
      <c r="S1988" s="20">
        <f>Table1[[#This Row],[Net_revenue]]/Table1[[#This Row],[Gross_revenue]]*100%</f>
        <v>0.93333333333333335</v>
      </c>
      <c r="T1988" s="18">
        <f>COUNTIFS(Table1[Customer ID], "&gt;1", Table1[Customer ID], 1)</f>
        <v>0</v>
      </c>
    </row>
    <row r="1989" spans="1:20" hidden="1" x14ac:dyDescent="0.3">
      <c r="A1989" s="2" t="s">
        <v>2707</v>
      </c>
      <c r="B1989" s="5">
        <v>45724</v>
      </c>
      <c r="C1989" s="5" t="str">
        <f>TEXT(B1989,"mmm")</f>
        <v>Mar</v>
      </c>
      <c r="D1989" s="2" t="s">
        <v>264</v>
      </c>
      <c r="E1989" s="2" t="s">
        <v>21</v>
      </c>
      <c r="F1989" s="2" t="str" cm="1">
        <f t="array" ref="F198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89" s="2" t="str" cm="1">
        <f t="array" ref="G198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89" s="2" t="s">
        <v>33</v>
      </c>
      <c r="I1989" s="2" t="s">
        <v>16</v>
      </c>
      <c r="J1989" s="2">
        <v>1</v>
      </c>
      <c r="K1989" s="8">
        <v>899</v>
      </c>
      <c r="L1989" s="3">
        <v>0.2</v>
      </c>
      <c r="M1989" s="12">
        <f>K1989*L1989</f>
        <v>179.8</v>
      </c>
      <c r="N1989" s="12">
        <f>K1989*J1989</f>
        <v>899</v>
      </c>
      <c r="O1989" s="12">
        <f>N1989-M1989</f>
        <v>719.2</v>
      </c>
      <c r="P1989" s="2" t="s">
        <v>17</v>
      </c>
      <c r="Q1989" s="2" t="s">
        <v>18</v>
      </c>
      <c r="R1989" s="2">
        <v>60</v>
      </c>
      <c r="S1989" s="20">
        <f>Table1[[#This Row],[Net_revenue]]/Table1[[#This Row],[Gross_revenue]]*100%</f>
        <v>0.8</v>
      </c>
      <c r="T1989" s="18">
        <f>COUNTIFS(Table1[Customer ID], "&gt;1", Table1[Customer ID], 1)</f>
        <v>0</v>
      </c>
    </row>
    <row r="1990" spans="1:20" hidden="1" x14ac:dyDescent="0.3">
      <c r="A1990" s="2" t="s">
        <v>2708</v>
      </c>
      <c r="B1990" s="5">
        <v>45851</v>
      </c>
      <c r="C1990" s="5" t="str">
        <f>TEXT(B1990,"mmm")</f>
        <v>Jul</v>
      </c>
      <c r="D1990" s="2" t="s">
        <v>343</v>
      </c>
      <c r="E1990" s="2" t="s">
        <v>40</v>
      </c>
      <c r="F1990" s="2" t="str" cm="1">
        <f t="array" ref="F199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Delhi</v>
      </c>
      <c r="G1990" s="2" t="str" cm="1">
        <f t="array" ref="G199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90" s="2" t="s">
        <v>28</v>
      </c>
      <c r="I1990" s="2" t="s">
        <v>29</v>
      </c>
      <c r="J1990" s="2">
        <v>1</v>
      </c>
      <c r="K1990" s="8">
        <v>2799</v>
      </c>
      <c r="L1990" s="3">
        <v>0</v>
      </c>
      <c r="M1990" s="12">
        <f>K1990*L1990</f>
        <v>0</v>
      </c>
      <c r="N1990" s="12">
        <f>K1990*J1990</f>
        <v>2799</v>
      </c>
      <c r="O1990" s="12">
        <f>N1990-M1990</f>
        <v>2799</v>
      </c>
      <c r="P1990" s="2" t="s">
        <v>17</v>
      </c>
      <c r="Q1990" s="2" t="s">
        <v>18</v>
      </c>
      <c r="R1990" s="2">
        <v>0</v>
      </c>
      <c r="S1990" s="20">
        <f>Table1[[#This Row],[Net_revenue]]/Table1[[#This Row],[Gross_revenue]]*100%</f>
        <v>1</v>
      </c>
      <c r="T1990" s="18">
        <f>COUNTIFS(Table1[Customer ID], "&gt;1", Table1[Customer ID], 1)</f>
        <v>0</v>
      </c>
    </row>
    <row r="1991" spans="1:20" hidden="1" x14ac:dyDescent="0.3">
      <c r="A1991" s="2" t="s">
        <v>2709</v>
      </c>
      <c r="B1991" s="5">
        <v>45661</v>
      </c>
      <c r="C1991" s="5" t="str">
        <f>TEXT(B1991,"mmm")</f>
        <v>Jan</v>
      </c>
      <c r="D1991" s="2" t="s">
        <v>294</v>
      </c>
      <c r="E1991" s="2" t="s">
        <v>56</v>
      </c>
      <c r="F1991" s="2" t="str" cm="1">
        <f t="array" ref="F199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91" s="2" t="str" cm="1">
        <f t="array" ref="G199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91" s="2" t="s">
        <v>36</v>
      </c>
      <c r="I1991" s="2" t="s">
        <v>37</v>
      </c>
      <c r="J1991" s="2">
        <v>1</v>
      </c>
      <c r="K1991" s="8">
        <v>349</v>
      </c>
      <c r="L1991" s="3">
        <v>0.1</v>
      </c>
      <c r="M1991" s="12">
        <f>K1991*L1991</f>
        <v>34.9</v>
      </c>
      <c r="N1991" s="12">
        <f>K1991*J1991</f>
        <v>349</v>
      </c>
      <c r="O1991" s="12">
        <f>N1991-M1991</f>
        <v>314.10000000000002</v>
      </c>
      <c r="P1991" s="2" t="s">
        <v>45</v>
      </c>
      <c r="Q1991" s="2" t="s">
        <v>18</v>
      </c>
      <c r="R1991" s="2">
        <v>60</v>
      </c>
      <c r="S1991" s="20">
        <f>Table1[[#This Row],[Net_revenue]]/Table1[[#This Row],[Gross_revenue]]*100%</f>
        <v>0.9</v>
      </c>
      <c r="T1991" s="18">
        <f>COUNTIFS(Table1[Customer ID], "&gt;1", Table1[Customer ID], 1)</f>
        <v>0</v>
      </c>
    </row>
    <row r="1992" spans="1:20" hidden="1" x14ac:dyDescent="0.3">
      <c r="A1992" s="2" t="s">
        <v>2710</v>
      </c>
      <c r="B1992" s="5">
        <v>45991</v>
      </c>
      <c r="C1992" s="5" t="str">
        <f>TEXT(B1992,"mmm")</f>
        <v>Nov</v>
      </c>
      <c r="D1992" s="2" t="s">
        <v>599</v>
      </c>
      <c r="E1992" s="2" t="s">
        <v>53</v>
      </c>
      <c r="F1992" s="2" t="str" cm="1">
        <f t="array" ref="F1992">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Utterpradesh</v>
      </c>
      <c r="G1992" s="2" t="str" cm="1">
        <f t="array" ref="G1992">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North</v>
      </c>
      <c r="H1992" s="2" t="s">
        <v>94</v>
      </c>
      <c r="I1992" s="2" t="s">
        <v>95</v>
      </c>
      <c r="J1992" s="2">
        <v>3</v>
      </c>
      <c r="K1992" s="8">
        <v>399</v>
      </c>
      <c r="L1992" s="3">
        <v>0.2</v>
      </c>
      <c r="M1992" s="12">
        <f>K1992*L1992</f>
        <v>79.800000000000011</v>
      </c>
      <c r="N1992" s="12">
        <f>K1992*J1992</f>
        <v>1197</v>
      </c>
      <c r="O1992" s="12">
        <f>N1992-M1992</f>
        <v>1117.2</v>
      </c>
      <c r="P1992" s="2" t="s">
        <v>45</v>
      </c>
      <c r="Q1992" s="2" t="s">
        <v>18</v>
      </c>
      <c r="R1992" s="2">
        <v>80</v>
      </c>
      <c r="S1992" s="20">
        <f>Table1[[#This Row],[Net_revenue]]/Table1[[#This Row],[Gross_revenue]]*100%</f>
        <v>0.93333333333333335</v>
      </c>
      <c r="T1992" s="18">
        <f>COUNTIFS(Table1[Customer ID], "&gt;1", Table1[Customer ID], 1)</f>
        <v>0</v>
      </c>
    </row>
    <row r="1993" spans="1:20" hidden="1" x14ac:dyDescent="0.3">
      <c r="A1993" s="2" t="s">
        <v>2711</v>
      </c>
      <c r="B1993" s="5">
        <v>46004</v>
      </c>
      <c r="C1993" s="5" t="str">
        <f>TEXT(B1993,"mmm")</f>
        <v>Dec</v>
      </c>
      <c r="D1993" s="2" t="s">
        <v>1058</v>
      </c>
      <c r="E1993" s="2" t="s">
        <v>120</v>
      </c>
      <c r="F1993" s="2" t="str" cm="1">
        <f t="array" ref="F1993">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93" s="2" t="str" cm="1">
        <f t="array" ref="G1993">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93" s="2" t="s">
        <v>80</v>
      </c>
      <c r="I1993" s="2" t="s">
        <v>23</v>
      </c>
      <c r="J1993" s="2">
        <v>4</v>
      </c>
      <c r="K1993" s="8">
        <v>799</v>
      </c>
      <c r="L1993" s="3">
        <v>0.2</v>
      </c>
      <c r="M1993" s="12">
        <f>K1993*L1993</f>
        <v>159.80000000000001</v>
      </c>
      <c r="N1993" s="12">
        <f>K1993*J1993</f>
        <v>3196</v>
      </c>
      <c r="O1993" s="12">
        <f>N1993-M1993</f>
        <v>3036.2</v>
      </c>
      <c r="P1993" s="2" t="s">
        <v>30</v>
      </c>
      <c r="Q1993" s="2" t="s">
        <v>18</v>
      </c>
      <c r="R1993" s="2">
        <v>60</v>
      </c>
      <c r="S1993" s="20">
        <f>Table1[[#This Row],[Net_revenue]]/Table1[[#This Row],[Gross_revenue]]*100%</f>
        <v>0.95</v>
      </c>
      <c r="T1993" s="18">
        <f>COUNTIFS(Table1[Customer ID], "&gt;1", Table1[Customer ID], 1)</f>
        <v>0</v>
      </c>
    </row>
    <row r="1994" spans="1:20" hidden="1" x14ac:dyDescent="0.3">
      <c r="A1994" s="2" t="s">
        <v>2712</v>
      </c>
      <c r="B1994" s="5">
        <v>45917</v>
      </c>
      <c r="C1994" s="5" t="str">
        <f>TEXT(B1994,"mmm")</f>
        <v>Sep</v>
      </c>
      <c r="D1994" s="2" t="s">
        <v>2713</v>
      </c>
      <c r="E1994" s="2" t="s">
        <v>56</v>
      </c>
      <c r="F1994" s="2" t="str" cm="1">
        <f t="array" ref="F1994">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Telangana</v>
      </c>
      <c r="G1994" s="2" t="str" cm="1">
        <f t="array" ref="G1994">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94" s="2" t="s">
        <v>65</v>
      </c>
      <c r="I1994" s="2" t="s">
        <v>23</v>
      </c>
      <c r="J1994" s="2">
        <v>1</v>
      </c>
      <c r="K1994" s="8">
        <v>1899</v>
      </c>
      <c r="L1994" s="3">
        <v>0.1</v>
      </c>
      <c r="M1994" s="12">
        <f>K1994*L1994</f>
        <v>189.9</v>
      </c>
      <c r="N1994" s="12">
        <f>K1994*J1994</f>
        <v>1899</v>
      </c>
      <c r="O1994" s="12">
        <f>N1994-M1994</f>
        <v>1709.1</v>
      </c>
      <c r="P1994" s="2" t="s">
        <v>30</v>
      </c>
      <c r="Q1994" s="2" t="s">
        <v>18</v>
      </c>
      <c r="R1994" s="2">
        <v>0</v>
      </c>
      <c r="S1994" s="20">
        <f>Table1[[#This Row],[Net_revenue]]/Table1[[#This Row],[Gross_revenue]]*100%</f>
        <v>0.89999999999999991</v>
      </c>
      <c r="T1994" s="18">
        <f>COUNTIFS(Table1[Customer ID], "&gt;1", Table1[Customer ID], 1)</f>
        <v>0</v>
      </c>
    </row>
    <row r="1995" spans="1:20" hidden="1" x14ac:dyDescent="0.3">
      <c r="A1995" s="2" t="s">
        <v>2714</v>
      </c>
      <c r="B1995" s="5">
        <v>45821</v>
      </c>
      <c r="C1995" s="5" t="str">
        <f>TEXT(B1995,"mmm")</f>
        <v>Jun</v>
      </c>
      <c r="D1995" s="2" t="s">
        <v>1249</v>
      </c>
      <c r="E1995" s="2" t="s">
        <v>21</v>
      </c>
      <c r="F1995" s="2" t="str" cm="1">
        <f t="array" ref="F1995">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95" s="2" t="str" cm="1">
        <f t="array" ref="G1995">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95" s="2" t="s">
        <v>117</v>
      </c>
      <c r="I1995" s="2" t="s">
        <v>23</v>
      </c>
      <c r="J1995" s="2">
        <v>4</v>
      </c>
      <c r="K1995" s="8">
        <v>2199</v>
      </c>
      <c r="L1995" s="3">
        <v>0.05</v>
      </c>
      <c r="M1995" s="12">
        <f>K1995*L1995</f>
        <v>109.95</v>
      </c>
      <c r="N1995" s="12">
        <f>K1995*J1995</f>
        <v>8796</v>
      </c>
      <c r="O1995" s="12">
        <f>N1995-M1995</f>
        <v>8686.0499999999993</v>
      </c>
      <c r="P1995" s="2" t="s">
        <v>17</v>
      </c>
      <c r="Q1995" s="2" t="s">
        <v>18</v>
      </c>
      <c r="R1995" s="2">
        <v>60</v>
      </c>
      <c r="S1995" s="20">
        <f>Table1[[#This Row],[Net_revenue]]/Table1[[#This Row],[Gross_revenue]]*100%</f>
        <v>0.98749999999999993</v>
      </c>
      <c r="T1995" s="18">
        <f>COUNTIFS(Table1[Customer ID], "&gt;1", Table1[Customer ID], 1)</f>
        <v>0</v>
      </c>
    </row>
    <row r="1996" spans="1:20" hidden="1" x14ac:dyDescent="0.3">
      <c r="A1996" s="2" t="s">
        <v>2715</v>
      </c>
      <c r="B1996" s="5">
        <v>45974</v>
      </c>
      <c r="C1996" s="5" t="str">
        <f>TEXT(B1996,"mmm")</f>
        <v>Nov</v>
      </c>
      <c r="D1996" s="2" t="s">
        <v>1788</v>
      </c>
      <c r="E1996" s="2" t="s">
        <v>48</v>
      </c>
      <c r="F1996" s="2" t="str" cm="1">
        <f t="array" ref="F1996">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1996" s="2" t="str" cm="1">
        <f t="array" ref="G1996">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1996" s="2" t="s">
        <v>98</v>
      </c>
      <c r="I1996" s="2" t="s">
        <v>37</v>
      </c>
      <c r="J1996" s="2">
        <v>2</v>
      </c>
      <c r="K1996" s="8">
        <v>299</v>
      </c>
      <c r="L1996" s="3">
        <v>0.1</v>
      </c>
      <c r="M1996" s="12">
        <f>K1996*L1996</f>
        <v>29.900000000000002</v>
      </c>
      <c r="N1996" s="12">
        <f>K1996*J1996</f>
        <v>598</v>
      </c>
      <c r="O1996" s="12">
        <f>N1996-M1996</f>
        <v>568.1</v>
      </c>
      <c r="P1996" s="2" t="s">
        <v>45</v>
      </c>
      <c r="Q1996" s="2" t="s">
        <v>18</v>
      </c>
      <c r="R1996" s="2">
        <v>80</v>
      </c>
      <c r="S1996" s="20">
        <f>Table1[[#This Row],[Net_revenue]]/Table1[[#This Row],[Gross_revenue]]*100%</f>
        <v>0.95000000000000007</v>
      </c>
      <c r="T1996" s="18">
        <f>COUNTIFS(Table1[Customer ID], "&gt;1", Table1[Customer ID], 1)</f>
        <v>0</v>
      </c>
    </row>
    <row r="1997" spans="1:20" hidden="1" x14ac:dyDescent="0.3">
      <c r="A1997" s="2" t="s">
        <v>2716</v>
      </c>
      <c r="B1997" s="5">
        <v>45829</v>
      </c>
      <c r="C1997" s="5" t="str">
        <f>TEXT(B1997,"mmm")</f>
        <v>Jun</v>
      </c>
      <c r="D1997" s="2" t="s">
        <v>574</v>
      </c>
      <c r="E1997" s="2" t="s">
        <v>120</v>
      </c>
      <c r="F1997" s="2" t="str" cm="1">
        <f t="array" ref="F1997">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97" s="2" t="str" cm="1">
        <f t="array" ref="G1997">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97" s="2" t="s">
        <v>28</v>
      </c>
      <c r="I1997" s="2" t="s">
        <v>29</v>
      </c>
      <c r="J1997" s="2">
        <v>4</v>
      </c>
      <c r="K1997" s="8">
        <v>2799</v>
      </c>
      <c r="L1997" s="3">
        <v>0.05</v>
      </c>
      <c r="M1997" s="12">
        <f>K1997*L1997</f>
        <v>139.95000000000002</v>
      </c>
      <c r="N1997" s="12">
        <f>K1997*J1997</f>
        <v>11196</v>
      </c>
      <c r="O1997" s="12">
        <f>N1997-M1997</f>
        <v>11056.05</v>
      </c>
      <c r="P1997" s="2" t="s">
        <v>45</v>
      </c>
      <c r="Q1997" s="2" t="s">
        <v>18</v>
      </c>
      <c r="R1997" s="2">
        <v>40</v>
      </c>
      <c r="S1997" s="20">
        <f>Table1[[#This Row],[Net_revenue]]/Table1[[#This Row],[Gross_revenue]]*100%</f>
        <v>0.98749999999999993</v>
      </c>
      <c r="T1997" s="18">
        <f>COUNTIFS(Table1[Customer ID], "&gt;1", Table1[Customer ID], 1)</f>
        <v>0</v>
      </c>
    </row>
    <row r="1998" spans="1:20" hidden="1" x14ac:dyDescent="0.3">
      <c r="A1998" s="2" t="s">
        <v>2717</v>
      </c>
      <c r="B1998" s="5">
        <v>45669</v>
      </c>
      <c r="C1998" s="5" t="str">
        <f>TEXT(B1998,"mmm")</f>
        <v>Jan</v>
      </c>
      <c r="D1998" s="2" t="s">
        <v>1449</v>
      </c>
      <c r="E1998" s="2" t="s">
        <v>21</v>
      </c>
      <c r="F1998" s="2" t="str" cm="1">
        <f t="array" ref="F1998">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98" s="2" t="str" cm="1">
        <f t="array" ref="G1998">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98" s="2" t="s">
        <v>217</v>
      </c>
      <c r="I1998" s="2" t="s">
        <v>29</v>
      </c>
      <c r="J1998" s="2">
        <v>1</v>
      </c>
      <c r="K1998" s="8">
        <v>3299</v>
      </c>
      <c r="L1998" s="3">
        <v>0.2</v>
      </c>
      <c r="M1998" s="12">
        <f>K1998*L1998</f>
        <v>659.80000000000007</v>
      </c>
      <c r="N1998" s="12">
        <f>K1998*J1998</f>
        <v>3299</v>
      </c>
      <c r="O1998" s="12">
        <f>N1998-M1998</f>
        <v>2639.2</v>
      </c>
      <c r="P1998" s="2" t="s">
        <v>17</v>
      </c>
      <c r="Q1998" s="2" t="s">
        <v>18</v>
      </c>
      <c r="R1998" s="2">
        <v>80</v>
      </c>
      <c r="S1998" s="20">
        <f>Table1[[#This Row],[Net_revenue]]/Table1[[#This Row],[Gross_revenue]]*100%</f>
        <v>0.79999999999999993</v>
      </c>
      <c r="T1998" s="18">
        <f>COUNTIFS(Table1[Customer ID], "&gt;1", Table1[Customer ID], 1)</f>
        <v>0</v>
      </c>
    </row>
    <row r="1999" spans="1:20" hidden="1" x14ac:dyDescent="0.3">
      <c r="A1999" s="2" t="s">
        <v>2718</v>
      </c>
      <c r="B1999" s="5">
        <v>45766</v>
      </c>
      <c r="C1999" s="5" t="str">
        <f>TEXT(B1999,"mmm")</f>
        <v>Apr</v>
      </c>
      <c r="D1999" s="2" t="s">
        <v>2719</v>
      </c>
      <c r="E1999" s="2" t="s">
        <v>21</v>
      </c>
      <c r="F1999" s="2" t="str" cm="1">
        <f t="array" ref="F1999">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Maharashtra</v>
      </c>
      <c r="G1999" s="2" t="str" cm="1">
        <f t="array" ref="G1999">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West</v>
      </c>
      <c r="H1999" s="2" t="s">
        <v>107</v>
      </c>
      <c r="I1999" s="2" t="s">
        <v>95</v>
      </c>
      <c r="J1999" s="2">
        <v>2</v>
      </c>
      <c r="K1999" s="8">
        <v>1599</v>
      </c>
      <c r="L1999" s="3">
        <v>0.05</v>
      </c>
      <c r="M1999" s="12">
        <f>K1999*L1999</f>
        <v>79.95</v>
      </c>
      <c r="N1999" s="12">
        <f>K1999*J1999</f>
        <v>3198</v>
      </c>
      <c r="O1999" s="12">
        <f>N1999-M1999</f>
        <v>3118.05</v>
      </c>
      <c r="P1999" s="2" t="s">
        <v>45</v>
      </c>
      <c r="Q1999" s="2" t="s">
        <v>18</v>
      </c>
      <c r="R1999" s="2">
        <v>80</v>
      </c>
      <c r="S1999" s="20">
        <f>Table1[[#This Row],[Net_revenue]]/Table1[[#This Row],[Gross_revenue]]*100%</f>
        <v>0.97500000000000009</v>
      </c>
      <c r="T1999" s="18">
        <f>COUNTIFS(Table1[Customer ID], "&gt;1", Table1[Customer ID], 1)</f>
        <v>0</v>
      </c>
    </row>
    <row r="2000" spans="1:20" hidden="1" x14ac:dyDescent="0.3">
      <c r="A2000" s="2" t="s">
        <v>2720</v>
      </c>
      <c r="B2000" s="5">
        <v>45850</v>
      </c>
      <c r="C2000" s="5" t="str">
        <f>TEXT(B2000,"mmm")</f>
        <v>Jul</v>
      </c>
      <c r="D2000" s="2" t="s">
        <v>1355</v>
      </c>
      <c r="E2000" s="2" t="s">
        <v>48</v>
      </c>
      <c r="F2000" s="2" t="str" cm="1">
        <f t="array" ref="F2000">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Karnataka</v>
      </c>
      <c r="G2000" s="2" t="str" cm="1">
        <f t="array" ref="G2000">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South</v>
      </c>
      <c r="H2000" s="2" t="s">
        <v>71</v>
      </c>
      <c r="I2000" s="2" t="s">
        <v>29</v>
      </c>
      <c r="J2000" s="2">
        <v>5</v>
      </c>
      <c r="K2000" s="8">
        <v>5499</v>
      </c>
      <c r="L2000" s="3">
        <v>0.25</v>
      </c>
      <c r="M2000" s="12">
        <f>K2000*L2000</f>
        <v>1374.75</v>
      </c>
      <c r="N2000" s="12">
        <f>K2000*J2000</f>
        <v>27495</v>
      </c>
      <c r="O2000" s="12">
        <f>N2000-M2000</f>
        <v>26120.25</v>
      </c>
      <c r="P2000" s="2" t="s">
        <v>45</v>
      </c>
      <c r="Q2000" s="2" t="s">
        <v>18</v>
      </c>
      <c r="R2000" s="2">
        <v>60</v>
      </c>
      <c r="S2000" s="20">
        <f>Table1[[#This Row],[Net_revenue]]/Table1[[#This Row],[Gross_revenue]]*100%</f>
        <v>0.95</v>
      </c>
      <c r="T2000" s="18">
        <f>COUNTIFS(Table1[Customer ID], "&gt;1", Table1[Customer ID], 1)</f>
        <v>0</v>
      </c>
    </row>
    <row r="2001" spans="1:20" hidden="1" x14ac:dyDescent="0.3">
      <c r="A2001" s="2" t="s">
        <v>2721</v>
      </c>
      <c r="B2001" s="5">
        <v>45982</v>
      </c>
      <c r="C2001" s="5" t="str">
        <f>TEXT(B2001,"mmm")</f>
        <v>Nov</v>
      </c>
      <c r="D2001" s="2" t="s">
        <v>32</v>
      </c>
      <c r="E2001" s="2" t="s">
        <v>14</v>
      </c>
      <c r="F2001" s="2" t="str" cm="1">
        <f t="array" ref="F2001">_xlfn.IFS(OR(Table1[[#This Row],[Customer City]]="Mumbai",Table1[[#This Row],[Customer City]]="Pune"),"Maharashtra",Table1[[#This Row],[Customer City]]="Kolkata","Bengal",Table1[[#This Row],[Customer City]]="Chennai","Tamilnadu",Table1[[#This Row],[Customer City]]="Bengaluru","Karnataka",Table1[[#This Row],[Customer City]]="Lucknow","Utterpradesh",Table1[[#This Row],[Customer City]]="Hyderabad","Telangana",Table1[[#This Row],[Customer City]]="Jaipur","Rajasthan",Table1[[#This Row],[Customer City]]="Ahmedabad","Gujrat",Table1[[#This Row],[Customer City]]="Delhi","Delhi",TRUE,"Unknown")</f>
        <v>Bengal</v>
      </c>
      <c r="G2001" s="2" t="str" cm="1">
        <f t="array" ref="G2001">_xlfn.IFS(OR(Table1[[#This Row],[State]]="Rajasthan",Table1[[#This Row],[State]]="Maharashtra",Table1[[#This Row],[State]]="Gujrat"),"West",Table1[[#This Row],[State]]="Bengal","East",OR(Table1[[#This Row],[State]]="Tamilnadu",Table1[[#This Row],[State]]="Karnataka",Table1[[#This Row],[State]]="Telangana"),"South",OR(Table1[[#This Row],[State]]="Delhi",Table1[[#This Row],[State]]="Utterpradesh"),"North",TRUE,"Unknown region")</f>
        <v>East</v>
      </c>
      <c r="H2001" s="2" t="s">
        <v>117</v>
      </c>
      <c r="I2001" s="2" t="s">
        <v>23</v>
      </c>
      <c r="J2001" s="2">
        <v>3</v>
      </c>
      <c r="K2001" s="8">
        <v>2199</v>
      </c>
      <c r="L2001" s="3">
        <v>0.15</v>
      </c>
      <c r="M2001" s="12">
        <f>K2001*L2001</f>
        <v>329.84999999999997</v>
      </c>
      <c r="N2001" s="12">
        <f>K2001*J2001</f>
        <v>6597</v>
      </c>
      <c r="O2001" s="12">
        <f>N2001-M2001</f>
        <v>6267.15</v>
      </c>
      <c r="P2001" s="2" t="s">
        <v>45</v>
      </c>
      <c r="Q2001" s="2" t="s">
        <v>18</v>
      </c>
      <c r="R2001" s="2">
        <v>0</v>
      </c>
      <c r="S2001" s="20">
        <f>Table1[[#This Row],[Net_revenue]]/Table1[[#This Row],[Gross_revenue]]*100%</f>
        <v>0.95</v>
      </c>
      <c r="T2001" s="18">
        <f>COUNTIFS(Table1[Customer ID], "&gt;1", Table1[Customer ID], 1)</f>
        <v>0</v>
      </c>
    </row>
    <row r="2002" spans="1:20" x14ac:dyDescent="0.3">
      <c r="B2002"/>
      <c r="C2002"/>
      <c r="I2002"/>
      <c r="K2002"/>
      <c r="L2002"/>
      <c r="M2002"/>
    </row>
    <row r="2003" spans="1:20" x14ac:dyDescent="0.3">
      <c r="B2003"/>
      <c r="C2003"/>
      <c r="I2003"/>
      <c r="K2003"/>
      <c r="L2003"/>
      <c r="M2003"/>
    </row>
    <row r="2004" spans="1:20" x14ac:dyDescent="0.3">
      <c r="B2004"/>
      <c r="C2004"/>
      <c r="I2004"/>
      <c r="K2004"/>
      <c r="L2004"/>
      <c r="M2004"/>
    </row>
    <row r="2005" spans="1:20" x14ac:dyDescent="0.3">
      <c r="B2005"/>
      <c r="C2005"/>
      <c r="I2005"/>
      <c r="K2005"/>
      <c r="L2005"/>
      <c r="M2005"/>
    </row>
    <row r="2006" spans="1:20" x14ac:dyDescent="0.3">
      <c r="B2006"/>
      <c r="C2006"/>
      <c r="I2006"/>
      <c r="K2006"/>
      <c r="L2006"/>
      <c r="M2006"/>
    </row>
    <row r="2007" spans="1:20" x14ac:dyDescent="0.3">
      <c r="B2007"/>
      <c r="C2007"/>
      <c r="I2007"/>
      <c r="K2007"/>
      <c r="L2007"/>
      <c r="M2007"/>
    </row>
    <row r="2008" spans="1:20" x14ac:dyDescent="0.3">
      <c r="B2008"/>
      <c r="C2008"/>
      <c r="I2008"/>
      <c r="K2008"/>
      <c r="L2008"/>
      <c r="M2008"/>
    </row>
    <row r="2009" spans="1:20" x14ac:dyDescent="0.3">
      <c r="B2009"/>
      <c r="C2009"/>
      <c r="I2009"/>
      <c r="K2009"/>
      <c r="L2009"/>
      <c r="M2009"/>
    </row>
    <row r="2010" spans="1:20" x14ac:dyDescent="0.3">
      <c r="B2010"/>
      <c r="C2010"/>
      <c r="I2010"/>
      <c r="K2010"/>
      <c r="L2010"/>
      <c r="M2010"/>
    </row>
    <row r="2011" spans="1:20" x14ac:dyDescent="0.3">
      <c r="B2011"/>
      <c r="C2011"/>
      <c r="I2011"/>
      <c r="K2011"/>
      <c r="L2011"/>
      <c r="M2011"/>
    </row>
    <row r="2012" spans="1:20" x14ac:dyDescent="0.3">
      <c r="B2012"/>
      <c r="C2012"/>
      <c r="I2012"/>
      <c r="K2012"/>
      <c r="L2012"/>
      <c r="M2012"/>
    </row>
    <row r="2013" spans="1:20" x14ac:dyDescent="0.3">
      <c r="B2013"/>
      <c r="C2013"/>
      <c r="I2013"/>
      <c r="K2013"/>
      <c r="L2013"/>
      <c r="M2013"/>
    </row>
    <row r="2014" spans="1:20" x14ac:dyDescent="0.3">
      <c r="B2014"/>
      <c r="C2014"/>
      <c r="I2014"/>
      <c r="K2014"/>
      <c r="L2014"/>
      <c r="M2014"/>
    </row>
    <row r="2015" spans="1:20" x14ac:dyDescent="0.3">
      <c r="B2015"/>
      <c r="C2015"/>
      <c r="I2015"/>
      <c r="K2015"/>
      <c r="L2015"/>
      <c r="M2015"/>
    </row>
    <row r="2016" spans="1:20" x14ac:dyDescent="0.3">
      <c r="B2016"/>
      <c r="C2016"/>
      <c r="I2016"/>
      <c r="K2016"/>
      <c r="L2016"/>
      <c r="M2016"/>
    </row>
    <row r="2017" spans="1:16" x14ac:dyDescent="0.3">
      <c r="A2017" s="2"/>
      <c r="B2017" s="5"/>
      <c r="C2017" s="5"/>
      <c r="D2017" s="2"/>
      <c r="E2017" s="2"/>
      <c r="F2017" s="2"/>
      <c r="G2017" s="2"/>
      <c r="H2017" s="2"/>
      <c r="I2017" s="8"/>
      <c r="J2017" s="3"/>
      <c r="K2017" s="12"/>
      <c r="L2017" s="12"/>
      <c r="M2017" s="12"/>
      <c r="N2017" s="2"/>
      <c r="O2017" s="2"/>
      <c r="P2017" s="2"/>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F738-4AB3-494A-A5BF-02FF355267E4}">
  <dimension ref="A1:N58"/>
  <sheetViews>
    <sheetView showGridLines="0" zoomScale="61" zoomScaleNormal="61" workbookViewId="0">
      <selection activeCell="B33" sqref="B33"/>
    </sheetView>
  </sheetViews>
  <sheetFormatPr defaultRowHeight="14.4" x14ac:dyDescent="0.3"/>
  <cols>
    <col min="2" max="2" width="27.6640625" customWidth="1"/>
    <col min="4" max="4" width="12.77734375" customWidth="1"/>
    <col min="6" max="6" width="14.6640625" customWidth="1"/>
    <col min="12" max="12" width="11.88671875" customWidth="1"/>
    <col min="14" max="14" width="27.44140625" customWidth="1"/>
  </cols>
  <sheetData>
    <row r="1" spans="1:14" x14ac:dyDescent="0.3">
      <c r="A1" s="44" t="s">
        <v>2755</v>
      </c>
      <c r="B1" s="44"/>
      <c r="C1" s="44"/>
      <c r="D1" s="44"/>
      <c r="E1" s="44"/>
      <c r="F1" s="44"/>
      <c r="G1" s="44"/>
      <c r="H1" s="44"/>
      <c r="I1" s="44"/>
      <c r="J1" s="44"/>
      <c r="K1" s="44"/>
      <c r="L1" s="44"/>
      <c r="M1" s="44"/>
      <c r="N1" s="44"/>
    </row>
    <row r="2" spans="1:14" x14ac:dyDescent="0.3">
      <c r="A2" s="44"/>
      <c r="B2" s="44"/>
      <c r="C2" s="44"/>
      <c r="D2" s="44"/>
      <c r="E2" s="44"/>
      <c r="F2" s="44"/>
      <c r="G2" s="44"/>
      <c r="H2" s="44"/>
      <c r="I2" s="44"/>
      <c r="J2" s="44"/>
      <c r="K2" s="44"/>
      <c r="L2" s="44"/>
      <c r="M2" s="44"/>
      <c r="N2" s="44"/>
    </row>
    <row r="3" spans="1:14" x14ac:dyDescent="0.3">
      <c r="A3" s="44"/>
      <c r="B3" s="44"/>
      <c r="C3" s="44"/>
      <c r="D3" s="44"/>
      <c r="E3" s="44"/>
      <c r="F3" s="44"/>
      <c r="G3" s="44"/>
      <c r="H3" s="44"/>
      <c r="I3" s="44"/>
      <c r="J3" s="44"/>
      <c r="K3" s="44"/>
      <c r="L3" s="44"/>
      <c r="M3" s="44"/>
      <c r="N3" s="44"/>
    </row>
    <row r="4" spans="1:14" x14ac:dyDescent="0.3">
      <c r="A4" s="17"/>
      <c r="B4" s="17"/>
      <c r="C4" s="17"/>
      <c r="D4" s="17"/>
      <c r="E4" s="17"/>
      <c r="F4" s="17"/>
      <c r="G4" s="17"/>
      <c r="H4" s="17"/>
      <c r="I4" s="17"/>
      <c r="J4" s="17"/>
      <c r="K4" s="17"/>
      <c r="L4" s="17"/>
      <c r="M4" s="17"/>
      <c r="N4" s="17"/>
    </row>
    <row r="5" spans="1:14" ht="12.6" customHeight="1" thickBot="1" x14ac:dyDescent="0.35">
      <c r="A5" s="17"/>
      <c r="B5" s="17"/>
      <c r="C5" s="17"/>
      <c r="D5" s="17"/>
      <c r="E5" s="17"/>
      <c r="F5" s="17"/>
      <c r="G5" s="17"/>
      <c r="H5" s="17"/>
      <c r="I5" s="17"/>
      <c r="J5" s="17"/>
      <c r="K5" s="17"/>
      <c r="L5" s="17"/>
      <c r="M5" s="17"/>
      <c r="N5" s="17"/>
    </row>
    <row r="6" spans="1:14" ht="18.600000000000001" thickBot="1" x14ac:dyDescent="0.4">
      <c r="A6" s="22" t="s">
        <v>2732</v>
      </c>
      <c r="B6" s="23"/>
      <c r="C6" s="23" t="s">
        <v>2726</v>
      </c>
      <c r="D6" s="23"/>
      <c r="E6" s="24" t="s">
        <v>2731</v>
      </c>
      <c r="F6" s="24"/>
      <c r="G6" s="23" t="s">
        <v>2727</v>
      </c>
      <c r="H6" s="23"/>
      <c r="I6" s="23" t="s">
        <v>2728</v>
      </c>
      <c r="J6" s="23"/>
      <c r="K6" s="23" t="s">
        <v>2733</v>
      </c>
      <c r="L6" s="23"/>
      <c r="M6" s="23" t="s">
        <v>2729</v>
      </c>
      <c r="N6" s="25"/>
    </row>
    <row r="7" spans="1:14" x14ac:dyDescent="0.3">
      <c r="A7" s="38">
        <v>5906571.349999981</v>
      </c>
      <c r="B7" s="39"/>
      <c r="C7" s="34">
        <v>2015</v>
      </c>
      <c r="D7" s="35"/>
      <c r="E7" s="38">
        <v>2931.3009181141347</v>
      </c>
      <c r="F7" s="39"/>
      <c r="G7" s="34">
        <v>3460</v>
      </c>
      <c r="H7" s="35"/>
      <c r="I7" s="26">
        <v>9.9255583126550875E-2</v>
      </c>
      <c r="J7" s="27"/>
      <c r="K7" s="26">
        <f>'category return'!L5</f>
        <v>5.0620347394540945E-2</v>
      </c>
      <c r="L7" s="27"/>
      <c r="M7" s="30"/>
      <c r="N7" s="31"/>
    </row>
    <row r="8" spans="1:14" ht="15" thickBot="1" x14ac:dyDescent="0.35">
      <c r="A8" s="40"/>
      <c r="B8" s="41"/>
      <c r="C8" s="36"/>
      <c r="D8" s="37"/>
      <c r="E8" s="40"/>
      <c r="F8" s="41"/>
      <c r="G8" s="36"/>
      <c r="H8" s="37"/>
      <c r="I8" s="28"/>
      <c r="J8" s="29"/>
      <c r="K8" s="28"/>
      <c r="L8" s="29"/>
      <c r="M8" s="32"/>
      <c r="N8" s="33"/>
    </row>
    <row r="9" spans="1:14" x14ac:dyDescent="0.3">
      <c r="A9" s="17"/>
      <c r="B9" s="17"/>
      <c r="C9" s="17"/>
      <c r="D9" s="17"/>
      <c r="E9" s="17"/>
      <c r="F9" s="17"/>
      <c r="G9" s="17"/>
      <c r="H9" s="17"/>
      <c r="I9" s="17"/>
      <c r="J9" s="17"/>
      <c r="K9" s="17"/>
      <c r="L9" s="17"/>
      <c r="M9" s="17"/>
      <c r="N9" s="17"/>
    </row>
    <row r="10" spans="1:14" x14ac:dyDescent="0.3">
      <c r="A10" s="17"/>
      <c r="B10" s="17"/>
      <c r="C10" s="17"/>
      <c r="D10" s="17"/>
      <c r="E10" s="17"/>
      <c r="F10" s="17"/>
      <c r="G10" s="17"/>
      <c r="H10" s="17"/>
      <c r="I10" s="17"/>
      <c r="J10" s="17"/>
      <c r="K10" s="17"/>
      <c r="L10" s="17"/>
      <c r="M10" s="17"/>
      <c r="N10" s="17"/>
    </row>
    <row r="11" spans="1:14" ht="15" thickBot="1" x14ac:dyDescent="0.35">
      <c r="A11" s="17"/>
      <c r="B11" s="17"/>
      <c r="C11" s="17"/>
      <c r="D11" s="17"/>
      <c r="E11" s="17"/>
      <c r="F11" s="17"/>
      <c r="G11" s="17"/>
      <c r="H11" s="17"/>
      <c r="I11" s="17"/>
      <c r="J11" s="17"/>
      <c r="K11" s="17"/>
      <c r="L11" s="17"/>
      <c r="M11" s="17"/>
      <c r="N11" s="17"/>
    </row>
    <row r="12" spans="1:14" ht="18.600000000000001" thickBot="1" x14ac:dyDescent="0.4">
      <c r="A12" s="22" t="s">
        <v>2730</v>
      </c>
      <c r="B12" s="23"/>
      <c r="C12" s="22" t="s">
        <v>2734</v>
      </c>
      <c r="D12" s="23"/>
      <c r="E12" s="22" t="s">
        <v>2735</v>
      </c>
      <c r="F12" s="25"/>
      <c r="G12" s="17"/>
      <c r="H12" s="17"/>
      <c r="I12" s="17"/>
      <c r="J12" s="17"/>
      <c r="K12" s="17"/>
      <c r="L12" s="17"/>
      <c r="M12" s="17"/>
      <c r="N12" s="17"/>
    </row>
    <row r="13" spans="1:14" ht="14.4" customHeight="1" x14ac:dyDescent="0.3">
      <c r="A13" s="26">
        <f>AVERAGE(Raw_Data!L2:L2001)</f>
        <v>0.10752499999999965</v>
      </c>
      <c r="B13" s="27"/>
      <c r="C13" s="34" t="s">
        <v>2768</v>
      </c>
      <c r="D13" s="35"/>
      <c r="E13" s="34" t="s">
        <v>2757</v>
      </c>
      <c r="F13" s="35"/>
      <c r="G13" s="17"/>
      <c r="H13" s="17"/>
      <c r="I13" s="17"/>
      <c r="J13" s="17"/>
      <c r="K13" s="17"/>
      <c r="L13" s="17"/>
      <c r="M13" s="17"/>
      <c r="N13" s="17"/>
    </row>
    <row r="14" spans="1:14" ht="15" customHeight="1" thickBot="1" x14ac:dyDescent="0.35">
      <c r="A14" s="28"/>
      <c r="B14" s="29"/>
      <c r="C14" s="36"/>
      <c r="D14" s="37"/>
      <c r="E14" s="36"/>
      <c r="F14" s="37"/>
      <c r="G14" s="17"/>
      <c r="H14" s="17"/>
      <c r="I14" s="17"/>
      <c r="J14" s="17"/>
      <c r="K14" s="17"/>
      <c r="L14" s="17"/>
      <c r="M14" s="17"/>
      <c r="N14" s="17"/>
    </row>
    <row r="15" spans="1:14" x14ac:dyDescent="0.3">
      <c r="A15" s="17"/>
      <c r="B15" s="17"/>
      <c r="C15" s="17"/>
      <c r="D15" s="17"/>
      <c r="E15" s="17"/>
      <c r="F15" s="17"/>
      <c r="G15" s="17"/>
      <c r="H15" s="17"/>
      <c r="I15" s="17"/>
      <c r="J15" s="17"/>
      <c r="K15" s="17"/>
      <c r="L15" s="17"/>
      <c r="M15" s="17"/>
      <c r="N15" s="17"/>
    </row>
    <row r="16" spans="1:14" x14ac:dyDescent="0.3">
      <c r="A16" s="17"/>
      <c r="B16" s="17"/>
      <c r="C16" s="17"/>
      <c r="D16" s="17"/>
      <c r="E16" s="17"/>
      <c r="F16" s="17"/>
      <c r="G16" s="17"/>
      <c r="H16" s="17"/>
      <c r="I16" s="17"/>
      <c r="J16" s="17"/>
      <c r="K16" s="17"/>
      <c r="L16" s="17"/>
      <c r="M16" s="17"/>
      <c r="N16" s="17"/>
    </row>
    <row r="17" spans="1:14" x14ac:dyDescent="0.3">
      <c r="A17" s="17"/>
      <c r="B17" s="17"/>
      <c r="C17" s="17"/>
      <c r="D17" s="17"/>
      <c r="E17" s="17"/>
      <c r="F17" s="17"/>
      <c r="G17" s="17"/>
      <c r="H17" s="17"/>
      <c r="I17" s="17"/>
      <c r="J17" s="17"/>
      <c r="K17" s="17"/>
      <c r="L17" s="17"/>
      <c r="M17" s="17"/>
      <c r="N17" s="17"/>
    </row>
    <row r="18" spans="1:14" x14ac:dyDescent="0.3">
      <c r="A18" s="17"/>
      <c r="B18" s="17"/>
      <c r="C18" s="17"/>
      <c r="D18" s="17"/>
      <c r="E18" s="17"/>
      <c r="F18" s="17"/>
      <c r="G18" s="17"/>
      <c r="H18" s="17"/>
      <c r="I18" s="17"/>
      <c r="J18" s="17"/>
      <c r="K18" s="17"/>
      <c r="L18" s="17"/>
      <c r="M18" s="17"/>
      <c r="N18" s="17"/>
    </row>
    <row r="19" spans="1:14" x14ac:dyDescent="0.3">
      <c r="A19" s="17"/>
      <c r="B19" s="17"/>
      <c r="C19" s="17"/>
      <c r="D19" s="17"/>
      <c r="E19" s="17"/>
      <c r="F19" s="17"/>
      <c r="G19" s="17"/>
      <c r="H19" s="17"/>
      <c r="I19" s="17"/>
      <c r="J19" s="17"/>
      <c r="K19" s="17"/>
      <c r="L19" s="17"/>
      <c r="M19" s="17"/>
      <c r="N19" s="17"/>
    </row>
    <row r="20" spans="1:14" x14ac:dyDescent="0.3">
      <c r="A20" s="17"/>
      <c r="B20" s="17"/>
      <c r="C20" s="17"/>
      <c r="D20" s="17"/>
      <c r="E20" s="17"/>
      <c r="F20" s="17"/>
      <c r="G20" s="17"/>
      <c r="H20" s="17"/>
      <c r="I20" s="17"/>
      <c r="J20" s="17"/>
      <c r="K20" s="17"/>
      <c r="L20" s="17"/>
      <c r="M20" s="17"/>
      <c r="N20" s="17"/>
    </row>
    <row r="21" spans="1:14" x14ac:dyDescent="0.3">
      <c r="A21" s="17"/>
      <c r="B21" s="17"/>
      <c r="C21" s="17"/>
      <c r="D21" s="17"/>
      <c r="E21" s="17"/>
      <c r="F21" s="17"/>
      <c r="G21" s="17"/>
      <c r="H21" s="17"/>
      <c r="I21" s="17"/>
      <c r="J21" s="17"/>
      <c r="K21" s="17"/>
      <c r="L21" s="17"/>
      <c r="M21" s="17"/>
      <c r="N21" s="17"/>
    </row>
    <row r="22" spans="1:14" x14ac:dyDescent="0.3">
      <c r="A22" s="17"/>
      <c r="B22" s="17"/>
      <c r="C22" s="17"/>
      <c r="D22" s="17"/>
      <c r="E22" s="17"/>
      <c r="F22" s="17"/>
      <c r="G22" s="17"/>
      <c r="H22" s="17"/>
      <c r="I22" s="17"/>
      <c r="J22" s="17"/>
      <c r="K22" s="17"/>
      <c r="L22" s="17"/>
      <c r="M22" s="17"/>
      <c r="N22" s="17"/>
    </row>
    <row r="23" spans="1:14" x14ac:dyDescent="0.3">
      <c r="A23" s="17"/>
      <c r="B23" s="17"/>
      <c r="C23" s="17"/>
      <c r="D23" s="17"/>
      <c r="E23" s="17"/>
      <c r="F23" s="17"/>
      <c r="G23" s="17"/>
      <c r="H23" s="17"/>
      <c r="I23" s="17"/>
      <c r="J23" s="17"/>
      <c r="K23" s="17"/>
      <c r="L23" s="17"/>
      <c r="M23" s="17"/>
      <c r="N23" s="17"/>
    </row>
    <row r="24" spans="1:14" x14ac:dyDescent="0.3">
      <c r="A24" s="17"/>
      <c r="B24" s="17"/>
      <c r="C24" s="17"/>
      <c r="D24" s="17"/>
      <c r="E24" s="17"/>
      <c r="F24" s="17"/>
      <c r="G24" s="17"/>
      <c r="H24" s="17"/>
      <c r="I24" s="17"/>
      <c r="J24" s="17"/>
      <c r="K24" s="17"/>
      <c r="L24" s="17"/>
      <c r="M24" s="17"/>
      <c r="N24" s="17"/>
    </row>
    <row r="25" spans="1:14" x14ac:dyDescent="0.3">
      <c r="A25" s="17"/>
      <c r="B25" s="17"/>
      <c r="C25" s="17"/>
      <c r="D25" s="17"/>
      <c r="E25" s="17"/>
      <c r="F25" s="17"/>
      <c r="G25" s="17"/>
      <c r="H25" s="17"/>
      <c r="I25" s="17"/>
      <c r="J25" s="17"/>
      <c r="K25" s="17"/>
      <c r="L25" s="17"/>
      <c r="M25" s="17"/>
      <c r="N25" s="17"/>
    </row>
    <row r="26" spans="1:14" x14ac:dyDescent="0.3">
      <c r="A26" s="17"/>
      <c r="B26" s="17"/>
      <c r="C26" s="17"/>
      <c r="D26" s="17"/>
      <c r="E26" s="17"/>
      <c r="F26" s="17"/>
      <c r="G26" s="17"/>
      <c r="H26" s="17"/>
      <c r="I26" s="17"/>
      <c r="J26" s="17"/>
      <c r="K26" s="17"/>
      <c r="L26" s="17"/>
      <c r="M26" s="17"/>
      <c r="N26" s="17"/>
    </row>
    <row r="27" spans="1:14" x14ac:dyDescent="0.3">
      <c r="A27" s="17"/>
      <c r="B27" s="17"/>
      <c r="C27" s="17"/>
      <c r="D27" s="17"/>
      <c r="E27" s="17"/>
      <c r="F27" s="17"/>
      <c r="G27" s="17"/>
      <c r="H27" s="17"/>
      <c r="I27" s="17"/>
      <c r="J27" s="17"/>
      <c r="K27" s="17"/>
      <c r="L27" s="17"/>
      <c r="M27" s="17"/>
      <c r="N27" s="17"/>
    </row>
    <row r="28" spans="1:14" x14ac:dyDescent="0.3">
      <c r="A28" s="17"/>
      <c r="B28" s="17"/>
      <c r="C28" s="17"/>
      <c r="D28" s="17"/>
      <c r="E28" s="17"/>
      <c r="F28" s="17"/>
      <c r="G28" s="17"/>
      <c r="H28" s="17"/>
      <c r="I28" s="17"/>
      <c r="J28" s="17"/>
      <c r="K28" s="17"/>
      <c r="L28" s="17"/>
      <c r="M28" s="17"/>
      <c r="N28" s="17"/>
    </row>
    <row r="29" spans="1:14" x14ac:dyDescent="0.3">
      <c r="A29" s="17"/>
      <c r="B29" s="17"/>
      <c r="C29" s="17"/>
      <c r="D29" s="17"/>
      <c r="E29" s="17"/>
      <c r="F29" s="17"/>
      <c r="G29" s="17"/>
      <c r="H29" s="17"/>
      <c r="I29" s="17"/>
      <c r="J29" s="17"/>
      <c r="K29" s="17"/>
      <c r="L29" s="17"/>
      <c r="M29" s="17"/>
      <c r="N29" s="17"/>
    </row>
    <row r="30" spans="1:14" x14ac:dyDescent="0.3">
      <c r="A30" s="17"/>
      <c r="B30" s="17"/>
      <c r="C30" s="17"/>
      <c r="D30" s="17"/>
      <c r="E30" s="17"/>
      <c r="F30" s="17"/>
      <c r="G30" s="17"/>
      <c r="H30" s="17"/>
      <c r="I30" s="17"/>
      <c r="J30" s="17"/>
      <c r="K30" s="17"/>
      <c r="L30" s="17"/>
      <c r="M30" s="17"/>
      <c r="N30" s="17"/>
    </row>
    <row r="31" spans="1:14" x14ac:dyDescent="0.3">
      <c r="A31" s="17"/>
      <c r="B31" s="17"/>
      <c r="C31" s="17"/>
      <c r="D31" s="17"/>
      <c r="E31" s="17"/>
      <c r="F31" s="17"/>
      <c r="G31" s="17"/>
      <c r="H31" s="17"/>
      <c r="I31" s="17"/>
      <c r="J31" s="17"/>
      <c r="K31" s="17"/>
      <c r="L31" s="17"/>
      <c r="M31" s="17"/>
      <c r="N31" s="17"/>
    </row>
    <row r="32" spans="1:14" x14ac:dyDescent="0.3">
      <c r="A32" s="17"/>
      <c r="B32" s="17"/>
      <c r="C32" s="17"/>
      <c r="D32" s="17"/>
      <c r="E32" s="17"/>
      <c r="F32" s="17"/>
      <c r="G32" s="17"/>
      <c r="H32" s="17"/>
      <c r="I32" s="17"/>
      <c r="J32" s="17"/>
      <c r="K32" s="17"/>
      <c r="L32" s="17"/>
      <c r="M32" s="17"/>
      <c r="N32" s="17"/>
    </row>
    <row r="33" spans="1:14" x14ac:dyDescent="0.3">
      <c r="A33" s="17"/>
      <c r="B33" s="17"/>
      <c r="C33" s="17"/>
      <c r="D33" s="17"/>
      <c r="E33" s="17"/>
      <c r="F33" s="17"/>
      <c r="G33" s="17"/>
      <c r="H33" s="17"/>
      <c r="I33" s="17"/>
      <c r="J33" s="17"/>
      <c r="K33" s="17"/>
      <c r="L33" s="17"/>
      <c r="M33" s="17"/>
      <c r="N33" s="17"/>
    </row>
    <row r="34" spans="1:14" x14ac:dyDescent="0.3">
      <c r="A34" s="17"/>
      <c r="B34" s="17"/>
      <c r="C34" s="17"/>
      <c r="D34" s="17"/>
      <c r="E34" s="17"/>
      <c r="F34" s="17"/>
      <c r="G34" s="17"/>
      <c r="H34" s="17"/>
      <c r="I34" s="17"/>
      <c r="J34" s="17"/>
      <c r="K34" s="17"/>
      <c r="L34" s="17"/>
      <c r="M34" s="17"/>
      <c r="N34" s="17"/>
    </row>
    <row r="35" spans="1:14" x14ac:dyDescent="0.3">
      <c r="A35" s="17"/>
      <c r="B35" s="17"/>
      <c r="C35" s="17"/>
      <c r="D35" s="17"/>
      <c r="E35" s="17"/>
      <c r="F35" s="17"/>
      <c r="G35" s="17"/>
      <c r="H35" s="17"/>
      <c r="I35" s="17"/>
      <c r="J35" s="17"/>
      <c r="K35" s="17"/>
      <c r="L35" s="17"/>
      <c r="M35" s="17"/>
      <c r="N35" s="17"/>
    </row>
    <row r="36" spans="1:14" x14ac:dyDescent="0.3">
      <c r="A36" s="17"/>
      <c r="B36" s="17"/>
      <c r="C36" s="17"/>
      <c r="D36" s="17"/>
      <c r="E36" s="17"/>
      <c r="F36" s="17"/>
      <c r="G36" s="17"/>
      <c r="H36" s="17"/>
      <c r="I36" s="17"/>
      <c r="J36" s="17"/>
      <c r="K36" s="17"/>
      <c r="L36" s="17"/>
      <c r="M36" s="17"/>
      <c r="N36" s="17"/>
    </row>
    <row r="37" spans="1:14" x14ac:dyDescent="0.3">
      <c r="A37" s="17"/>
      <c r="B37" s="17"/>
      <c r="C37" s="17"/>
      <c r="D37" s="17"/>
      <c r="E37" s="17"/>
      <c r="F37" s="17"/>
      <c r="G37" s="17"/>
      <c r="H37" s="17"/>
      <c r="I37" s="17"/>
      <c r="J37" s="17"/>
      <c r="K37" s="17"/>
      <c r="L37" s="17"/>
      <c r="M37" s="17"/>
      <c r="N37" s="17"/>
    </row>
    <row r="38" spans="1:14" x14ac:dyDescent="0.3">
      <c r="A38" s="17"/>
      <c r="B38" s="17"/>
      <c r="C38" s="17"/>
      <c r="D38" s="17"/>
      <c r="E38" s="17"/>
      <c r="F38" s="17"/>
      <c r="G38" s="17"/>
      <c r="H38" s="17"/>
      <c r="I38" s="17"/>
      <c r="J38" s="17"/>
      <c r="K38" s="17"/>
      <c r="L38" s="17"/>
      <c r="M38" s="17"/>
      <c r="N38" s="17"/>
    </row>
    <row r="39" spans="1:14" x14ac:dyDescent="0.3">
      <c r="A39" s="17"/>
      <c r="B39" s="17"/>
      <c r="C39" s="17"/>
      <c r="D39" s="17"/>
      <c r="E39" s="17"/>
      <c r="F39" s="17"/>
      <c r="G39" s="17"/>
      <c r="H39" s="17"/>
      <c r="I39" s="17"/>
      <c r="J39" s="17"/>
      <c r="K39" s="17"/>
      <c r="L39" s="17"/>
      <c r="M39" s="17"/>
      <c r="N39" s="17"/>
    </row>
    <row r="40" spans="1:14" x14ac:dyDescent="0.3">
      <c r="A40" s="17"/>
      <c r="B40" s="17"/>
      <c r="C40" s="17"/>
      <c r="D40" s="17"/>
      <c r="E40" s="17"/>
      <c r="F40" s="17"/>
      <c r="G40" s="17"/>
      <c r="H40" s="17"/>
      <c r="I40" s="17"/>
      <c r="J40" s="17"/>
      <c r="K40" s="17"/>
      <c r="L40" s="17"/>
      <c r="M40" s="17"/>
      <c r="N40" s="17"/>
    </row>
    <row r="41" spans="1:14" x14ac:dyDescent="0.3">
      <c r="A41" s="17"/>
      <c r="B41" s="17"/>
      <c r="C41" s="17"/>
      <c r="D41" s="17"/>
      <c r="E41" s="17"/>
      <c r="F41" s="17"/>
      <c r="G41" s="17"/>
      <c r="H41" s="17"/>
      <c r="I41" s="17"/>
      <c r="J41" s="17"/>
      <c r="K41" s="17"/>
      <c r="L41" s="17"/>
      <c r="M41" s="17"/>
      <c r="N41" s="17"/>
    </row>
    <row r="42" spans="1:14" x14ac:dyDescent="0.3">
      <c r="A42" s="17"/>
      <c r="B42" s="17"/>
      <c r="C42" s="17"/>
      <c r="D42" s="17"/>
      <c r="E42" s="17"/>
      <c r="F42" s="17"/>
      <c r="G42" s="17"/>
      <c r="H42" s="17"/>
      <c r="I42" s="17"/>
      <c r="J42" s="17"/>
      <c r="K42" s="17"/>
      <c r="L42" s="17"/>
      <c r="M42" s="17"/>
      <c r="N42" s="17"/>
    </row>
    <row r="43" spans="1:14" x14ac:dyDescent="0.3">
      <c r="A43" s="17"/>
      <c r="B43" s="17"/>
      <c r="C43" s="17"/>
      <c r="D43" s="17"/>
      <c r="E43" s="17"/>
      <c r="F43" s="17"/>
      <c r="G43" s="17"/>
      <c r="H43" s="17"/>
      <c r="I43" s="17"/>
      <c r="J43" s="17"/>
      <c r="K43" s="17"/>
      <c r="L43" s="17"/>
      <c r="M43" s="17"/>
      <c r="N43" s="17"/>
    </row>
    <row r="44" spans="1:14" x14ac:dyDescent="0.3">
      <c r="A44" s="17"/>
      <c r="B44" s="17"/>
      <c r="C44" s="17"/>
      <c r="D44" s="17"/>
      <c r="E44" s="17"/>
      <c r="F44" s="17"/>
      <c r="G44" s="17"/>
      <c r="H44" s="17"/>
      <c r="I44" s="17"/>
      <c r="J44" s="17"/>
      <c r="K44" s="17"/>
      <c r="L44" s="17"/>
      <c r="M44" s="17"/>
      <c r="N44" s="17"/>
    </row>
    <row r="45" spans="1:14" x14ac:dyDescent="0.3">
      <c r="A45" s="17"/>
      <c r="B45" s="17"/>
      <c r="C45" s="17"/>
      <c r="D45" s="17"/>
      <c r="E45" s="17"/>
      <c r="F45" s="17"/>
      <c r="G45" s="17"/>
      <c r="H45" s="17"/>
      <c r="I45" s="17"/>
      <c r="J45" s="17"/>
      <c r="K45" s="17"/>
      <c r="L45" s="17"/>
      <c r="M45" s="17"/>
      <c r="N45" s="17"/>
    </row>
    <row r="46" spans="1:14" x14ac:dyDescent="0.3">
      <c r="A46" s="17"/>
      <c r="B46" s="17"/>
      <c r="C46" s="17"/>
      <c r="D46" s="17"/>
      <c r="E46" s="17"/>
      <c r="F46" s="17"/>
      <c r="G46" s="17"/>
      <c r="H46" s="17"/>
      <c r="I46" s="17"/>
      <c r="J46" s="17"/>
      <c r="K46" s="17"/>
      <c r="L46" s="17"/>
      <c r="M46" s="17"/>
      <c r="N46" s="17"/>
    </row>
    <row r="47" spans="1:14" x14ac:dyDescent="0.3">
      <c r="A47" s="17"/>
      <c r="B47" s="17"/>
      <c r="C47" s="17"/>
      <c r="D47" s="17"/>
      <c r="E47" s="17"/>
      <c r="F47" s="17"/>
      <c r="G47" s="17"/>
      <c r="H47" s="17"/>
      <c r="I47" s="17"/>
      <c r="J47" s="17"/>
      <c r="K47" s="17"/>
      <c r="L47" s="17"/>
      <c r="M47" s="17"/>
      <c r="N47" s="17"/>
    </row>
    <row r="48" spans="1:14" x14ac:dyDescent="0.3">
      <c r="A48" s="17"/>
      <c r="B48" s="17"/>
      <c r="C48" s="17"/>
      <c r="D48" s="17"/>
      <c r="E48" s="17"/>
      <c r="F48" s="17"/>
      <c r="G48" s="17"/>
      <c r="H48" s="17"/>
      <c r="I48" s="17"/>
      <c r="J48" s="17"/>
      <c r="K48" s="17"/>
      <c r="L48" s="17"/>
      <c r="M48" s="17"/>
      <c r="N48" s="17"/>
    </row>
    <row r="49" spans="1:14" x14ac:dyDescent="0.3">
      <c r="A49" s="17"/>
      <c r="B49" s="17"/>
      <c r="C49" s="17"/>
      <c r="D49" s="17"/>
      <c r="E49" s="17"/>
      <c r="F49" s="17"/>
      <c r="G49" s="17"/>
      <c r="H49" s="17"/>
      <c r="I49" s="17"/>
      <c r="J49" s="17"/>
      <c r="K49" s="17"/>
      <c r="L49" s="17"/>
      <c r="M49" s="17"/>
      <c r="N49" s="17"/>
    </row>
    <row r="50" spans="1:14" x14ac:dyDescent="0.3">
      <c r="A50" s="17"/>
      <c r="B50" s="17"/>
      <c r="C50" s="17"/>
      <c r="D50" s="17"/>
      <c r="E50" s="17"/>
      <c r="F50" s="17"/>
      <c r="G50" s="17"/>
      <c r="H50" s="17"/>
      <c r="I50" s="17"/>
      <c r="J50" s="17"/>
      <c r="K50" s="17"/>
      <c r="L50" s="17"/>
      <c r="M50" s="17"/>
      <c r="N50" s="17"/>
    </row>
    <row r="51" spans="1:14" x14ac:dyDescent="0.3">
      <c r="A51" s="17"/>
      <c r="B51" s="17"/>
      <c r="C51" s="17"/>
      <c r="D51" s="17"/>
      <c r="E51" s="17"/>
      <c r="F51" s="17"/>
      <c r="G51" s="17"/>
      <c r="H51" s="17"/>
      <c r="I51" s="17"/>
      <c r="J51" s="17"/>
      <c r="K51" s="17"/>
      <c r="L51" s="17"/>
      <c r="M51" s="17"/>
      <c r="N51" s="17"/>
    </row>
    <row r="52" spans="1:14" x14ac:dyDescent="0.3">
      <c r="A52" s="17"/>
      <c r="B52" s="17"/>
      <c r="C52" s="17"/>
      <c r="D52" s="17"/>
      <c r="E52" s="17"/>
      <c r="F52" s="17"/>
      <c r="G52" s="17"/>
      <c r="H52" s="17"/>
      <c r="I52" s="17"/>
      <c r="J52" s="17"/>
      <c r="K52" s="17"/>
      <c r="L52" s="17"/>
      <c r="M52" s="17"/>
      <c r="N52" s="17"/>
    </row>
    <row r="53" spans="1:14" x14ac:dyDescent="0.3">
      <c r="A53" s="17"/>
      <c r="B53" s="17"/>
      <c r="C53" s="17"/>
      <c r="D53" s="17"/>
      <c r="E53" s="17"/>
      <c r="F53" s="17"/>
      <c r="G53" s="17"/>
      <c r="H53" s="17"/>
      <c r="I53" s="17"/>
      <c r="J53" s="17"/>
      <c r="K53" s="17"/>
      <c r="L53" s="17"/>
      <c r="M53" s="17"/>
      <c r="N53" s="17"/>
    </row>
    <row r="54" spans="1:14" x14ac:dyDescent="0.3">
      <c r="A54" s="17"/>
      <c r="B54" s="17"/>
      <c r="C54" s="17"/>
      <c r="D54" s="17"/>
      <c r="E54" s="17"/>
      <c r="F54" s="17"/>
      <c r="G54" s="17"/>
      <c r="H54" s="17"/>
      <c r="I54" s="17"/>
      <c r="J54" s="17"/>
      <c r="K54" s="17"/>
      <c r="L54" s="17"/>
      <c r="M54" s="17"/>
      <c r="N54" s="17"/>
    </row>
    <row r="55" spans="1:14" x14ac:dyDescent="0.3">
      <c r="A55" s="17"/>
      <c r="B55" s="17"/>
      <c r="C55" s="17"/>
      <c r="D55" s="17"/>
      <c r="E55" s="17"/>
      <c r="F55" s="17"/>
      <c r="G55" s="17"/>
      <c r="H55" s="17"/>
      <c r="I55" s="17"/>
      <c r="J55" s="17"/>
      <c r="K55" s="17"/>
      <c r="L55" s="17"/>
      <c r="M55" s="17"/>
      <c r="N55" s="17"/>
    </row>
    <row r="56" spans="1:14" x14ac:dyDescent="0.3">
      <c r="A56" s="17"/>
      <c r="B56" s="17"/>
      <c r="C56" s="17"/>
      <c r="D56" s="17"/>
      <c r="E56" s="17"/>
      <c r="F56" s="17"/>
      <c r="G56" s="17"/>
      <c r="H56" s="17"/>
      <c r="I56" s="17"/>
      <c r="J56" s="17"/>
      <c r="K56" s="17"/>
      <c r="L56" s="17"/>
      <c r="M56" s="17"/>
      <c r="N56" s="17"/>
    </row>
    <row r="57" spans="1:14" x14ac:dyDescent="0.3">
      <c r="A57" s="17"/>
      <c r="B57" s="17"/>
      <c r="C57" s="17"/>
      <c r="D57" s="17"/>
      <c r="E57" s="17"/>
      <c r="F57" s="17"/>
      <c r="G57" s="17"/>
      <c r="H57" s="17"/>
      <c r="I57" s="17"/>
      <c r="J57" s="17"/>
      <c r="K57" s="17"/>
      <c r="L57" s="17"/>
      <c r="M57" s="17"/>
      <c r="N57" s="17"/>
    </row>
    <row r="58" spans="1:14" x14ac:dyDescent="0.3">
      <c r="A58" s="17"/>
      <c r="B58" s="17"/>
      <c r="C58" s="17"/>
      <c r="D58" s="17"/>
      <c r="E58" s="17"/>
      <c r="F58" s="17"/>
      <c r="G58" s="17"/>
      <c r="H58" s="17"/>
      <c r="I58" s="17"/>
      <c r="J58" s="17"/>
      <c r="K58" s="17"/>
      <c r="L58" s="17"/>
      <c r="M58" s="17"/>
      <c r="N58" s="17"/>
    </row>
  </sheetData>
  <mergeCells count="21">
    <mergeCell ref="K7:L8"/>
    <mergeCell ref="M7:N8"/>
    <mergeCell ref="A13:B14"/>
    <mergeCell ref="C12:D12"/>
    <mergeCell ref="E12:F12"/>
    <mergeCell ref="C13:D14"/>
    <mergeCell ref="E13:F14"/>
    <mergeCell ref="A12:B12"/>
    <mergeCell ref="C7:D8"/>
    <mergeCell ref="A7:B8"/>
    <mergeCell ref="E7:F8"/>
    <mergeCell ref="G7:H8"/>
    <mergeCell ref="I7:J8"/>
    <mergeCell ref="A1:N3"/>
    <mergeCell ref="A6:B6"/>
    <mergeCell ref="C6:D6"/>
    <mergeCell ref="E6:F6"/>
    <mergeCell ref="G6:H6"/>
    <mergeCell ref="I6:J6"/>
    <mergeCell ref="K6:L6"/>
    <mergeCell ref="M6: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D7DB9-153F-4617-8AE5-64460ED6D7FE}">
  <dimension ref="A2:A3"/>
  <sheetViews>
    <sheetView workbookViewId="0">
      <selection activeCell="A4" sqref="A4"/>
    </sheetView>
  </sheetViews>
  <sheetFormatPr defaultRowHeight="14.4" x14ac:dyDescent="0.3"/>
  <cols>
    <col min="1" max="1" width="15.109375" bestFit="1" customWidth="1"/>
  </cols>
  <sheetData>
    <row r="2" spans="1:1" x14ac:dyDescent="0.3">
      <c r="A2" s="1" t="s">
        <v>3</v>
      </c>
    </row>
    <row r="3" spans="1:1" x14ac:dyDescent="0.3">
      <c r="A3">
        <f>8</f>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Month and revenue</vt:lpstr>
      <vt:lpstr>category shares</vt:lpstr>
      <vt:lpstr>Product wise revenue</vt:lpstr>
      <vt:lpstr>States wise order</vt:lpstr>
      <vt:lpstr>pamentmethod</vt:lpstr>
      <vt:lpstr>category return</vt:lpstr>
      <vt:lpstr>Sales By region</vt:lpstr>
      <vt:lpstr>Raw_Data</vt:lpstr>
      <vt:lpstr>dashboard</vt:lpstr>
      <vt:lpstr>Blank 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visverma009@gmail.com</cp:lastModifiedBy>
  <dcterms:created xsi:type="dcterms:W3CDTF">2026-10-24T08:55:29Z</dcterms:created>
  <dcterms:modified xsi:type="dcterms:W3CDTF">2026-10-25T15:51:08Z</dcterms:modified>
</cp:coreProperties>
</file>